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ing Sun"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tc={65c3fcb5-4860-4071-bca0-b6278acb8572}</author>
  </authors>
  <commentList>
    <comment authorId="0" xr:uid="{65c3fcb5-4860-4071-bca0-b6278acb8572}" ref="M6">
      <text>
        <t xml:space="preserve">[Threaded comment]
 Your version of Excel allows you to read this threaded comment; however, any edits to it will get removed if the file is opened in a newer version of Excel. Learn more: https://go.microsoft.com/fwlink/?linkid=870924
Comment:
	Please review this product because it has RGBW (3000K) specification. I have changed it to RGBW and 3000K. What do you suggest?
</t>
      </text>
    </comment>
  </commentList>
</comments>
</file>

<file path=xl/sharedStrings.xml><?xml version="1.0" encoding="utf-8"?>
<sst xmlns="http://schemas.openxmlformats.org/spreadsheetml/2006/main" count="180" uniqueCount="114">
  <si>
    <t>Product Code</t>
  </si>
  <si>
    <t>Name</t>
  </si>
  <si>
    <t>Product type</t>
  </si>
  <si>
    <t>Categories</t>
  </si>
  <si>
    <t>Status</t>
  </si>
  <si>
    <t>AI Product description</t>
  </si>
  <si>
    <t>Product description</t>
  </si>
  <si>
    <t>AI Product short description</t>
  </si>
  <si>
    <t>Product short description</t>
  </si>
  <si>
    <t>Product image</t>
  </si>
  <si>
    <t>Product gallery</t>
  </si>
  <si>
    <t>SKU Code</t>
  </si>
  <si>
    <t>Specification</t>
  </si>
  <si>
    <t>AI Labels</t>
  </si>
  <si>
    <t>Labels</t>
  </si>
  <si>
    <t>AI Features</t>
  </si>
  <si>
    <t>Features</t>
  </si>
  <si>
    <t>AI Attributes</t>
  </si>
  <si>
    <t>Attributes</t>
  </si>
  <si>
    <t xml:space="preserve">AI Options and Constraints </t>
  </si>
  <si>
    <t>Options and Constraints</t>
  </si>
  <si>
    <t>Options</t>
  </si>
  <si>
    <t>Constraints</t>
  </si>
  <si>
    <t>SKU Mappings</t>
  </si>
  <si>
    <t>Supplier Name</t>
  </si>
  <si>
    <t>Supplier Code</t>
  </si>
  <si>
    <t>Datasheet</t>
  </si>
  <si>
    <t>Stocked Item</t>
  </si>
  <si>
    <t>AI Meta Keywords</t>
  </si>
  <si>
    <t>Meta Keywords</t>
  </si>
  <si>
    <t>PR-BEND-1M</t>
  </si>
  <si>
    <t>Flex Alu ZigZag Profile for 12mm RGBW Strip</t>
  </si>
  <si>
    <t>simple</t>
  </si>
  <si>
    <t>Lumoflex</t>
  </si>
  <si>
    <t>draft</t>
  </si>
  <si>
    <t>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t>
  </si>
  <si>
    <t>Elevate your spaces into a breathtaking visual journey of elegant design and discreet luxury with a sophisticated, seamless glow.</t>
  </si>
  <si>
    <t>1,000mm | Silver</t>
  </si>
  <si>
    <t>Profile Length|Finish</t>
  </si>
  <si>
    <t>{"Profile Length": "1,000mm", "Finish": "Silver", "SKU": "PR-BEND-1M"}</t>
  </si>
  <si>
    <t>{"Options":{"Profile Length":[{"name":"1,000mm","id":"101"}],"Finish":[{"name":"Silver","id":"102"}]},"Constraints":{},"sku_mappings":[{"sku":"PR-BEND-1M","combination":["101","102"]}]}</t>
  </si>
  <si>
    <t>CHINA - Rising Sun</t>
  </si>
  <si>
    <t>Bendable Profile (RS-ZL-1515B)</t>
  </si>
  <si>
    <t>No</t>
  </si>
  <si>
    <t>Flex Alu ZigZag Profile, RGBW LED Strip Channel, Bendable Aluminum Profile, Curved LED Lighting, Architectural Profile, 12mm Profile</t>
  </si>
  <si>
    <t>SMD-BEND-2.7K-IP54</t>
  </si>
  <si>
    <t>Bendable Zig Zag for curves LED SMD Strip</t>
  </si>
  <si>
    <t>SMD</t>
  </si>
  <si>
    <t>Transform your spaces with a stunning visual journey of elegant design and discreet luxury, creating a sophisticated and seamless glow that beautifully enhances your home.</t>
  </si>
  <si>
    <t>SMD-BEND-8W-2.7K-IP54</t>
  </si>
  <si>
    <t>8W/m | 2700K | 24V | IP54 | 8mm</t>
  </si>
  <si>
    <t>Power Consumption Rate|Color Temperature|Voltage|IP Rating|Strip Width</t>
  </si>
  <si>
    <t>{"Power Consumption Rate": "8W/m", "Color Temperature": "2700K", "Voltage": "24V", "IP Rating": "IP54", "Strip Width": "8mm", "SKU": "SMD-BEND-8W-2.7K-IP54"}</t>
  </si>
  <si>
    <t>{"Power Consumption Rate": ["8W/m", "5W/m"], "Color Temperature": ["2700K", "3000K", "4000K", "RGBW (3000K)"], "Voltage": "24V", "IP Rating": ["IP54", "IP20"], "Strip Width": ["8mm", "12mm"], "SKU": ["SMD-BEND-8W-2.7K-IP54", "SMD-BEND-8W-3K-IP54", "SMD-BEND-8W-4K-IP54", "SMD-BEND-5W-RGBW-IP54", "SMD-BEND-8W-2.7K-IP20", "SMD-BEND-8W-3K-IP20", "SMD-BEND-8W-4K-IP20"]}</t>
  </si>
  <si>
    <t>{"Options":{"Power Consumption Rate":[{"name":"8W/m","id":"101"},{"name":"5W/m","id":"102"}],"Color Temperature":[{"name":"2700K","id":"103"},{"name":"3000K","id":"104"},{"name":"4000K","id":"105"},{"name":"RGBW (3000K)","id":"106"}],"Voltage":[{"name":"24V","id":"107"}],"IP Rating":[{"name":"IP54","id":"108"},{"name":"IP20","id":"109"}],"Strip Width":[{"name":"8mm","id":"110"},{"name":"12mm","id":"111"}]},"Constraints":{"102":["103","104","105","108","110"]},"sku_mappings":[{"sku":"SMD-BEND-8W-2.7K-IP54","combination":["101","103","107","108","110"]},{"sku":"SMD-BEND-8W-3K-IP54","combination":["101","104","107","108","110"]},{"sku":"SMD-BEND-8W-4K-IP54","combination":["101","105","107","108","110"]},{"sku":"SMD-BEND-5W-RGBW-IP54","combination":["102","106","107","109","111"]},{"sku":"SMD-BEND-8W-2.7K-IP20","combination":["101","103","107","109","110"]},{"sku":"SMD-BEND-8W-3K-IP20","combination":["101","104","107","109","110"]},{"sku":"SMD-BEND-8W-4K-IP20","combination":["101","105","107","109","110"]}]}</t>
  </si>
  <si>
    <t>RS-S2835MC-24V-100D-08-20</t>
  </si>
  <si>
    <t>Bendable LED Strip, Zig Zag LED Light, Flexible SMD Strip, 2700K Warm White, IP54 Outdoor LED, 24V Flexible Lighting</t>
  </si>
  <si>
    <t>SMD-BEND-8W-3K-IP54</t>
  </si>
  <si>
    <t>8W/m | 3000K | 24V | IP54 | 8mm</t>
  </si>
  <si>
    <t>{"Power Consumption Rate": "8W/m", "Color Temperature": "3000K", "Voltage": "24V", "IP Rating": "IP54", "Strip Width": "8mm", "SKU": "SMD-BEND-8W-3K-IP54"}</t>
  </si>
  <si>
    <t>SMD-BEND-8W-4K-IP54</t>
  </si>
  <si>
    <t>8W/m | 4000K | 24V | IP54 | 8mm</t>
  </si>
  <si>
    <t>{"Power Consumption Rate": "8W/m", "Color Temperature": "4000K", "Voltage": "24V", "IP Rating": "IP54", "Strip Width": "8mm", "SKU": "SMD-BEND-8W-4K-IP54"}</t>
  </si>
  <si>
    <t>SMD-BEND-5W-RGBW-IP54</t>
  </si>
  <si>
    <t>5W/m | RGBW (3000K) | 24V | IP20 | 12mm</t>
  </si>
  <si>
    <t>{"Power Consumption Rate": "5W/m", "Color Temperature": "RGBW (3000K)", "Voltage": "24V", "IP Rating": "IP20", "Strip Width": "12mm", "SKU": "SMD-BEND-5W-RGBW-IP54"}</t>
  </si>
  <si>
    <t>RS-S4040RGBW-24V-96D-12-20</t>
  </si>
  <si>
    <t>SMD-BEND-8W-2.7K-IP20</t>
  </si>
  <si>
    <t>8W/m | 2700K | 24V | IP20 | 8mm</t>
  </si>
  <si>
    <t>{"Power Consumption Rate": "8W/m", "Color Temperature": "2700K", "Voltage": "24V", "IP Rating": "IP20", "Strip Width": "8mm", "SKU": "SMD-BEND-8W-2.7K-IP20"}</t>
  </si>
  <si>
    <t>SMD-BEND-8W-3K-IP20</t>
  </si>
  <si>
    <t>8W/m | 3000K | 24V | IP20 | 8mm</t>
  </si>
  <si>
    <t>{"Power Consumption Rate": "8W/m", "Color Temperature": "3000K", "Voltage": "24V", "IP Rating": "IP20", "Strip Width": "8mm", "SKU": "SMD-BEND-8W-3K-IP20"}</t>
  </si>
  <si>
    <t>SMD-BEND-8W-4K-IP20</t>
  </si>
  <si>
    <t>8W/m | 4000K | 24V | IP20 | 8mm</t>
  </si>
  <si>
    <t>{"Power Consumption Rate": "8W/m", "Color Temperature": "4000K", "Voltage": "24V", "IP Rating": "IP20", "Strip Width": "8mm", "SKU": "SMD-BEND-8W-4K-IP20"}</t>
  </si>
  <si>
    <t>SMD-SHEET-30W-3K-IP20</t>
  </si>
  <si>
    <t>LED Sheet</t>
  </si>
  <si>
    <t>LED Sheets</t>
  </si>
  <si>
    <t>Transform your home into a breathtaking visual journey with a perfect blend of elegance and modern design. This premium lighting solution offers a sophisticated, seamless glow that beautifully enhances your elegant spaces, casting a warm and inviting atmosphere throughout. Crafted for those who appreciate refined detail and discreet luxury, it adds an unparalleled touch of ambiance, warmth, and captivating style to any room, making it the ultimate choice for elevated interior illumination.</t>
  </si>
  <si>
    <t>Transform your home into a breathtaking visual journey. Experience discreet luxury and a sophisticated, seamless glow that beautifully enhances your elegant spaces.</t>
  </si>
  <si>
    <t>30W | 3000K | 24V | IP20 | 480mm (L) x 240mm (W)</t>
  </si>
  <si>
    <t>Power|Color Temperature|Voltage|IP Rating|Dimension</t>
  </si>
  <si>
    <t>{"Power": "30W", "Color Temperature": "3000K", "Voltage": "24V", "IP Rating": "IP20", "Dimension": "480mm (L) x 240mm (W)", "SKU": "SMD-SHEET-30W-3K-IP20"}</t>
  </si>
  <si>
    <t>{"Power": "30W", "Color Temperature": ["3000K", "4000K", "6000K"], "Voltage": "24V", "IP Rating": ["IP20", "IP54", "IP67"], "Dimension": "480mm (L) x 240mm (W)", "SKU": ["SMD-SHEET-30W-3K-IP20", "SMD-SHEET-30W-4K-IP20", "SMD-SHEET-30W-6K-IP20", "SMD-SHEET-30W-3K-IP54", "SMD-SHEET-30W-4K-IP54", "SMD-SHEET-30W-6K-IP54", "SMD-SHEET-30W-3K-IP67", "SMD-SHEET-30W-4K-IP67", "SMD-SHEET-30W-6K-IP67"]}</t>
  </si>
  <si>
    <t>{"Options":{"Power":[{"name":"30W","id":"101"}],"Color Temperature":[{"name":"3000K","id":"102"},{"name":"4000K","id":"103"},{"name":"6000K","id":"104"}],"Voltage":[{"name":"24V","id":"105"}],"IP Rating":[{"name":"IP20","id":"106"},{"name":"IP54","id":"107"},{"name":"IP67","id":"108"}],"Dimension":[{"name":"480mm (L) x 240mm (W)","id":"109"}]},"Constraints":{},"sku_mappings":[{"sku":"SMD-SHEET-30W-3K-IP20","combination":["101","102","105","106","109"]},{"sku":"SMD-SHEET-30W-4K-IP20","combination":["101","103","105","106","109"]},{"sku":"SMD-SHEET-30W-6K-IP20","combination":["101","104","105","106","109"]},{"sku":"SMD-SHEET-30W-3K-IP54","combination":["101","102","105","107","109"]},{"sku":"SMD-SHEET-30W-4K-IP54","combination":["101","103","105","107","109"]},{"sku":"SMD-SHEET-30W-6K-IP54","combination":["101","104","105","107","109"]},{"sku":"SMD-SHEET-30W-3K-IP67","combination":["101","102","105","108","109"]},{"sku":"SMD-SHEET-30W-4K-IP67","combination":["101","103","105","108","109"]},{"sku":"SMD-SHEET-30W-6K-IP67","combination":["101","104","105","108","109"]}]}</t>
  </si>
  <si>
    <t>RS-PL2835PRO-24V-288D-20</t>
  </si>
  <si>
    <t>LED sheet lighting, flexible LED sheet, backlighting panel, 30W LED sheet, 24V flexible LED, 3000K warm white</t>
  </si>
  <si>
    <t>SMD-SHEET-30W-4K-IP20</t>
  </si>
  <si>
    <t>30W | 4000K | 24V | IP20 | 480mm (L) x 240mm (W)</t>
  </si>
  <si>
    <t>{"Power": "30W", "Color Temperature": "4000K", "Voltage": "24V", "IP Rating": "IP20", "Dimension": "480mm (L) x 240mm (W)", "SKU": "SMD-SHEET-30W-4K-IP20"}</t>
  </si>
  <si>
    <t>SMD-SHEET-30W-6K-IP20</t>
  </si>
  <si>
    <t>30W | 6000K | 24V | IP20 | 480mm (L) x 240mm (W)</t>
  </si>
  <si>
    <t>{"Power": "30W", "Color Temperature": "6000K", "Voltage": "24V", "IP Rating": "IP20", "Dimension": "480mm (L) x 240mm (W)", "SKU": "SMD-SHEET-30W-6K-IP20"}</t>
  </si>
  <si>
    <t>SMD-SHEET-30W-3K-IP54</t>
  </si>
  <si>
    <t>30W | 3000K | 24V | IP54 | 480mm (L) x 240mm (W)</t>
  </si>
  <si>
    <t>{"Power": "30W", "Color Temperature": "3000K", "Voltage": "24V", "IP Rating": "IP54", "Dimension": "480mm (L) x 240mm (W)", "SKU": "SMD-SHEET-30W-3K-IP54"}</t>
  </si>
  <si>
    <t>RS-PL2835PRO-24V-288D-54</t>
  </si>
  <si>
    <t>SMD-SHEET-30W-4K-IP54</t>
  </si>
  <si>
    <t>30W | 4000K | 24V | IP54 | 480mm (L) x 240mm (W)</t>
  </si>
  <si>
    <t>{"Power": "30W", "Color Temperature": "4000K", "Voltage": "24V", "IP Rating": "IP54", "Dimension": "480mm (L) x 240mm (W)", "SKU": "SMD-SHEET-30W-4K-IP54"}</t>
  </si>
  <si>
    <t>SMD-SHEET-30W-6K-IP54</t>
  </si>
  <si>
    <t>30W | 6000K | 24V | IP54 | 480mm (L) x 240mm (W)</t>
  </si>
  <si>
    <t>{"Power": "30W", "Color Temperature": "6000K", "Voltage": "24V", "IP Rating": "IP54", "Dimension": "480mm (L) x 240mm (W)", "SKU": "SMD-SHEET-30W-6K-IP54"}</t>
  </si>
  <si>
    <t>SMD-SHEET-30W-3K-IP67</t>
  </si>
  <si>
    <t>30W | 3000K | 24V | IP67 | 480mm (L) x 240mm (W)</t>
  </si>
  <si>
    <t>{"Power": "30W", "Color Temperature": "3000K", "Voltage": "24V", "IP Rating": "IP67", "Dimension": "480mm (L) x 240mm (W)", "SKU": "SMD-SHEET-30W-3K-IP67"}</t>
  </si>
  <si>
    <t>RS-PL2835PRO-24V-288D-67</t>
  </si>
  <si>
    <t>SMD-SHEET-30W-4K-IP67</t>
  </si>
  <si>
    <t>30W | 4000K | 24V | IP67 | 480mm (L) x 240mm (W)</t>
  </si>
  <si>
    <t>{"Power": "30W", "Color Temperature": "4000K", "Voltage": "24V", "IP Rating": "IP67", "Dimension": "480mm (L) x 240mm (W)", "SKU": "SMD-SHEET-30W-4K-IP67"}</t>
  </si>
  <si>
    <t>SMD-SHEET-30W-6K-IP67</t>
  </si>
  <si>
    <t>30W | 6000K | 24V | IP67 | 480mm (L) x 240mm (W)</t>
  </si>
  <si>
    <t>{"Power": "30W", "Color Temperature": "6000K", "Voltage": "24V", "IP Rating": "IP67", "Dimension": "480mm (L) x 240mm (W)", "SKU": "SMD-SHEET-30W-6K-IP67"}</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</si>
</sst>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DM Sans"/>
    </font>
    <font>
      <b/>
      <sz val="10.0"/>
      <color rgb="FFFFFFFF"/>
      <name val="DM Sans"/>
    </font>
    <font>
      <b/>
      <sz val="10.0"/>
      <color rgb="FF434343"/>
      <name val="DM Sans"/>
    </font>
    <font>
      <b/>
      <color theme="1"/>
      <name val="DM Sans"/>
    </font>
    <font>
      <sz val="10.0"/>
      <color theme="1"/>
      <name val="DM Sans"/>
    </font>
    <font>
      <sz val="10.0"/>
      <color rgb="FF434343"/>
      <name val="DM Sans"/>
    </font>
    <font>
      <color rgb="FF434343"/>
      <name val="DM Sans"/>
    </font>
    <font>
      <color theme="1"/>
      <name val="DM Sans"/>
    </font>
  </fonts>
  <fills count="10">
    <fill>
      <patternFill patternType="none"/>
    </fill>
    <fill>
      <patternFill patternType="lightGray"/>
    </fill>
    <fill>
      <patternFill patternType="solid">
        <fgColor rgb="FFFFD966"/>
        <bgColor rgb="FFFFD966"/>
      </patternFill>
    </fill>
    <fill>
      <patternFill patternType="solid">
        <fgColor rgb="FF93C47D"/>
        <bgColor rgb="FF93C47D"/>
      </patternFill>
    </fill>
    <fill>
      <patternFill patternType="solid">
        <fgColor rgb="FF9900FF"/>
        <bgColor rgb="FF9900FF"/>
      </patternFill>
    </fill>
    <fill>
      <patternFill patternType="solid">
        <fgColor rgb="FF1155CC"/>
        <bgColor rgb="FF1155CC"/>
      </patternFill>
    </fill>
    <fill>
      <patternFill patternType="solid">
        <fgColor rgb="FFD9EAD3"/>
        <bgColor rgb="FFD9EAD3"/>
      </patternFill>
    </fill>
    <fill>
      <patternFill patternType="solid">
        <fgColor rgb="FFD9D2E9"/>
        <bgColor rgb="FFD9D2E9"/>
      </patternFill>
    </fill>
    <fill>
      <patternFill patternType="solid">
        <fgColor rgb="FFC9DAF8"/>
        <bgColor rgb="FFC9DAF8"/>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2" numFmtId="0" xfId="0" applyAlignment="1" applyBorder="1" applyFill="1" applyFont="1">
      <alignment horizontal="center" readingOrder="0" vertical="center"/>
    </xf>
    <xf borderId="1" fillId="4"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4" numFmtId="0" xfId="0" applyAlignment="1" applyBorder="1" applyFill="1" applyFont="1">
      <alignment horizontal="center" shrinkToFit="0" vertical="bottom" wrapText="1"/>
    </xf>
    <xf borderId="1" fillId="2" fontId="4" numFmtId="0" xfId="0" applyAlignment="1" applyBorder="1" applyFill="1" applyFont="1">
      <alignment horizontal="center" shrinkToFit="0" vertical="bottom" wrapText="1"/>
    </xf>
    <xf borderId="1" fillId="0" fontId="5"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1" fillId="6" fontId="5" numFmtId="0" xfId="0" applyAlignment="1" applyBorder="1" applyFill="1" applyFont="1">
      <alignment readingOrder="0" shrinkToFit="0" vertical="center" wrapText="1"/>
    </xf>
    <xf borderId="1" fillId="7" fontId="5" numFmtId="0" xfId="0" applyAlignment="1" applyBorder="1" applyFill="1" applyFont="1">
      <alignment readingOrder="0" shrinkToFit="0" vertical="center" wrapText="1"/>
    </xf>
    <xf borderId="1" fillId="6" fontId="6" numFmtId="0" xfId="0" applyAlignment="1" applyBorder="1" applyFill="1" applyFont="1">
      <alignment shrinkToFit="0" vertical="center" wrapText="1"/>
    </xf>
    <xf borderId="1" fillId="8" fontId="6" numFmtId="0" xfId="0" applyAlignment="1" applyBorder="1" applyFill="1" applyFont="1">
      <alignment shrinkToFit="0" vertical="center" wrapText="1"/>
    </xf>
    <xf borderId="1" fillId="6" fontId="6" numFmtId="0" xfId="0" applyAlignment="1" applyBorder="1" applyFill="1" applyFont="1">
      <alignment shrinkToFit="0" vertical="center" wrapText="1"/>
    </xf>
    <xf borderId="1" fillId="6" fontId="6" numFmtId="0" xfId="0" applyAlignment="1" applyBorder="1" applyFill="1" applyFont="1">
      <alignment readingOrder="0" shrinkToFit="0" vertical="center" wrapText="1"/>
    </xf>
    <xf borderId="1" fillId="8" fontId="6" numFmtId="0" xfId="0" applyAlignment="1" applyBorder="1" applyFill="1" applyFont="1">
      <alignment readingOrder="0" shrinkToFit="0" vertical="center" wrapText="1"/>
    </xf>
    <xf borderId="1" fillId="9" fontId="7" numFmtId="0" xfId="0" applyAlignment="1" applyBorder="1" applyFill="1" applyFont="1">
      <alignment shrinkToFit="0" vertical="bottom" wrapText="1"/>
    </xf>
    <xf borderId="1" fillId="6" fontId="6" numFmtId="0" xfId="0" applyAlignment="1" applyBorder="1" applyFill="1" applyFont="1">
      <alignment readingOrder="0" shrinkToFit="0" vertical="center" wrapText="1"/>
    </xf>
    <xf borderId="1" fillId="0" fontId="5" numFmtId="0" xfId="0" applyAlignment="1" applyBorder="1" applyFont="1">
      <alignment shrinkToFit="0" vertical="center" wrapText="1"/>
    </xf>
    <xf borderId="1" fillId="9" fontId="8" numFmtId="0" xfId="0" applyAlignment="1" applyBorder="1" applyFill="1" applyFont="1">
      <alignment shrinkToFit="0" wrapText="1"/>
    </xf>
    <xf borderId="1" fillId="8" fontId="7" numFmtId="0" xfId="0" applyAlignment="1" applyBorder="1" applyFill="1" applyFont="1">
      <alignment readingOrder="0" shrinkToFit="0" vertical="center" wrapText="1"/>
    </xf>
    <xf borderId="1" fillId="0" fontId="5" numFmtId="0" xfId="0" applyAlignment="1" applyBorder="1" applyFont="1">
      <alignment readingOrder="0" shrinkToFit="0" vertical="center" wrapText="1"/>
    </xf>
    <xf borderId="1" fillId="6" fontId="5" numFmtId="0" xfId="0" applyAlignment="1" applyBorder="1" applyFill="1" applyFont="1">
      <alignment readingOrder="0" shrinkToFit="0" vertical="center" wrapText="1"/>
    </xf>
    <xf borderId="1" fillId="6" fontId="6" numFmtId="0" xfId="0" applyAlignment="1" applyBorder="1" applyFill="1" applyFont="1">
      <alignment readingOrder="0" shrinkToFit="0" vertical="center" wrapText="1"/>
    </xf>
    <xf borderId="1" fillId="6" fontId="6" numFmtId="0" xfId="0" applyAlignment="1" applyBorder="1" applyFill="1" applyFont="1">
      <alignment readingOrder="0" shrinkToFit="0" vertical="center" wrapText="1"/>
    </xf>
    <xf borderId="1" fillId="8" fontId="6" numFmtId="0" xfId="0" applyAlignment="1" applyBorder="1" applyFill="1" applyFont="1">
      <alignment readingOrder="0"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1">
    <tableStyle count="2" pivot="0" name="Rising Sun-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ovhash Pvt Ltd" id="{fe855b0c-f9fe-4e36-861b-7b4b376aee78}" providerId="google-sheets"/>
</x18tc:personList>
</file>

<file path=xl/tables/table1.xml><?xml version="1.0" encoding="utf-8"?>
<table xmlns="http://schemas.openxmlformats.org/spreadsheetml/2006/main" headerRowCount="0" ref="B2:AA18"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Rising Su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6" dT="2026-08-16T09:21:40.00" personId="{fe855b0c-f9fe-4e36-861b-7b4b376aee78}" id="{65c3fcb5-4860-4071-bca0-b6278acb8572}" done="1">
    <x18tc:text xml:space="preserve">Please review this product because it has RGBW (3000K) specification. I have changed it to RGBW and 3000K. What do you suggest?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5.13"/>
    <col customWidth="1" min="2" max="2" width="14.13"/>
    <col customWidth="1" min="3" max="3" width="11.75"/>
    <col customWidth="1" min="4" max="4" width="9.88"/>
    <col customWidth="1" min="5" max="5" width="6.38"/>
    <col customWidth="1" min="6" max="9" width="50.13"/>
    <col customWidth="1" min="10" max="11" width="28.75"/>
    <col customWidth="1" min="12" max="13" width="43.25"/>
    <col customWidth="1" min="14" max="14" width="69.25"/>
    <col customWidth="1" min="15" max="15" width="65.25"/>
    <col customWidth="1" min="16" max="16" width="66.88"/>
    <col customWidth="1" min="17" max="17" width="50.13"/>
    <col customWidth="1" min="18" max="18" width="71.5"/>
    <col customWidth="1" min="19" max="24" width="50.13"/>
    <col customWidth="1" min="25" max="27" width="12.63"/>
  </cols>
  <sheetData>
    <row r="1">
      <c r="A1" s="1" t="s">
        <v>0</v>
      </c>
      <c r="B1" s="1" t="s">
        <v>1</v>
      </c>
      <c r="C1" s="1" t="s">
        <v>2</v>
      </c>
      <c r="D1" s="1" t="s">
        <v>3</v>
      </c>
      <c r="E1" s="1" t="s">
        <v>4</v>
      </c>
      <c r="F1" s="2" t="s">
        <v>5</v>
      </c>
      <c r="G1" s="1" t="s">
        <v>6</v>
      </c>
      <c r="H1" s="2" t="s">
        <v>7</v>
      </c>
      <c r="I1" s="1" t="s">
        <v>8</v>
      </c>
      <c r="J1" s="1" t="s">
        <v>9</v>
      </c>
      <c r="K1" s="1" t="s">
        <v>10</v>
      </c>
      <c r="L1" s="3" t="s">
        <v>11</v>
      </c>
      <c r="M1" s="4" t="s">
        <v>12</v>
      </c>
      <c r="N1" s="2" t="s">
        <v>13</v>
      </c>
      <c r="O1" s="5" t="s">
        <v>14</v>
      </c>
      <c r="P1" s="2" t="s">
        <v>15</v>
      </c>
      <c r="Q1" s="6" t="s">
        <v>16</v>
      </c>
      <c r="R1" s="2" t="s">
        <v>17</v>
      </c>
      <c r="S1" s="1" t="s">
        <v>18</v>
      </c>
      <c r="T1" s="2" t="s">
        <v>19</v>
      </c>
      <c r="U1" s="6" t="s">
        <v>20</v>
      </c>
      <c r="V1" s="1" t="s">
        <v>21</v>
      </c>
      <c r="W1" s="1" t="s">
        <v>22</v>
      </c>
      <c r="X1" s="7" t="s">
        <v>23</v>
      </c>
      <c r="Y1" s="1" t="s">
        <v>24</v>
      </c>
      <c r="Z1" s="1" t="s">
        <v>25</v>
      </c>
      <c r="AA1" s="1" t="s">
        <v>26</v>
      </c>
      <c r="AB1" s="1" t="s">
        <v>27</v>
      </c>
      <c r="AC1" s="8" t="s">
        <v>28</v>
      </c>
      <c r="AD1" s="9" t="s">
        <v>29</v>
      </c>
    </row>
    <row r="2" ht="37.5" customHeight="1">
      <c r="A2" s="10" t="s">
        <v>30</v>
      </c>
      <c r="B2" s="10" t="s">
        <v>31</v>
      </c>
      <c r="C2" s="11" t="s">
        <v>32</v>
      </c>
      <c r="D2" s="11" t="s">
        <v>33</v>
      </c>
      <c r="E2" s="11" t="s">
        <v>34</v>
      </c>
      <c r="F2" s="12" t="str">
        <f>IFERROR(__xludf.DUMMYFUNCTION("AI(""Give me a paragraph marketing spiel for this product, no tech specs just marketing fluff "")"),"Transform your outdoor spaces into a breathtaking visual journey with a perfect blend of elegance and modern design. This premium lighting solution offers seamless integration into your pathways, casting a warm, sophisticated glow that effortlessly guides"&amp;" the way while enhancing the natural beauty of your architecture. Crafted for those who appreciate refined detail and discreet luxury, it adds an unparalleled touch of ambiance, warmth, and captivating security to any setting, making it the ultimate choic"&amp;"e for elevated architectural illumination.")</f>
        <v>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v>
      </c>
      <c r="G2" s="11" t="s">
        <v>35</v>
      </c>
      <c r="H2" s="12" t="str">
        <f>IFERROR(__xludf.DUMMYFUNCTION("AI(""Give me a paragraph marketing spiel for this product, no tech specs just marketing fluff under 180 characters "")"),"Elevate your spaces into a breathtaking visual journey of elegant design and discreet luxury with a sophisticated, seamless glow.")</f>
        <v>Elevate your spaces into a breathtaking visual journey of elegant design and discreet luxury with a sophisticated, seamless glow.</v>
      </c>
      <c r="I2" s="11" t="s">
        <v>36</v>
      </c>
      <c r="J2" s="11"/>
      <c r="K2" s="11"/>
      <c r="L2" s="13" t="s">
        <v>30</v>
      </c>
      <c r="M2" s="13" t="s">
        <v>37</v>
      </c>
      <c r="N2"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4000K, RGBW (3000K))
- Voltage (Example 20V, 12V/24V)
- Current Type (Example AC/DC)
- IP Rating (Example IP67, IP68, IP20)
- Impact St"&amp;"rength (Example IK10)
- Optics (Example SYS30°)
- Finish (Example Black, Silver)
- Channel Configuration (Example Singel-Sided, Double-Sided, Bendable Single-Sided, Bendable Double-Sided)
- Dimension (Example 53mm (W) x 14mm (H), 480mm (L) x 240mm (W))
- "&amp;"Strip Width (Example 8mm, 12mm)
- Power Consumption Rate (Example 8W/m, 5W/m)
- Profile Length (Example 1,000mm)
### STRICT OUTPUT RULES
1. Output ONLY the corresponding labels mentioned above separated by pipes ('|'). 
2. Do not include the values in yo"&amp;"ur output.
3. Do not include any conversational text, introductory remarks, or markdown formatting blocks.
4. The number of labels in your output must exactly match the number of values provided in the input.
---
### FEW-SHOT EXAMPLES
#### Example 1 (S"&amp;"tandard Neon Strip)
Input: 1.2W | SYM 30° | 3000K | IP67 | IK10
Output: Power|Optics|Color Temperature|IP Rating|Impact Strength
Input: 7W | Warm White | 12V/24V | AC/DC | IP67 | Black
Output: Power | Light Color | Current Type | IP Rating | Finish
---
"&amp;"
### YOUR TASK
Generate output for the values text ""&amp;M1)"),"Profile Length|Finish")</f>
        <v>Profile Length|Finish</v>
      </c>
      <c r="O2" s="15" t="s">
        <v>38</v>
      </c>
      <c r="P2"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""&amp;O2&amp;"", Values: ""&amp;M2&amp; "" and SKU Code: ""&amp;L2"&amp;")"),"{""Profile Length"": ""1,000mm"", ""Finish"": ""Silver"", ""SKU"": ""PR-BEND-1M""}")</f>
        <v>{"Profile Length": "1,000mm", "Finish": "Silver", "SKU": "PR-BEND-1M"}</v>
      </c>
      <c r="Q2" s="15" t="s">
        <v>39</v>
      </c>
      <c r="R2" s="14" t="s">
        <v>39</v>
      </c>
      <c r="S2" s="16" t="s">
        <v>39</v>
      </c>
      <c r="T2"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Q2)"),"{""Options"":{""Profile Length"":[{""name"":""1,000mm"",""id"":""101""}],""Finish"":[{""name"":""Silver"",""id"":""102""}]},""Constraints"":{},""sku_mappings"":[{""sku"":""PR-BEND-1M"",""combination"":[""101"",""102""]}]}")</f>
        <v>{"Options":{"Profile Length":[{"name":"1,000mm","id":"101"}],"Finish":[{"name":"Silver","id":"102"}]},"Constraints":{},"sku_mappings":[{"sku":"PR-BEND-1M","combination":["101","102"]}]}</v>
      </c>
      <c r="U2" s="18" t="s">
        <v>40</v>
      </c>
      <c r="V2" s="19" t="str">
        <f>IFERROR(__xludf.DUMMYFUNCTION("AI(""Extract options object from the json"", U2)"),"{""Profile Length"":[{""name"":""1,000mm"",""id"":""101""}],""Finish"":[{""name"":""Silver"",""id"":""102""}]}")</f>
        <v>{"Profile Length":[{"name":"1,000mm","id":"101"}],"Finish":[{"name":"Silver","id":"102"}]}</v>
      </c>
      <c r="W2" s="19" t="str">
        <f>IFERROR(__xludf.DUMMYFUNCTION("AI(""Extract constraints object from the json"", U2)"),"{}")</f>
        <v>{}</v>
      </c>
      <c r="X2" s="19" t="str">
        <f>IFERROR(__xludf.DUMMYFUNCTION("AI(""Extract sku_mappings object from the json"", U2)"),"[{""sku"":""PR-BEND-1M"",""combination"":[""101"",""102""]}]")</f>
        <v>[{"sku":"PR-BEND-1M","combination":["101","102"]}]</v>
      </c>
      <c r="Y2" s="20" t="s">
        <v>41</v>
      </c>
      <c r="Z2" s="20" t="s">
        <v>42</v>
      </c>
      <c r="AA2" s="20" t="s">
        <v>43</v>
      </c>
      <c r="AB2" s="21"/>
      <c r="AC2" s="22" t="str">
        <f>IFERROR(__xludf.DUMMYFUNCTION("AI(""Generate 6 powerful unique keywords for the product in this row"")"),"Flex Alu ZigZag Profile, RGBW LED Strip Channel, Bendable Aluminum Profile, Curved LED Lighting, Architectural Profile, 12mm Profile")</f>
        <v>Flex Alu ZigZag Profile, RGBW LED Strip Channel, Bendable Aluminum Profile, Curved LED Lighting, Architectural Profile, 12mm Profile</v>
      </c>
      <c r="AD2" s="21" t="s">
        <v>44</v>
      </c>
    </row>
    <row r="3" ht="37.5" customHeight="1">
      <c r="A3" s="10" t="s">
        <v>45</v>
      </c>
      <c r="B3" s="10" t="s">
        <v>46</v>
      </c>
      <c r="C3" s="11" t="s">
        <v>32</v>
      </c>
      <c r="D3" s="11" t="s">
        <v>47</v>
      </c>
      <c r="E3" s="11" t="s">
        <v>34</v>
      </c>
      <c r="F3" s="12" t="str">
        <f>IFERROR(__xludf.DUMMYFUNCTION("AI(""Give me a paragraph marketing spiel for this product, no tech specs just marketing fluff "")"),"Transform your outdoor spaces into a breathtaking visual journey with a perfect blend of elegance and modern design. This premium lighting solution offers seamless integration into your pathways, casting a warm, sophisticated glow that effortlessly guides"&amp;" the way while enhancing the natural beauty of your architecture. Crafted for those who appreciate refined detail and discreet luxury, it adds an unparalleled touch of ambiance, warmth, and captivating security to any setting, making it the ultimate choic"&amp;"e for elevated architectural illumination.")</f>
        <v>Transform your outdoor spaces into a breathtaking visual journey with a perfect blend of elegance and modern design. This premium lighting solution offers seamless integration into your pathways, casting a warm, sophisticated glow that effortlessly guides the way while enhancing the natural beauty of your architecture. Crafted for those who appreciate refined detail and discreet luxury, it adds an unparalleled touch of ambiance, warmth, and captivating security to any setting, making it the ultimate choice for elevated architectural illumination.</v>
      </c>
      <c r="G3" s="11" t="s">
        <v>35</v>
      </c>
      <c r="H3" s="12" t="str">
        <f>IFERROR(__xludf.DUMMYFUNCTION("AI(""Give me a paragraph marketing spiel for this product, no tech specs just marketing fluff under 180 characters "")"),"Transform your spaces with a stunning visual journey of elegant design and discreet luxury, creating a sophisticated and seamless glow that beautifully enhances your home.")</f>
        <v>Transform your spaces with a stunning visual journey of elegant design and discreet luxury, creating a sophisticated and seamless glow that beautifully enhances your home.</v>
      </c>
      <c r="I3" s="11" t="s">
        <v>48</v>
      </c>
      <c r="J3" s="11"/>
      <c r="K3" s="11"/>
      <c r="L3" s="13" t="s">
        <v>49</v>
      </c>
      <c r="M3" s="13" t="s">
        <v>50</v>
      </c>
      <c r="N3"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4000K, RGBW (3000K))
- Voltage (Example 20V, 12V/24V)
- Current Type (Example AC/DC)
- IP Rating (Example IP67, IP68, IP20)
- Impact St"&amp;"rength (Example IK10)
- Optics (Example SYS30°)
- Finish (Example Black, Silver)
- Channel Configuration (Example Singel-Sided, Double-Sided, Bendable Single-Sided, Bendable Double-Sided)
- Dimension (Example 53mm (W) x 14mm (H), 480mm (L) x 240mm (W))
- "&amp;"Strip Width (Example 8mm, 12mm)
- Power Consumption Rate (Example 8W/m, 5W/m)
- Profile Length (Example 1,000mm)
### STRICT OUTPUT RULES
1. Output ONLY the corresponding labels mentioned above separated by pipes ('|'). 
2. Do not include the values in yo"&amp;"ur output.
3. Do not include any conversational text, introductory remarks, or markdown formatting blocks.
4. The number of labels in your output must exactly match the number of values provided in the input.
---
### FEW-SHOT EXAMPLES
#### Example 1 (S"&amp;"tandard Neon Strip)
Input: 1.2W | SYM 30° | 3000K | IP67 | IK10
Output: Power|Optics|Color Temperature|IP Rating|Impact Strength
Input: 7W | Warm White | 12V/24V | AC/DC | IP67 | Black
Output: Power | Light Color | Current Type | IP Rating | Finish
---
"&amp;"
### YOUR TASK
Generate output for the values text ""&amp;M2)"),"Power Consumption Rate|Color Temperature|Voltage|IP Rating|Strip Width")</f>
        <v>Power Consumption Rate|Color Temperature|Voltage|IP Rating|Strip Width</v>
      </c>
      <c r="O3" s="15" t="s">
        <v>51</v>
      </c>
      <c r="P3"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""&amp;O3&amp;"", Values: ""&amp;M3&amp; "" and SKU Code: ""&amp;L3"&amp;")"),"{""Power Consumption Rate"": ""8W/m"", ""Color Temperature"": ""2700K"", ""Voltage"": ""24V"", ""IP Rating"": ""IP54"", ""Strip Width"": ""8mm"", ""SKU"": ""SMD-BEND-8W-2.7K-IP54""}")</f>
        <v>{"Power Consumption Rate": "8W/m", "Color Temperature": "2700K", "Voltage": "24V", "IP Rating": "IP54", "Strip Width": "8mm", "SKU": "SMD-BEND-8W-2.7K-IP54"}</v>
      </c>
      <c r="Q3" s="15" t="s">
        <v>52</v>
      </c>
      <c r="R3"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Q3:Q9)"),"{""Power Consumption Rate"": [""8W/m"", ""5W/m""], ""Color Temperature"": [""2700K"", ""3000K"", ""4000K"", ""RGBW (3000K)""], ""Voltage"": ""24V"", ""IP Rating"": [""IP54"", ""IP20""], ""Strip Width"": [""8mm"", ""12mm""], ""SKU"": [""SMD-BEND-8W-2.7K-IP"&amp;"54"", ""SMD-BEND-8W-3K-IP54"", ""SMD-BEND-8W-4K-IP54"", ""SMD-BEND-5W-RGBW-IP54"", ""SMD-BEND-8W-2.7K-IP20"", ""SMD-BEND-8W-3K-IP20"", ""SMD-BEND-8W-4K-IP20""]}")</f>
        <v>{"Power Consumption Rate": ["8W/m", "5W/m"], "Color Temperature": ["2700K", "3000K", "4000K", "RGBW (3000K)"], "Voltage": "24V", "IP Rating": ["IP54", "IP20"], "Strip Width": ["8mm", "12mm"], "SKU": ["SMD-BEND-8W-2.7K-IP54", "SMD-BEND-8W-3K-IP54", "SMD-BEND-8W-4K-IP54", "SMD-BEND-5W-RGBW-IP54", "SMD-BEND-8W-2.7K-IP20", "SMD-BEND-8W-3K-IP20", "SMD-BEND-8W-4K-IP20"]}</v>
      </c>
      <c r="S3" s="20" t="s">
        <v>53</v>
      </c>
      <c r="T3"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Q3:Q9)"),"{""Options"":{""Power Consumption Rate"":[{""name"":""8W/m"",""id"":""101""},{""name"":""5W/m"",""id"":""102""}],""Color Temperature"":[{""name"":""2700K"",""id"":""103""},{""name"":""3000K"",""id"":""104""},{""name"":""4000K"",""id"":""105""},{""name"":"&amp;"""RGBW (3000K)"",""id"":""106""}],""Voltage"":[{""name"":""24V"",""id"":""107""}],""IP Rating"":[{""name"":""IP54"",""id"":""108""},{""name"":""IP20"",""id"":""109""}],""Strip Width"":[{""name"":""8mm"",""id"":""110""},{""name"":""12mm"",""id"":""111""}]}"&amp;",""Constraints"":{""102"":[""103"",""104"",""105"",""108"",""110""]},""sku_mappings"":[{""sku"":""SMD-BEND-8W-2.7K-IP54"",""combination"":[""101"",""103"",""107"",""108"",""110""]},{""sku"":""SMD-BEND-8W-3K-IP54"",""combination"":[""101"",""104"",""107"","&amp;"""108"",""110""]},{""sku"":""SMD-BEND-8W-4K-IP54"",""combination"":[""101"",""105"",""107"",""108"",""110""]},{""sku"":""SMD-BEND-5W-RGBW-IP54"",""combination"":[""102"",""106"",""107"",""109"",""111""]},{""sku"":""SMD-BEND-8W-2.7K-IP20"",""combination"":"&amp;"[""101"",""103"",""107"",""109"",""110""]},{""sku"":""SMD-BEND-8W-3K-IP20"",""combination"":[""101"",""104"",""107"",""109"",""110""]},{""sku"":""SMD-BEND-8W-4K-IP20"",""combination"":[""101"",""105"",""107"",""109"",""110""]}]}")</f>
        <v>{"Options":{"Power Consumption Rate":[{"name":"8W/m","id":"101"},{"name":"5W/m","id":"102"}],"Color Temperature":[{"name":"2700K","id":"103"},{"name":"3000K","id":"104"},{"name":"4000K","id":"105"},{"name":"RGBW (3000K)","id":"106"}],"Voltage":[{"name":"24V","id":"107"}],"IP Rating":[{"name":"IP54","id":"108"},{"name":"IP20","id":"109"}],"Strip Width":[{"name":"8mm","id":"110"},{"name":"12mm","id":"111"}]},"Constraints":{"102":["103","104","105","108","110"]},"sku_mappings":[{"sku":"SMD-BEND-8W-2.7K-IP54","combination":["101","103","107","108","110"]},{"sku":"SMD-BEND-8W-3K-IP54","combination":["101","104","107","108","110"]},{"sku":"SMD-BEND-8W-4K-IP54","combination":["101","105","107","108","110"]},{"sku":"SMD-BEND-5W-RGBW-IP54","combination":["102","106","107","109","111"]},{"sku":"SMD-BEND-8W-2.7K-IP20","combination":["101","103","107","109","110"]},{"sku":"SMD-BEND-8W-3K-IP20","combination":["101","104","107","109","110"]},{"sku":"SMD-BEND-8W-4K-IP20","combination":["101","105","107","109","110"]}]}</v>
      </c>
      <c r="U3" s="23" t="s">
        <v>54</v>
      </c>
      <c r="V3" s="19" t="str">
        <f>IFERROR(__xludf.DUMMYFUNCTION("AI(""Extract options object from the json"", U3)"),"{""Power Consumption Rate"":[{""name"":""8W/m"",""id"":""101""},{""name"":""5W/m"",""id"":""102""}],""Color Temperature"":[{""name"":""2700K"",""id"":""103""},{""name"":""3000K"",""id"":""104""},{""name"":""4000K"",""id"":""105""},{""name"":""RGBW (3000K)"&amp;""",""id"":""106""}],""Voltage"":[{""name"":""24V"",""id"":""107""}],""IP Rating"":[{""name"":""IP54"",""id"":""108""},{""name"":""IP20"",""id"":""109""}],""Strip Width"":[{""name"":""8mm"",""id"":""110""},{""name"":""12mm"",""id"":""111""}]}")</f>
        <v>{"Power Consumption Rate":[{"name":"8W/m","id":"101"},{"name":"5W/m","id":"102"}],"Color Temperature":[{"name":"2700K","id":"103"},{"name":"3000K","id":"104"},{"name":"4000K","id":"105"},{"name":"RGBW (3000K)","id":"106"}],"Voltage":[{"name":"24V","id":"107"}],"IP Rating":[{"name":"IP54","id":"108"},{"name":"IP20","id":"109"}],"Strip Width":[{"name":"8mm","id":"110"},{"name":"12mm","id":"111"}]}</v>
      </c>
      <c r="W3" s="19" t="str">
        <f>IFERROR(__xludf.DUMMYFUNCTION("AI(""Extract constraints object from the json"", U3)"),"{""102"":[""103"",""104"",""105"",""108"",""110""]}")</f>
        <v>{"102":["103","104","105","108","110"]}</v>
      </c>
      <c r="X3" s="19" t="str">
        <f>IFERROR(__xludf.DUMMYFUNCTION("AI(""Extract sku_mappings object from the json"", U3)"),"[{""sku"":""SMD-BEND-8W-2.7K-IP54"",""combination"":[""101"",""103"",""107"",""108"",""110""]},{""sku"":""SMD-BEND-8W-3K-IP54"",""combination"":[""101"",""104"",""107"",""108"",""110""]},{""sku"":""SMD-BEND-8W-4K-IP54"",""combination"":[""101"",""105"","""&amp;"107"",""108"",""110""]},{""sku"":""SMD-BEND-5W-RGBW-IP54"",""combination"":[""102"",""106"",""107"",""109"",""111""]},{""sku"":""SMD-BEND-8W-2.7K-IP20"",""combination"":[""101"",""103"",""107"",""109"",""110""]},{""sku"":""SMD-BEND-8W-3K-IP20"",""combinat"&amp;"ion"":[""101"",""104"",""107"",""109"",""110""]},{""sku"":""SMD-BEND-8W-4K-IP20"",""combination"":[""101"",""105"",""107"",""109"",""110""]}]")</f>
        <v>[{"sku":"SMD-BEND-8W-2.7K-IP54","combination":["101","103","107","108","110"]},{"sku":"SMD-BEND-8W-3K-IP54","combination":["101","104","107","108","110"]},{"sku":"SMD-BEND-8W-4K-IP54","combination":["101","105","107","108","110"]},{"sku":"SMD-BEND-5W-RGBW-IP54","combination":["102","106","107","109","111"]},{"sku":"SMD-BEND-8W-2.7K-IP20","combination":["101","103","107","109","110"]},{"sku":"SMD-BEND-8W-3K-IP20","combination":["101","104","107","109","110"]},{"sku":"SMD-BEND-8W-4K-IP20","combination":["101","105","107","109","110"]}]</v>
      </c>
      <c r="Y3" s="20" t="s">
        <v>41</v>
      </c>
      <c r="Z3" s="20" t="s">
        <v>55</v>
      </c>
      <c r="AA3" s="20" t="s">
        <v>43</v>
      </c>
      <c r="AB3" s="21"/>
      <c r="AC3" s="22" t="str">
        <f>IFERROR(__xludf.DUMMYFUNCTION("AI(""Generate 6 powerful unique keywords for the product in this row"")"),"Bendable LED Strip, Zig Zag LED Light, Flexible SMD Strip, 2700K Warm White, IP54 Outdoor LED, 24V Flexible Lighting")</f>
        <v>Bendable LED Strip, Zig Zag LED Light, Flexible SMD Strip, 2700K Warm White, IP54 Outdoor LED, 24V Flexible Lighting</v>
      </c>
      <c r="AD3" s="21" t="s">
        <v>56</v>
      </c>
    </row>
    <row r="4" ht="37.5" customHeight="1">
      <c r="A4" s="10"/>
      <c r="B4" s="10"/>
      <c r="C4" s="11"/>
      <c r="D4" s="11"/>
      <c r="E4" s="11"/>
      <c r="F4" s="12"/>
      <c r="G4" s="11"/>
      <c r="H4" s="12"/>
      <c r="I4" s="11"/>
      <c r="J4" s="11"/>
      <c r="K4" s="11"/>
      <c r="L4" s="13" t="s">
        <v>57</v>
      </c>
      <c r="M4" s="13" t="s">
        <v>58</v>
      </c>
      <c r="N4"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4000K, RGBW (3000K))
- Voltage (Example 20V, 12V/24V)
- Current Type (Example AC/DC)
- IP Rating (Example IP67, IP68, IP20)
- Impact St"&amp;"rength (Example IK10)
- Optics (Example SYS30°)
- Finish (Example Black, Silver)
- Channel Configuration (Example Singel-Sided, Double-Sided, Bendable Single-Sided, Bendable Double-Sided)
- Dimension (Example 53mm (W) x 14mm (H), 480mm (L) x 240mm (W))
- "&amp;"Strip Width (Example 8mm, 12mm)
- Power Consumption Rate (Example 8W/m, 5W/m)
- Profile Length (Example 1,000mm)
### STRICT OUTPUT RULES
1. Output ONLY the corresponding labels mentioned above separated by pipes ('|'). 
2. Do not include the values in yo"&amp;"ur output.
3. Do not include any conversational text, introductory remarks, or markdown formatting blocks.
4. The number of labels in your output must exactly match the number of values provided in the input.
---
### FEW-SHOT EXAMPLES
#### Example 1 (S"&amp;"tandard Neon Strip)
Input: 1.2W | SYM 30° | 3000K | IP67 | IK10
Output: Power|Optics|Color Temperature|IP Rating|Impact Strength
Input: 7W | Warm White | 12V/24V | AC/DC | IP67 | Black
Output: Power | Light Color | Current Type | IP Rating | Finish
---
"&amp;"
### YOUR TASK
Generate output for the values text ""&amp;M3)"),"Power Consumption Rate|Color Temperature|Voltage|IP Rating|Strip Width")</f>
        <v>Power Consumption Rate|Color Temperature|Voltage|IP Rating|Strip Width</v>
      </c>
      <c r="O4" s="15" t="s">
        <v>51</v>
      </c>
      <c r="P4"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""&amp;O4&amp;"", Values: ""&amp;M4&amp; "" and SKU Code: ""&amp;L4"&amp;")"),"{""Power Consumption Rate"": ""8W/m"", ""Color Temperature"": ""3000K"", ""Voltage"": ""24V"", ""IP Rating"": ""IP54"", ""Strip Width"": ""8mm"", ""SKU"": ""SMD-BEND-8W-3K-IP54""}")</f>
        <v>{"Power Consumption Rate": "8W/m", "Color Temperature": "3000K", "Voltage": "24V", "IP Rating": "IP54", "Strip Width": "8mm", "SKU": "SMD-BEND-8W-3K-IP54"}</v>
      </c>
      <c r="Q4" s="15" t="s">
        <v>59</v>
      </c>
      <c r="R4" s="17"/>
      <c r="S4" s="20"/>
      <c r="T4" s="17"/>
      <c r="U4" s="18"/>
      <c r="V4" s="20"/>
      <c r="W4" s="20"/>
      <c r="X4" s="20"/>
      <c r="Y4" s="20" t="s">
        <v>41</v>
      </c>
      <c r="Z4" s="20" t="s">
        <v>55</v>
      </c>
      <c r="AA4" s="20" t="s">
        <v>43</v>
      </c>
      <c r="AB4" s="21"/>
      <c r="AC4" s="21"/>
      <c r="AD4" s="21"/>
    </row>
    <row r="5" ht="37.5" customHeight="1">
      <c r="A5" s="10"/>
      <c r="B5" s="10"/>
      <c r="C5" s="11"/>
      <c r="D5" s="11"/>
      <c r="E5" s="11"/>
      <c r="F5" s="12"/>
      <c r="G5" s="11"/>
      <c r="H5" s="12"/>
      <c r="I5" s="11"/>
      <c r="J5" s="11"/>
      <c r="K5" s="11"/>
      <c r="L5" s="13" t="s">
        <v>60</v>
      </c>
      <c r="M5" s="13" t="s">
        <v>61</v>
      </c>
      <c r="N5"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4000K, RGBW (3000K))
- Voltage (Example 20V, 12V/24V)
- Current Type (Example AC/DC)
- IP Rating (Example IP67, IP68, IP20)
- Impact St"&amp;"rength (Example IK10)
- Optics (Example SYS30°)
- Finish (Example Black, Silver)
- Channel Configuration (Example Singel-Sided, Double-Sided, Bendable Single-Sided, Bendable Double-Sided)
- Dimension (Example 53mm (W) x 14mm (H), 480mm (L) x 240mm (W))
- "&amp;"Strip Width (Example 8mm, 12mm)
- Power Consumption Rate (Example 8W/m, 5W/m)
- Profile Length (Example 1,000mm)
### STRICT OUTPUT RULES
1. Output ONLY the corresponding labels mentioned above separated by pipes ('|'). 
2. Do not include the values in yo"&amp;"ur output.
3. Do not include any conversational text, introductory remarks, or markdown formatting blocks.
4. The number of labels in your output must exactly match the number of values provided in the input.
---
### FEW-SHOT EXAMPLES
#### Example 1 (S"&amp;"tandard Neon Strip)
Input: 1.2W | SYM 30° | 3000K | IP67 | IK10
Output: Power|Optics|Color Temperature|IP Rating|Impact Strength
Input: 7W | Warm White | 12V/24V | AC/DC | IP67 | Black
Output: Power | Light Color | Current Type | IP Rating | Finish
---
"&amp;"
### YOUR TASK
Generate output for the values text ""&amp;M4)"),"Power Consumption Rate|Color Temperature|Voltage|IP Rating|Strip Width")</f>
        <v>Power Consumption Rate|Color Temperature|Voltage|IP Rating|Strip Width</v>
      </c>
      <c r="O5" s="15" t="s">
        <v>51</v>
      </c>
      <c r="P5"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""&amp;O5&amp;"", Values: ""&amp;M5&amp; "" and SKU Code: ""&amp;L5"&amp;")"),"{""Power Consumption Rate"": ""8W/m"", ""Color Temperature"": ""4000K"", ""Voltage"": ""24V"", ""IP Rating"": ""IP54"", ""Strip Width"": ""8mm"", ""SKU"": ""SMD-BEND-8W-4K-IP54""}")</f>
        <v>{"Power Consumption Rate": "8W/m", "Color Temperature": "4000K", "Voltage": "24V", "IP Rating": "IP54", "Strip Width": "8mm", "SKU": "SMD-BEND-8W-4K-IP54"}</v>
      </c>
      <c r="Q5" s="15" t="s">
        <v>62</v>
      </c>
      <c r="R5" s="17"/>
      <c r="S5" s="20"/>
      <c r="T5" s="17"/>
      <c r="U5" s="18"/>
      <c r="V5" s="20"/>
      <c r="W5" s="20"/>
      <c r="X5" s="20"/>
      <c r="Y5" s="20" t="s">
        <v>41</v>
      </c>
      <c r="Z5" s="20" t="s">
        <v>55</v>
      </c>
      <c r="AA5" s="20" t="s">
        <v>43</v>
      </c>
      <c r="AB5" s="21"/>
      <c r="AC5" s="21"/>
      <c r="AD5" s="21"/>
    </row>
    <row r="6" ht="37.5" customHeight="1">
      <c r="A6" s="10"/>
      <c r="B6" s="10"/>
      <c r="C6" s="11"/>
      <c r="D6" s="11"/>
      <c r="E6" s="11"/>
      <c r="F6" s="12"/>
      <c r="G6" s="11"/>
      <c r="H6" s="12"/>
      <c r="I6" s="11"/>
      <c r="J6" s="11"/>
      <c r="K6" s="11"/>
      <c r="L6" s="13" t="s">
        <v>63</v>
      </c>
      <c r="M6" s="13" t="s">
        <v>64</v>
      </c>
      <c r="N6"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4000K, RGBW (3000K))
- Voltage (Example 20V, 12V/24V)
- Current Type (Example AC/DC)
- IP Rating (Example IP67, IP68, IP20)
- Impact St"&amp;"rength (Example IK10)
- Optics (Example SYS30°)
- Finish (Example Black, Silver)
- Channel Configuration (Example Singel-Sided, Double-Sided, Bendable Single-Sided, Bendable Double-Sided)
- Dimension (Example 53mm (W) x 14mm (H), 480mm (L) x 240mm (W))
- "&amp;"Strip Width (Example 8mm, 12mm)
- Power Consumption Rate (Example 8W/m, 5W/m)
- Profile Length (Example 1,000mm)
### STRICT OUTPUT RULES
1. Output ONLY the corresponding labels mentioned above separated by pipes ('|'). 
2. Do not include the values in yo"&amp;"ur output.
3. Do not include any conversational text, introductory remarks, or markdown formatting blocks.
4. The number of labels in your output must exactly match the number of values provided in the input.
---
### FEW-SHOT EXAMPLES
#### Example 1 (S"&amp;"tandard Neon Strip)
Input: 1.2W | SYM 30° | 3000K | IP67 | IK10
Output: Power|Optics|Color Temperature|IP Rating|Impact Strength
Input: 7W | Warm White | 12V/24V | AC/DC | IP67 | Black
Output: Power | Light Color | Current Type | IP Rating | Finish
---
"&amp;"
### YOUR TASK
Generate output for the values text ""&amp;M5)"),"Power Consumption Rate|Color Temperature|Voltage|IP Rating|Strip Width")</f>
        <v>Power Consumption Rate|Color Temperature|Voltage|IP Rating|Strip Width</v>
      </c>
      <c r="O6" s="15" t="s">
        <v>51</v>
      </c>
      <c r="P6"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""&amp;O6&amp;"", Values: ""&amp;M6&amp; "" and SKU Code: ""&amp;L6"&amp;")"),"{""Power Consumption Rate"": ""5W/m"", ""Color Temperature"": ""RGBW (3000K)"", ""Voltage"": ""24V"", ""IP Rating"": ""IP20"", ""Strip Width"": ""12mm"", ""SKU"": ""SMD-BEND-5W-RGBW-IP54""}")</f>
        <v>{"Power Consumption Rate": "5W/m", "Color Temperature": "RGBW (3000K)", "Voltage": "24V", "IP Rating": "IP20", "Strip Width": "12mm", "SKU": "SMD-BEND-5W-RGBW-IP54"}</v>
      </c>
      <c r="Q6" s="15" t="s">
        <v>65</v>
      </c>
      <c r="R6" s="17"/>
      <c r="S6" s="20"/>
      <c r="T6" s="17"/>
      <c r="U6" s="18"/>
      <c r="V6" s="20"/>
      <c r="W6" s="20"/>
      <c r="X6" s="20"/>
      <c r="Y6" s="20" t="s">
        <v>41</v>
      </c>
      <c r="Z6" s="20" t="s">
        <v>66</v>
      </c>
      <c r="AA6" s="20" t="s">
        <v>43</v>
      </c>
      <c r="AB6" s="21"/>
      <c r="AC6" s="21"/>
      <c r="AD6" s="21"/>
    </row>
    <row r="7" ht="37.5" customHeight="1">
      <c r="A7" s="10"/>
      <c r="B7" s="24"/>
      <c r="C7" s="24"/>
      <c r="D7" s="24"/>
      <c r="E7" s="24"/>
      <c r="F7" s="25"/>
      <c r="G7" s="24"/>
      <c r="H7" s="12"/>
      <c r="I7" s="11"/>
      <c r="J7" s="24"/>
      <c r="K7" s="24"/>
      <c r="L7" s="13" t="s">
        <v>67</v>
      </c>
      <c r="M7" s="13" t="s">
        <v>68</v>
      </c>
      <c r="N7"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4000K, RGBW (3000K))
- Voltage (Example 20V, 12V/24V)
- Current Type (Example AC/DC)
- IP Rating (Example IP67, IP68, IP20)
- Impact St"&amp;"rength (Example IK10)
- Optics (Example SYS30°)
- Finish (Example Black, Silver)
- Channel Configuration (Example Singel-Sided, Double-Sided, Bendable Single-Sided, Bendable Double-Sided)
- Dimension (Example 53mm (W) x 14mm (H), 480mm (L) x 240mm (W))
- "&amp;"Strip Width (Example 8mm, 12mm)
- Power Consumption Rate (Example 8W/m, 5W/m)
- Profile Length (Example 1,000mm)
### STRICT OUTPUT RULES
1. Output ONLY the corresponding labels mentioned above separated by pipes ('|'). 
2. Do not include the values in yo"&amp;"ur output.
3. Do not include any conversational text, introductory remarks, or markdown formatting blocks.
4. The number of labels in your output must exactly match the number of values provided in the input.
---
### FEW-SHOT EXAMPLES
#### Example 1 (S"&amp;"tandard Neon Strip)
Input: 1.2W | SYM 30° | 3000K | IP67 | IK10
Output: Power|Optics|Color Temperature|IP Rating|Impact Strength
Input: 7W | Warm White | 12V/24V | AC/DC | IP67 | Black
Output: Power | Light Color | Current Type | IP Rating | Finish
---
"&amp;"
### YOUR TASK
Generate output for the values text ""&amp;M6)"),"Power Consumption Rate|Color Temperature|Voltage|IP Rating|Strip Width")</f>
        <v>Power Consumption Rate|Color Temperature|Voltage|IP Rating|Strip Width</v>
      </c>
      <c r="O7" s="15" t="s">
        <v>51</v>
      </c>
      <c r="P7"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""&amp;O7&amp;"", Values: ""&amp;M7&amp; "" and SKU Code: ""&amp;L7"&amp;")"),"{""Power Consumption Rate"": ""8W/m"", ""Color Temperature"": ""2700K"", ""Voltage"": ""24V"", ""IP Rating"": ""IP20"", ""Strip Width"": ""8mm"", ""SKU"": ""SMD-BEND-8W-2.7K-IP20""}")</f>
        <v>{"Power Consumption Rate": "8W/m", "Color Temperature": "2700K", "Voltage": "24V", "IP Rating": "IP20", "Strip Width": "8mm", "SKU": "SMD-BEND-8W-2.7K-IP20"}</v>
      </c>
      <c r="Q7" s="15" t="s">
        <v>69</v>
      </c>
      <c r="R7" s="26"/>
      <c r="S7" s="27"/>
      <c r="T7" s="26"/>
      <c r="U7" s="28"/>
      <c r="V7" s="27"/>
      <c r="W7" s="27"/>
      <c r="X7" s="27"/>
      <c r="Y7" s="20" t="s">
        <v>41</v>
      </c>
      <c r="Z7" s="20" t="s">
        <v>55</v>
      </c>
      <c r="AA7" s="20" t="s">
        <v>43</v>
      </c>
      <c r="AB7" s="21"/>
      <c r="AC7" s="21"/>
      <c r="AD7" s="21"/>
    </row>
    <row r="8" ht="37.5" customHeight="1">
      <c r="A8" s="10"/>
      <c r="B8" s="24"/>
      <c r="C8" s="24"/>
      <c r="D8" s="24"/>
      <c r="E8" s="24"/>
      <c r="F8" s="25"/>
      <c r="G8" s="24"/>
      <c r="H8" s="12"/>
      <c r="I8" s="11"/>
      <c r="J8" s="24"/>
      <c r="K8" s="24"/>
      <c r="L8" s="13" t="s">
        <v>70</v>
      </c>
      <c r="M8" s="13" t="s">
        <v>71</v>
      </c>
      <c r="N8"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4000K, RGBW (3000K))
- Voltage (Example 20V, 12V/24V)
- Current Type (Example AC/DC)
- IP Rating (Example IP67, IP68, IP20)
- Impact St"&amp;"rength (Example IK10)
- Optics (Example SYS30°)
- Finish (Example Black, Silver)
- Channel Configuration (Example Singel-Sided, Double-Sided, Bendable Single-Sided, Bendable Double-Sided)
- Dimension (Example 53mm (W) x 14mm (H), 480mm (L) x 240mm (W))
- "&amp;"Strip Width (Example 8mm, 12mm)
- Power Consumption Rate (Example 8W/m, 5W/m)
- Profile Length (Example 1,000mm)
### STRICT OUTPUT RULES
1. Output ONLY the corresponding labels mentioned above separated by pipes ('|'). 
2. Do not include the values in yo"&amp;"ur output.
3. Do not include any conversational text, introductory remarks, or markdown formatting blocks.
4. The number of labels in your output must exactly match the number of values provided in the input.
---
### FEW-SHOT EXAMPLES
#### Example 1 (S"&amp;"tandard Neon Strip)
Input: 1.2W | SYM 30° | 3000K | IP67 | IK10
Output: Power|Optics|Color Temperature|IP Rating|Impact Strength
Input: 7W | Warm White | 12V/24V | AC/DC | IP67 | Black
Output: Power | Light Color | Current Type | IP Rating | Finish
---
"&amp;"
### YOUR TASK
Generate output for the values text ""&amp;M7)"),"Power Consumption Rate|Color Temperature|Voltage|IP Rating|Strip Width")</f>
        <v>Power Consumption Rate|Color Temperature|Voltage|IP Rating|Strip Width</v>
      </c>
      <c r="O8" s="15" t="s">
        <v>51</v>
      </c>
      <c r="P8"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""&amp;O8&amp;"", Values: ""&amp;M8&amp; "" and SKU Code: ""&amp;L8"&amp;")"),"{""Power Consumption Rate"": ""8W/m"", ""Color Temperature"": ""3000K"", ""Voltage"": ""24V"", ""IP Rating"": ""IP20"", ""Strip Width"": ""8mm"", ""SKU"": ""SMD-BEND-8W-3K-IP20""}")</f>
        <v>{"Power Consumption Rate": "8W/m", "Color Temperature": "3000K", "Voltage": "24V", "IP Rating": "IP20", "Strip Width": "8mm", "SKU": "SMD-BEND-8W-3K-IP20"}</v>
      </c>
      <c r="Q8" s="15" t="s">
        <v>72</v>
      </c>
      <c r="R8" s="26"/>
      <c r="S8" s="27"/>
      <c r="T8" s="26"/>
      <c r="U8" s="28"/>
      <c r="V8" s="27"/>
      <c r="W8" s="27"/>
      <c r="X8" s="27"/>
      <c r="Y8" s="20" t="s">
        <v>41</v>
      </c>
      <c r="Z8" s="20" t="s">
        <v>55</v>
      </c>
      <c r="AA8" s="20" t="s">
        <v>43</v>
      </c>
      <c r="AB8" s="21"/>
      <c r="AC8" s="21"/>
      <c r="AD8" s="21"/>
    </row>
    <row r="9" ht="37.5" customHeight="1">
      <c r="A9" s="10"/>
      <c r="B9" s="24"/>
      <c r="C9" s="24"/>
      <c r="D9" s="24"/>
      <c r="E9" s="24"/>
      <c r="F9" s="25"/>
      <c r="G9" s="24"/>
      <c r="H9" s="12"/>
      <c r="I9" s="11"/>
      <c r="J9" s="24"/>
      <c r="K9" s="24"/>
      <c r="L9" s="13" t="s">
        <v>73</v>
      </c>
      <c r="M9" s="13" t="s">
        <v>74</v>
      </c>
      <c r="N9"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4000K, RGBW (3000K))
- Voltage (Example 20V, 12V/24V)
- Current Type (Example AC/DC)
- IP Rating (Example IP67, IP68, IP20)
- Impact St"&amp;"rength (Example IK10)
- Optics (Example SYS30°)
- Finish (Example Black, Silver)
- Channel Configuration (Example Singel-Sided, Double-Sided, Bendable Single-Sided, Bendable Double-Sided)
- Dimension (Example 53mm (W) x 14mm (H), 480mm (L) x 240mm (W))
- "&amp;"Strip Width (Example 8mm, 12mm)
- Power Consumption Rate (Example 8W/m, 5W/m)
- Profile Length (Example 1,000mm)
### STRICT OUTPUT RULES
1. Output ONLY the corresponding labels mentioned above separated by pipes ('|'). 
2. Do not include the values in yo"&amp;"ur output.
3. Do not include any conversational text, introductory remarks, or markdown formatting blocks.
4. The number of labels in your output must exactly match the number of values provided in the input.
---
### FEW-SHOT EXAMPLES
#### Example 1 (S"&amp;"tandard Neon Strip)
Input: 1.2W | SYM 30° | 3000K | IP67 | IK10
Output: Power|Optics|Color Temperature|IP Rating|Impact Strength
Input: 7W | Warm White | 12V/24V | AC/DC | IP67 | Black
Output: Power | Light Color | Current Type | IP Rating | Finish
---
"&amp;"
### YOUR TASK
Generate output for the values text ""&amp;M8)"),"Power Consumption Rate|Color Temperature|Voltage|IP Rating|Strip Width")</f>
        <v>Power Consumption Rate|Color Temperature|Voltage|IP Rating|Strip Width</v>
      </c>
      <c r="O9" s="15" t="s">
        <v>51</v>
      </c>
      <c r="P9"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""&amp;O9&amp;"", Values: ""&amp;M9&amp; "" and SKU Code: ""&amp;L9"&amp;")"),"{""Power Consumption Rate"": ""8W/m"", ""Color Temperature"": ""4000K"", ""Voltage"": ""24V"", ""IP Rating"": ""IP20"", ""Strip Width"": ""8mm"", ""SKU"": ""SMD-BEND-8W-4K-IP20""}")</f>
        <v>{"Power Consumption Rate": "8W/m", "Color Temperature": "4000K", "Voltage": "24V", "IP Rating": "IP20", "Strip Width": "8mm", "SKU": "SMD-BEND-8W-4K-IP20"}</v>
      </c>
      <c r="Q9" s="15" t="s">
        <v>75</v>
      </c>
      <c r="R9" s="26"/>
      <c r="S9" s="27"/>
      <c r="T9" s="26"/>
      <c r="U9" s="28"/>
      <c r="V9" s="27"/>
      <c r="W9" s="27"/>
      <c r="X9" s="27"/>
      <c r="Y9" s="20" t="s">
        <v>41</v>
      </c>
      <c r="Z9" s="20" t="s">
        <v>55</v>
      </c>
      <c r="AA9" s="20" t="s">
        <v>43</v>
      </c>
      <c r="AB9" s="21"/>
      <c r="AC9" s="21"/>
      <c r="AD9" s="21"/>
    </row>
    <row r="10" ht="37.5" customHeight="1">
      <c r="A10" s="10" t="s">
        <v>76</v>
      </c>
      <c r="B10" s="11" t="s">
        <v>77</v>
      </c>
      <c r="C10" s="11" t="s">
        <v>32</v>
      </c>
      <c r="D10" s="11" t="s">
        <v>78</v>
      </c>
      <c r="E10" s="11" t="s">
        <v>34</v>
      </c>
      <c r="F10" s="12" t="str">
        <f>IFERROR(__xludf.DUMMYFUNCTION("AI(""Give me a paragraph marketing spiel for this product, no tech specs just marketing fluff "")"),"Transform your home into a breathtaking visual journey with a perfect blend of elegance and modern design. This premium lighting solution offers a sophisticated, seamless glow that beautifully enhances your elegant spaces, casting a warm and inviting atmo"&amp;"sphere throughout. Crafted for those who appreciate refined detail and discreet luxury, it adds an unparalleled touch of ambiance, warmth, and captivating style to any room, making it the ultimate choice for elevated interior illumination.")</f>
        <v>Transform your home into a breathtaking visual journey with a perfect blend of elegance and modern design. This premium lighting solution offers a sophisticated, seamless glow that beautifully enhances your elegant spaces, casting a warm and inviting atmosphere throughout. Crafted for those who appreciate refined detail and discreet luxury, it adds an unparalleled touch of ambiance, warmth, and captivating style to any room, making it the ultimate choice for elevated interior illumination.</v>
      </c>
      <c r="G10" s="11" t="s">
        <v>79</v>
      </c>
      <c r="H10" s="12" t="str">
        <f>IFERROR(__xludf.DUMMYFUNCTION("AI(""Give me a paragraph marketing spiel for this product, no tech specs just marketing fluff under 180 characters "")"),"Transform your home into a breathtaking visual journey. Experience discreet luxury and a sophisticated, seamless glow that beautifully enhances your elegant spaces.")</f>
        <v>Transform your home into a breathtaking visual journey. Experience discreet luxury and a sophisticated, seamless glow that beautifully enhances your elegant spaces.</v>
      </c>
      <c r="I10" s="11" t="s">
        <v>80</v>
      </c>
      <c r="J10" s="24"/>
      <c r="K10" s="24"/>
      <c r="L10" s="13" t="s">
        <v>76</v>
      </c>
      <c r="M10" s="13" t="s">
        <v>81</v>
      </c>
      <c r="N10"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4000K, RGBW (3000K))
- Voltage (Example 20V, 12V/24V)
- Current Type (Example AC/DC)
- IP Rating (Example IP67, IP68, IP20)
- Impact St"&amp;"rength (Example IK10)
- Optics (Example SYS30°)
- Finish (Example Black, Silver)
- Channel Configuration (Example Singel-Sided, Double-Sided, Bendable Single-Sided, Bendable Double-Sided)
- Dimension (Example 53mm (W) x 14mm (H), 480mm (L) x 240mm (W))
- "&amp;"Strip Width (Example 8mm, 12mm)
- Power Consumption Rate (Example 8W/m, 5W/m)
- Profile Length (Example 1,000mm)
### STRICT OUTPUT RULES
1. Output ONLY the corresponding labels mentioned above separated by pipes ('|'). 
2. Do not include the values in yo"&amp;"ur output.
3. Do not include any conversational text, introductory remarks, or markdown formatting blocks.
4. The number of labels in your output must exactly match the number of values provided in the input.
---
### FEW-SHOT EXAMPLES
#### Example 1 (S"&amp;"tandard Neon Strip)
Input: 1.2W | SYM 30° | 3000K | IP67 | IK10
Output: Power|Optics|Color Temperature|IP Rating|Impact Strength
Input: 7W | Warm White | 12V/24V | AC/DC | IP67 | Black
Output: Power | Light Color | Current Type | IP Rating | Finish
---
"&amp;"
### YOUR TASK
Generate output for the values text ""&amp;M9)"),"Power|Color Temperature|Voltage|IP Rating|Dimension")</f>
        <v>Power|Color Temperature|Voltage|IP Rating|Dimension</v>
      </c>
      <c r="O10" s="15" t="s">
        <v>82</v>
      </c>
      <c r="P10"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""&amp;O10&amp;"", Values: ""&amp;M10&amp; "" and SKU Code: ""&amp;"&amp;"L10)"),"{""Power"": ""30W"", ""Color Temperature"": ""3000K"", ""Voltage"": ""24V"", ""IP Rating"": ""IP20"", ""Dimension"": ""480mm (L) x 240mm (W)"", ""SKU"": ""SMD-SHEET-30W-3K-IP20""}")</f>
        <v>{"Power": "30W", "Color Temperature": "3000K", "Voltage": "24V", "IP Rating": "IP20", "Dimension": "480mm (L) x 240mm (W)", "SKU": "SMD-SHEET-30W-3K-IP20"}</v>
      </c>
      <c r="Q10" s="15" t="s">
        <v>83</v>
      </c>
      <c r="R10" s="17" t="str">
        <f>IFERROR(__xludf.DUMMYFUNCTION("AI(""Act as a JSON Data Processing Specialist. I have a series of individual JSON objects that need to be merged into a single consolidated JSON object.  
Please merge them following these rules:  
1. Preserve all unique keys present across the objects. "&amp;" 
2. If a key has the same value across all objects, render it as a single primitive value (string/number).  
3. If a key has multiple distinct values across the objects, combine them into an array containing only the unique values (deduplicated).  
4. Ma"&amp;"intain a clean, properly formatted, and valid JSON structure.  
Here is the input data:"", Q10:Q18)"),"{""Power"": ""30W"", ""Color Temperature"": [""3000K"", ""4000K"", ""6000K""], ""Voltage"": ""24V"", ""IP Rating"": [""IP20"", ""IP54"", ""IP67""], ""Dimension"": ""480mm (L) x 240mm (W)"", ""SKU"": [""SMD-SHEET-30W-3K-IP20"", ""SMD-SHEET-30W-4K-IP20"", "&amp;"""SMD-SHEET-30W-6K-IP20"", ""SMD-SHEET-30W-3K-IP54"", ""SMD-SHEET-30W-4K-IP54"", ""SMD-SHEET-30W-6K-IP54"", ""SMD-SHEET-30W-3K-IP67"", ""SMD-SHEET-30W-4K-IP67"", ""SMD-SHEET-30W-6K-IP67""]}")</f>
        <v>{"Power": "30W", "Color Temperature": ["3000K", "4000K", "6000K"], "Voltage": "24V", "IP Rating": ["IP20", "IP54", "IP67"], "Dimension": "480mm (L) x 240mm (W)", "SKU": ["SMD-SHEET-30W-3K-IP20", "SMD-SHEET-30W-4K-IP20", "SMD-SHEET-30W-6K-IP20", "SMD-SHEET-30W-3K-IP54", "SMD-SHEET-30W-4K-IP54", "SMD-SHEET-30W-6K-IP54", "SMD-SHEET-30W-3K-IP67", "SMD-SHEET-30W-4K-IP67", "SMD-SHEET-30W-6K-IP67"]}</v>
      </c>
      <c r="S10" s="20" t="s">
        <v>84</v>
      </c>
      <c r="T10" s="17" t="str">
        <f>IFERROR(__xludf.DUMMYFUNCTION("AI(""You are a product catalog configuration expert. Your task is to analyze a list of valid product variant combinations (provided as JSON lines/objects) and generate three JSON structures: """"Options"""", """"Constraints"""" and """"sku_mappings"""".
"&amp;"### Instructions:
1. **Extract Options:**
   - Group all unique values by their attribute keys (e.g., Power, Optics, Color Temperature, IP Rating, Impact Strength).
   - Assign a unique sequential integer string ID to every attribute value, starting from"&amp;" """"101"""" and incrementing by 1 in the order they appear.
   - Format each attribute as an array of objects: `[{""""name"""": """"VALUE"""", """"id"""": """"ID""""}]`.
2. **Determine Constraints (Incompatibilities):**
   - Identify attribute pairs tha"&amp;"t are impossible or missing from the valid combinations.
   - Specifically, map an ID of an Option Value to an array of Option Value IDs that **cannot** be selected with it.
   - Output constraints in the format: `""""OPTION_ID"""": [INCOMPATIBLE_OPTION_I"&amp;"D]`.
   - Only list meaningful non-empty constraints. Express constraints using the primary driving factor (e.g., optic limitation over CCT).
3. **Determine sku_mappings:**
   - Identify the valid combination and create a array with sku and combination c"&amp;"ontaining array of options ID
4. **Output Format:**
   - Return strictly valid JSON containing two root keys: """"Options"""", """"Constraints"""" and """"sku_mappings"""".
   - Do not wrap the JSON in conversational filler text.
---
### Example Input"&amp;":
{""""SKU"""":""""HRS001"""", """"Power"""": """"1.2W"""", """"Optics"""": """"SYM30°"""", """"Color Temperature"""": """"3000K"""", """"IP Rating"""": """"IP67"""", """"Impact Strength"""": """"IK10""""}
{""""SKU"""":""""HRS002"""", """"Power"""": """"1"&amp;".2W"""", """"Optics"""": """"SYM30°"""", """"Color Temperature"""": """"4000K"""", """"IP Rating"""": """"IP67"""", """"Impact Strength"""": """"IK10""""}
{""""SKU"""":""""HRS003"""", """"Power"""": """"1.2W"""", """"Optics"""": """"SYM60°"""", """"Color "&amp;"Temperature"""": """"3000K"""", """"IP Rating"""": """"IP67"""", """"Impact Strength"""": """"IK10""""}
{""""SKU"""":""""HRS004"""", """"Power"""": """"1.2W"""", """"Optics"""": """"SYM60°"""", """"Color Temperature"""": """"4000K"""", """"IP Rating"""": "&amp;"""""IP67"""", """"Impact Strength"""": """"IK10""""}
{""""SKU"""":""""HRS005"""", """"Power"""": """"1.2W"""", """"Optics"""": """"ASYM50°"""", """"Color Temperature"""": """"3000K"""", """"IP Rating"""": """"IP67"""", """"Impact Strength"""": """"IK10"""&amp;"""}
### Example Output:
{
  """"Options"""": {
    """"Power"""": [
      {""""name"""": """"1.2W"""", """"id"""": """"101""""}
    ],
    """"Optics"""": [
      {""""name"""": """"SYM30°"""", """"id"""": """"102""""},
      {""""name"""": """"SYM60°"""&amp;""", """"id"""": """"103""""},
      {""""name"""": """"ASYM50°"""", """"id"""": """"104""""}
    ],
    """"Color Temperature"""": [
      {""""name"""": """"3000K"""", """"id"""": """"105""""},
      {""""name"""": """"4000K"""", """"id"""": """"106""""}"&amp;"
    ],
    """"IP Rating"""": [
      {""""name"""": """"IP67"""", """"id"""": """"107""""}
    ],
    """"Impact Strength"""": [
      {""""name"""": """"IK10"""", """"id"""": """"108""""}
    ]
  },
  """"Constraints"""": {
    """"104"""": [106]
  },
"&amp;"""""sku_mappings"""": [
      { """"sku"""": """"HRS001"""", """"combination"""": [""""101"""", """"102"""", """"105"""", """"107"""", """"108""""] },
      { """"sku"""": """"HRS002"""", """"combination"""": [""""101"""", """"102"""", """"106"""", """"10"&amp;"7"""", """"108""""] },
      { """"sku"""": """"HRS003"""", """"combination"""": [""""101"""", """"103"""", """"105"""", """"107"""", """"108""""] },
      { """"sku"""": """"HRS004"""", """"combination"""": [""""101"""", """"103"""", """"106"""", """"107"&amp;""""", """"108""""] },
      { """"sku"""": """"HRS005"""", """"combination"""": [""""101"""", """"104"""", """"105"""", """"107"""", """"108""""] },
      { """"sku"""": """"HRS006"""", """"combination"""": [""""101"""", """"104"""", """"106"""", """"107"&amp;""""", """"108""""] }
    ]
}
Process the following product variant combinations and output the """"Options"""", """"Constraints"""" and """"sku_mappings"""" JSON:"", Q10:Q18)"),"{""Options"":{""Power"":[{""name"":""30W"",""id"":""101""}],""Color Temperature"":[{""name"":""3000K"",""id"":""102""},{""name"":""4000K"",""id"":""103""},{""name"":""6000K"",""id"":""104""}],""Voltage"":[{""name"":""24V"",""id"":""105""}],""IP Rating"":["&amp;"{""name"":""IP20"",""id"":""106""},{""name"":""IP54"",""id"":""107""},{""name"":""IP67"",""id"":""108""}],""Dimension"":[{""name"":""480mm (L) x 240mm (W)"",""id"":""109""}]},""Constraints"":{},""sku_mappings"":[{""sku"":""SMD-SHEET-30W-3K-IP20"",""combin"&amp;"ation"":[""101"",""102"",""105"",""106"",""109""]},{""sku"":""SMD-SHEET-30W-4K-IP20"",""combination"":[""101"",""103"",""105"",""106"",""109""]},{""sku"":""SMD-SHEET-30W-6K-IP20"",""combination"":[""101"",""104"",""105"",""106"",""109""]},{""sku"":""SMD-S"&amp;"HEET-30W-3K-IP54"",""combination"":[""101"",""102"",""105"",""107"",""109""]},{""sku"":""SMD-SHEET-30W-4K-IP54"",""combination"":[""101"",""103"",""105"",""107"",""109""]},{""sku"":""SMD-SHEET-30W-6K-IP54"",""combination"":[""101"",""104"",""105"",""107"""&amp;",""109""]},{""sku"":""SMD-SHEET-30W-3K-IP67"",""combination"":[""101"",""102"",""105"",""108"",""109""]},{""sku"":""SMD-SHEET-30W-4K-IP67"",""combination"":[""101"",""103"",""105"",""108"",""109""]},{""sku"":""SMD-SHEET-30W-6K-IP67"",""combination"":[""10"&amp;"1"",""104"",""105"",""108"",""109""]}]}")</f>
        <v>{"Options":{"Power":[{"name":"30W","id":"101"}],"Color Temperature":[{"name":"3000K","id":"102"},{"name":"4000K","id":"103"},{"name":"6000K","id":"104"}],"Voltage":[{"name":"24V","id":"105"}],"IP Rating":[{"name":"IP20","id":"106"},{"name":"IP54","id":"107"},{"name":"IP67","id":"108"}],"Dimension":[{"name":"480mm (L) x 240mm (W)","id":"109"}]},"Constraints":{},"sku_mappings":[{"sku":"SMD-SHEET-30W-3K-IP20","combination":["101","102","105","106","109"]},{"sku":"SMD-SHEET-30W-4K-IP20","combination":["101","103","105","106","109"]},{"sku":"SMD-SHEET-30W-6K-IP20","combination":["101","104","105","106","109"]},{"sku":"SMD-SHEET-30W-3K-IP54","combination":["101","102","105","107","109"]},{"sku":"SMD-SHEET-30W-4K-IP54","combination":["101","103","105","107","109"]},{"sku":"SMD-SHEET-30W-6K-IP54","combination":["101","104","105","107","109"]},{"sku":"SMD-SHEET-30W-3K-IP67","combination":["101","102","105","108","109"]},{"sku":"SMD-SHEET-30W-4K-IP67","combination":["101","103","105","108","109"]},{"sku":"SMD-SHEET-30W-6K-IP67","combination":["101","104","105","108","109"]}]}</v>
      </c>
      <c r="U10" s="18" t="s">
        <v>85</v>
      </c>
      <c r="V10" s="19" t="str">
        <f>IFERROR(__xludf.DUMMYFUNCTION("AI(""Extract options object from the json"", U10)"),"{""Power"":[{""name"":""30W"",""id"":""101""}],""Color Temperature"":[{""name"":""3000K"",""id"":""102""},{""name"":""4000K"",""id"":""103""},{""name"":""6000K"",""id"":""104""}],""Voltage"":[{""name"":""24V"",""id"":""105""}],""IP Rating"":[{""name"":""I"&amp;"P20"",""id"":""106""},{""name"":""IP54"",""id"":""107""},{""name"":""IP67"",""id"":""108""}],""Dimension"":[{""name"":""480mm (L) x 240mm (W)"",""id"":""109""}]}")</f>
        <v>{"Power":[{"name":"30W","id":"101"}],"Color Temperature":[{"name":"3000K","id":"102"},{"name":"4000K","id":"103"},{"name":"6000K","id":"104"}],"Voltage":[{"name":"24V","id":"105"}],"IP Rating":[{"name":"IP20","id":"106"},{"name":"IP54","id":"107"},{"name":"IP67","id":"108"}],"Dimension":[{"name":"480mm (L) x 240mm (W)","id":"109"}]}</v>
      </c>
      <c r="W10" s="19" t="str">
        <f>IFERROR(__xludf.DUMMYFUNCTION("AI(""Extract constraints object from the json"", U10)"),"{}")</f>
        <v>{}</v>
      </c>
      <c r="X10" s="19" t="str">
        <f>IFERROR(__xludf.DUMMYFUNCTION("AI(""Extract sku_mappings object from the json"", U10)"),"[{""sku"":""SMD-SHEET-30W-3K-IP20"",""combination"":[""101"",""102"",""105"",""106"",""109""]},{""sku"":""SMD-SHEET-30W-4K-IP20"",""combination"":[""101"",""103"",""105"",""106"",""109""]},{""sku"":""SMD-SHEET-30W-6K-IP20"",""combination"":[""101"",""104"&amp;""",""105"",""106"",""109""]},{""sku"":""SMD-SHEET-30W-3K-IP54"",""combination"":[""101"",""102"",""105"",""107"",""109""]},{""sku"":""SMD-SHEET-30W-4K-IP54"",""combination"":[""101"",""103"",""105"",""107"",""109""]},{""sku"":""SMD-SHEET-30W-6K-IP54"",""c"&amp;"ombination"":[""101"",""104"",""105"",""107"",""109""]},{""sku"":""SMD-SHEET-30W-3K-IP67"",""combination"":[""101"",""102"",""105"",""108"",""109""]},{""sku"":""SMD-SHEET-30W-4K-IP67"",""combination"":[""101"",""103"",""105"",""108"",""109""]},{""sku"":"""&amp;"SMD-SHEET-30W-6K-IP67"",""combination"":[""101"",""104"",""105"",""108"",""109""]}]")</f>
        <v>[{"sku":"SMD-SHEET-30W-3K-IP20","combination":["101","102","105","106","109"]},{"sku":"SMD-SHEET-30W-4K-IP20","combination":["101","103","105","106","109"]},{"sku":"SMD-SHEET-30W-6K-IP20","combination":["101","104","105","106","109"]},{"sku":"SMD-SHEET-30W-3K-IP54","combination":["101","102","105","107","109"]},{"sku":"SMD-SHEET-30W-4K-IP54","combination":["101","103","105","107","109"]},{"sku":"SMD-SHEET-30W-6K-IP54","combination":["101","104","105","107","109"]},{"sku":"SMD-SHEET-30W-3K-IP67","combination":["101","102","105","108","109"]},{"sku":"SMD-SHEET-30W-4K-IP67","combination":["101","103","105","108","109"]},{"sku":"SMD-SHEET-30W-6K-IP67","combination":["101","104","105","108","109"]}]</v>
      </c>
      <c r="Y10" s="20" t="s">
        <v>41</v>
      </c>
      <c r="Z10" s="20" t="s">
        <v>86</v>
      </c>
      <c r="AA10" s="20" t="s">
        <v>43</v>
      </c>
      <c r="AB10" s="21"/>
      <c r="AC10" s="22" t="str">
        <f>IFERROR(__xludf.DUMMYFUNCTION("AI(""Generate 6 powerful unique keywords for the product in this row"")"),"LED sheet lighting, flexible LED sheet, backlighting panel, 30W LED sheet, 24V flexible LED, 3000K warm white")</f>
        <v>LED sheet lighting, flexible LED sheet, backlighting panel, 30W LED sheet, 24V flexible LED, 3000K warm white</v>
      </c>
      <c r="AD10" s="21" t="s">
        <v>87</v>
      </c>
    </row>
    <row r="11" ht="37.5" customHeight="1">
      <c r="A11" s="10"/>
      <c r="B11" s="24"/>
      <c r="C11" s="24"/>
      <c r="D11" s="24"/>
      <c r="E11" s="24"/>
      <c r="F11" s="25"/>
      <c r="G11" s="24"/>
      <c r="H11" s="12"/>
      <c r="I11" s="11"/>
      <c r="J11" s="24"/>
      <c r="K11" s="24"/>
      <c r="L11" s="13" t="s">
        <v>88</v>
      </c>
      <c r="M11" s="13" t="s">
        <v>89</v>
      </c>
      <c r="N11"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4000K, RGBW (3000K))
- Voltage (Example 20V, 12V/24V)
- Current Type (Example AC/DC)
- IP Rating (Example IP67, IP68, IP20)
- Impact St"&amp;"rength (Example IK10)
- Optics (Example SYS30°)
- Finish (Example Black, Silver)
- Channel Configuration (Example Singel-Sided, Double-Sided, Bendable Single-Sided, Bendable Double-Sided)
- Dimension (Example 53mm (W) x 14mm (H), 480mm (L) x 240mm (W))
- "&amp;"Strip Width (Example 8mm, 12mm)
- Power Consumption Rate (Example 8W/m, 5W/m)
- Profile Length (Example 1,000mm)
### STRICT OUTPUT RULES
1. Output ONLY the corresponding labels mentioned above separated by pipes ('|'). 
2. Do not include the values in yo"&amp;"ur output.
3. Do not include any conversational text, introductory remarks, or markdown formatting blocks.
4. The number of labels in your output must exactly match the number of values provided in the input.
---
### FEW-SHOT EXAMPLES
#### Example 1 (S"&amp;"tandard Neon Strip)
Input: 1.2W | SYM 30° | 3000K | IP67 | IK10
Output: Power|Optics|Color Temperature|IP Rating|Impact Strength
Input: 7W | Warm White | 12V/24V | AC/DC | IP67 | Black
Output: Power | Light Color | Current Type | IP Rating | Finish
---
"&amp;"
### YOUR TASK
Generate output for the values text ""&amp;M10)"),"Power|Color Temperature|Voltage|IP Rating|Dimension")</f>
        <v>Power|Color Temperature|Voltage|IP Rating|Dimension</v>
      </c>
      <c r="O11" s="15" t="s">
        <v>82</v>
      </c>
      <c r="P11"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""&amp;O11&amp;"", Values: ""&amp;M11&amp; "" and SKU Code: ""&amp;"&amp;"L11)"),"{""Power"": ""30W"", ""Color Temperature"": ""4000K"", ""Voltage"": ""24V"", ""IP Rating"": ""IP20"", ""Dimension"": ""480mm (L) x 240mm (W)"", ""SKU"": ""SMD-SHEET-30W-4K-IP20""}")</f>
        <v>{"Power": "30W", "Color Temperature": "4000K", "Voltage": "24V", "IP Rating": "IP20", "Dimension": "480mm (L) x 240mm (W)", "SKU": "SMD-SHEET-30W-4K-IP20"}</v>
      </c>
      <c r="Q11" s="15" t="s">
        <v>90</v>
      </c>
      <c r="R11" s="26"/>
      <c r="S11" s="27"/>
      <c r="T11" s="26"/>
      <c r="U11" s="28"/>
      <c r="V11" s="27"/>
      <c r="W11" s="27"/>
      <c r="X11" s="27"/>
      <c r="Y11" s="20" t="s">
        <v>41</v>
      </c>
      <c r="Z11" s="20" t="s">
        <v>86</v>
      </c>
      <c r="AA11" s="20" t="s">
        <v>43</v>
      </c>
      <c r="AB11" s="21"/>
      <c r="AC11" s="21"/>
      <c r="AD11" s="21"/>
    </row>
    <row r="12" ht="37.5" customHeight="1">
      <c r="A12" s="10"/>
      <c r="B12" s="24"/>
      <c r="C12" s="24"/>
      <c r="D12" s="24"/>
      <c r="E12" s="24"/>
      <c r="F12" s="25"/>
      <c r="G12" s="24"/>
      <c r="H12" s="12"/>
      <c r="I12" s="11"/>
      <c r="J12" s="24"/>
      <c r="K12" s="24"/>
      <c r="L12" s="13" t="s">
        <v>91</v>
      </c>
      <c r="M12" s="13" t="s">
        <v>92</v>
      </c>
      <c r="N12"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4000K, RGBW (3000K))
- Voltage (Example 20V, 12V/24V)
- Current Type (Example AC/DC)
- IP Rating (Example IP67, IP68, IP20)
- Impact St"&amp;"rength (Example IK10)
- Optics (Example SYS30°)
- Finish (Example Black, Silver)
- Channel Configuration (Example Singel-Sided, Double-Sided, Bendable Single-Sided, Bendable Double-Sided)
- Dimension (Example 53mm (W) x 14mm (H), 480mm (L) x 240mm (W))
- "&amp;"Strip Width (Example 8mm, 12mm)
- Power Consumption Rate (Example 8W/m, 5W/m)
- Profile Length (Example 1,000mm)
### STRICT OUTPUT RULES
1. Output ONLY the corresponding labels mentioned above separated by pipes ('|'). 
2. Do not include the values in yo"&amp;"ur output.
3. Do not include any conversational text, introductory remarks, or markdown formatting blocks.
4. The number of labels in your output must exactly match the number of values provided in the input.
---
### FEW-SHOT EXAMPLES
#### Example 1 (S"&amp;"tandard Neon Strip)
Input: 1.2W | SYM 30° | 3000K | IP67 | IK10
Output: Power|Optics|Color Temperature|IP Rating|Impact Strength
Input: 7W | Warm White | 12V/24V | AC/DC | IP67 | Black
Output: Power | Light Color | Current Type | IP Rating | Finish
---
"&amp;"
### YOUR TASK
Generate output for the values text ""&amp;M11)"),"Power|Color Temperature|Voltage|IP Rating|Dimension")</f>
        <v>Power|Color Temperature|Voltage|IP Rating|Dimension</v>
      </c>
      <c r="O12" s="15" t="s">
        <v>82</v>
      </c>
      <c r="P12"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""&amp;O12&amp;"", Values: ""&amp;M12&amp; "" and SKU Code: ""&amp;"&amp;"L12)"),"{""Power"": ""30W"", ""Color Temperature"": ""6000K"", ""Voltage"": ""24V"", ""IP Rating"": ""IP20"", ""Dimension"": ""480mm (L) x 240mm (W)"", ""SKU"": ""SMD-SHEET-30W-6K-IP20""}")</f>
        <v>{"Power": "30W", "Color Temperature": "6000K", "Voltage": "24V", "IP Rating": "IP20", "Dimension": "480mm (L) x 240mm (W)", "SKU": "SMD-SHEET-30W-6K-IP20"}</v>
      </c>
      <c r="Q12" s="15" t="s">
        <v>93</v>
      </c>
      <c r="R12" s="26"/>
      <c r="S12" s="27"/>
      <c r="T12" s="26"/>
      <c r="U12" s="28"/>
      <c r="V12" s="27"/>
      <c r="W12" s="27"/>
      <c r="X12" s="27"/>
      <c r="Y12" s="20" t="s">
        <v>41</v>
      </c>
      <c r="Z12" s="20" t="s">
        <v>86</v>
      </c>
      <c r="AA12" s="20" t="s">
        <v>43</v>
      </c>
      <c r="AB12" s="21"/>
      <c r="AC12" s="21"/>
      <c r="AD12" s="21"/>
    </row>
    <row r="13" ht="37.5" customHeight="1">
      <c r="A13" s="10"/>
      <c r="B13" s="24"/>
      <c r="C13" s="24"/>
      <c r="D13" s="24"/>
      <c r="E13" s="24"/>
      <c r="F13" s="25"/>
      <c r="G13" s="24"/>
      <c r="H13" s="12"/>
      <c r="I13" s="11"/>
      <c r="J13" s="24"/>
      <c r="K13" s="24"/>
      <c r="L13" s="13" t="s">
        <v>94</v>
      </c>
      <c r="M13" s="13" t="s">
        <v>95</v>
      </c>
      <c r="N13"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4000K, RGBW (3000K))
- Voltage (Example 20V, 12V/24V)
- Current Type (Example AC/DC)
- IP Rating (Example IP67, IP68, IP20)
- Impact St"&amp;"rength (Example IK10)
- Optics (Example SYS30°)
- Finish (Example Black, Silver)
- Channel Configuration (Example Singel-Sided, Double-Sided, Bendable Single-Sided, Bendable Double-Sided)
- Dimension (Example 53mm (W) x 14mm (H), 480mm (L) x 240mm (W))
- "&amp;"Strip Width (Example 8mm, 12mm)
- Power Consumption Rate (Example 8W/m, 5W/m)
- Profile Length (Example 1,000mm)
### STRICT OUTPUT RULES
1. Output ONLY the corresponding labels mentioned above separated by pipes ('|'). 
2. Do not include the values in yo"&amp;"ur output.
3. Do not include any conversational text, introductory remarks, or markdown formatting blocks.
4. The number of labels in your output must exactly match the number of values provided in the input.
---
### FEW-SHOT EXAMPLES
#### Example 1 (S"&amp;"tandard Neon Strip)
Input: 1.2W | SYM 30° | 3000K | IP67 | IK10
Output: Power|Optics|Color Temperature|IP Rating|Impact Strength
Input: 7W | Warm White | 12V/24V | AC/DC | IP67 | Black
Output: Power | Light Color | Current Type | IP Rating | Finish
---
"&amp;"
### YOUR TASK
Generate output for the values text ""&amp;M12)"),"Power|Color Temperature|Voltage|IP Rating|Dimension")</f>
        <v>Power|Color Temperature|Voltage|IP Rating|Dimension</v>
      </c>
      <c r="O13" s="15" t="s">
        <v>82</v>
      </c>
      <c r="P13"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""&amp;O13&amp;"", Values: ""&amp;M13&amp; "" and SKU Code: ""&amp;"&amp;"L13)"),"{""Power"": ""30W"", ""Color Temperature"": ""3000K"", ""Voltage"": ""24V"", ""IP Rating"": ""IP54"", ""Dimension"": ""480mm (L) x 240mm (W)"", ""SKU"": ""SMD-SHEET-30W-3K-IP54""}")</f>
        <v>{"Power": "30W", "Color Temperature": "3000K", "Voltage": "24V", "IP Rating": "IP54", "Dimension": "480mm (L) x 240mm (W)", "SKU": "SMD-SHEET-30W-3K-IP54"}</v>
      </c>
      <c r="Q13" s="15" t="s">
        <v>96</v>
      </c>
      <c r="R13" s="26"/>
      <c r="S13" s="27"/>
      <c r="T13" s="26"/>
      <c r="U13" s="28"/>
      <c r="V13" s="27"/>
      <c r="W13" s="27"/>
      <c r="X13" s="27"/>
      <c r="Y13" s="20" t="s">
        <v>41</v>
      </c>
      <c r="Z13" s="20" t="s">
        <v>97</v>
      </c>
      <c r="AA13" s="20" t="s">
        <v>43</v>
      </c>
      <c r="AB13" s="21"/>
      <c r="AC13" s="21"/>
      <c r="AD13" s="21"/>
    </row>
    <row r="14" ht="37.5" customHeight="1">
      <c r="A14" s="10"/>
      <c r="B14" s="11"/>
      <c r="C14" s="11"/>
      <c r="D14" s="11"/>
      <c r="E14" s="11"/>
      <c r="F14" s="12"/>
      <c r="G14" s="11"/>
      <c r="H14" s="12"/>
      <c r="I14" s="11"/>
      <c r="J14" s="24"/>
      <c r="K14" s="24"/>
      <c r="L14" s="13" t="s">
        <v>98</v>
      </c>
      <c r="M14" s="13" t="s">
        <v>99</v>
      </c>
      <c r="N14"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4000K, RGBW (3000K))
- Voltage (Example 20V, 12V/24V)
- Current Type (Example AC/DC)
- IP Rating (Example IP67, IP68, IP20)
- Impact St"&amp;"rength (Example IK10)
- Optics (Example SYS30°)
- Finish (Example Black, Silver)
- Channel Configuration (Example Singel-Sided, Double-Sided, Bendable Single-Sided, Bendable Double-Sided)
- Dimension (Example 53mm (W) x 14mm (H), 480mm (L) x 240mm (W))
- "&amp;"Strip Width (Example 8mm, 12mm)
- Power Consumption Rate (Example 8W/m, 5W/m)
- Profile Length (Example 1,000mm)
### STRICT OUTPUT RULES
1. Output ONLY the corresponding labels mentioned above separated by pipes ('|'). 
2. Do not include the values in yo"&amp;"ur output.
3. Do not include any conversational text, introductory remarks, or markdown formatting blocks.
4. The number of labels in your output must exactly match the number of values provided in the input.
---
### FEW-SHOT EXAMPLES
#### Example 1 (S"&amp;"tandard Neon Strip)
Input: 1.2W | SYM 30° | 3000K | IP67 | IK10
Output: Power|Optics|Color Temperature|IP Rating|Impact Strength
Input: 7W | Warm White | 12V/24V | AC/DC | IP67 | Black
Output: Power | Light Color | Current Type | IP Rating | Finish
---
"&amp;"
### YOUR TASK
Generate output for the values text ""&amp;M13)"),"Power|Color Temperature|Voltage|IP Rating|Dimension")</f>
        <v>Power|Color Temperature|Voltage|IP Rating|Dimension</v>
      </c>
      <c r="O14" s="15" t="s">
        <v>82</v>
      </c>
      <c r="P14"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""&amp;O14&amp;"", Values: ""&amp;M14&amp; "" and SKU Code: ""&amp;"&amp;"L14)"),"{""Power"": ""30W"", ""Color Temperature"": ""4000K"", ""Voltage"": ""24V"", ""IP Rating"": ""IP54"", ""Dimension"": ""480mm (L) x 240mm (W)"", ""SKU"": ""SMD-SHEET-30W-4K-IP54""}")</f>
        <v>{"Power": "30W", "Color Temperature": "4000K", "Voltage": "24V", "IP Rating": "IP54", "Dimension": "480mm (L) x 240mm (W)", "SKU": "SMD-SHEET-30W-4K-IP54"}</v>
      </c>
      <c r="Q14" s="15" t="s">
        <v>100</v>
      </c>
      <c r="R14" s="17"/>
      <c r="S14" s="20"/>
      <c r="T14" s="17"/>
      <c r="U14" s="18"/>
      <c r="V14" s="20"/>
      <c r="W14" s="20"/>
      <c r="X14" s="20"/>
      <c r="Y14" s="20" t="s">
        <v>41</v>
      </c>
      <c r="Z14" s="20" t="s">
        <v>97</v>
      </c>
      <c r="AA14" s="20" t="s">
        <v>43</v>
      </c>
      <c r="AB14" s="21"/>
      <c r="AC14" s="21"/>
      <c r="AD14" s="21"/>
    </row>
    <row r="15" ht="37.5" customHeight="1">
      <c r="A15" s="10"/>
      <c r="B15" s="24"/>
      <c r="C15" s="24"/>
      <c r="D15" s="24"/>
      <c r="E15" s="24"/>
      <c r="F15" s="25"/>
      <c r="G15" s="24"/>
      <c r="H15" s="12"/>
      <c r="I15" s="11"/>
      <c r="J15" s="24"/>
      <c r="K15" s="24"/>
      <c r="L15" s="13" t="s">
        <v>101</v>
      </c>
      <c r="M15" s="13" t="s">
        <v>102</v>
      </c>
      <c r="N15"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4000K, RGBW (3000K))
- Voltage (Example 20V, 12V/24V)
- Current Type (Example AC/DC)
- IP Rating (Example IP67, IP68, IP20)
- Impact St"&amp;"rength (Example IK10)
- Optics (Example SYS30°)
- Finish (Example Black, Silver)
- Channel Configuration (Example Singel-Sided, Double-Sided, Bendable Single-Sided, Bendable Double-Sided)
- Dimension (Example 53mm (W) x 14mm (H), 480mm (L) x 240mm (W))
- "&amp;"Strip Width (Example 8mm, 12mm)
- Power Consumption Rate (Example 8W/m, 5W/m)
- Profile Length (Example 1,000mm)
### STRICT OUTPUT RULES
1. Output ONLY the corresponding labels mentioned above separated by pipes ('|'). 
2. Do not include the values in yo"&amp;"ur output.
3. Do not include any conversational text, introductory remarks, or markdown formatting blocks.
4. The number of labels in your output must exactly match the number of values provided in the input.
---
### FEW-SHOT EXAMPLES
#### Example 1 (S"&amp;"tandard Neon Strip)
Input: 1.2W | SYM 30° | 3000K | IP67 | IK10
Output: Power|Optics|Color Temperature|IP Rating|Impact Strength
Input: 7W | Warm White | 12V/24V | AC/DC | IP67 | Black
Output: Power | Light Color | Current Type | IP Rating | Finish
---
"&amp;"
### YOUR TASK
Generate output for the values text ""&amp;M14)"),"Power|Color Temperature|Voltage|IP Rating|Dimension")</f>
        <v>Power|Color Temperature|Voltage|IP Rating|Dimension</v>
      </c>
      <c r="O15" s="15" t="s">
        <v>82</v>
      </c>
      <c r="P15"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""&amp;O15&amp;"", Values: ""&amp;M15&amp; "" and SKU Code: ""&amp;"&amp;"L15)"),"{""Power"": ""30W"", ""Color Temperature"": ""6000K"", ""Voltage"": ""24V"", ""IP Rating"": ""IP54"", ""Dimension"": ""480mm (L) x 240mm (W)"", ""SKU"": ""SMD-SHEET-30W-6K-IP54""}")</f>
        <v>{"Power": "30W", "Color Temperature": "6000K", "Voltage": "24V", "IP Rating": "IP54", "Dimension": "480mm (L) x 240mm (W)", "SKU": "SMD-SHEET-30W-6K-IP54"}</v>
      </c>
      <c r="Q15" s="15" t="s">
        <v>103</v>
      </c>
      <c r="R15" s="26"/>
      <c r="S15" s="27"/>
      <c r="T15" s="26"/>
      <c r="U15" s="28"/>
      <c r="V15" s="27"/>
      <c r="W15" s="27"/>
      <c r="X15" s="27"/>
      <c r="Y15" s="20" t="s">
        <v>41</v>
      </c>
      <c r="Z15" s="20" t="s">
        <v>97</v>
      </c>
      <c r="AA15" s="20" t="s">
        <v>43</v>
      </c>
      <c r="AB15" s="21"/>
      <c r="AC15" s="21"/>
      <c r="AD15" s="21"/>
    </row>
    <row r="16">
      <c r="A16" s="10"/>
      <c r="B16" s="24"/>
      <c r="C16" s="24"/>
      <c r="D16" s="24"/>
      <c r="E16" s="24"/>
      <c r="F16" s="25"/>
      <c r="G16" s="24"/>
      <c r="H16" s="25"/>
      <c r="I16" s="24"/>
      <c r="J16" s="24"/>
      <c r="K16" s="24"/>
      <c r="L16" s="13" t="s">
        <v>104</v>
      </c>
      <c r="M16" s="13" t="s">
        <v>105</v>
      </c>
      <c r="N16"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4000K, RGBW (3000K))
- Voltage (Example 20V, 12V/24V)
- Current Type (Example AC/DC)
- IP Rating (Example IP67, IP68, IP20)
- Impact St"&amp;"rength (Example IK10)
- Optics (Example SYS30°)
- Finish (Example Black, Silver)
- Channel Configuration (Example Singel-Sided, Double-Sided, Bendable Single-Sided, Bendable Double-Sided)
- Dimension (Example 53mm (W) x 14mm (H), 480mm (L) x 240mm (W))
- "&amp;"Strip Width (Example 8mm, 12mm)
- Power Consumption Rate (Example 8W/m, 5W/m)
- Profile Length (Example 1,000mm)
### STRICT OUTPUT RULES
1. Output ONLY the corresponding labels mentioned above separated by pipes ('|'). 
2. Do not include the values in yo"&amp;"ur output.
3. Do not include any conversational text, introductory remarks, or markdown formatting blocks.
4. The number of labels in your output must exactly match the number of values provided in the input.
---
### FEW-SHOT EXAMPLES
#### Example 1 (S"&amp;"tandard Neon Strip)
Input: 1.2W | SYM 30° | 3000K | IP67 | IK10
Output: Power|Optics|Color Temperature|IP Rating|Impact Strength
Input: 7W | Warm White | 12V/24V | AC/DC | IP67 | Black
Output: Power | Light Color | Current Type | IP Rating | Finish
---
"&amp;"
### YOUR TASK
Generate output for the values text ""&amp;M15)"),"Power|Color Temperature|Voltage|IP Rating|Dimension")</f>
        <v>Power|Color Temperature|Voltage|IP Rating|Dimension</v>
      </c>
      <c r="O16" s="15" t="s">
        <v>82</v>
      </c>
      <c r="P16"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""&amp;O16&amp;"", Values: ""&amp;M16&amp; "" and SKU Code: ""&amp;"&amp;"L16)"),"{""Power"": ""30W"", ""Color Temperature"": ""3000K"", ""Voltage"": ""24V"", ""IP Rating"": ""IP67"", ""Dimension"": ""480mm (L) x 240mm (W)"", ""SKU"": ""SMD-SHEET-30W-3K-IP67""}")</f>
        <v>{"Power": "30W", "Color Temperature": "3000K", "Voltage": "24V", "IP Rating": "IP67", "Dimension": "480mm (L) x 240mm (W)", "SKU": "SMD-SHEET-30W-3K-IP67"}</v>
      </c>
      <c r="Q16" s="15" t="s">
        <v>106</v>
      </c>
      <c r="R16" s="26"/>
      <c r="S16" s="27"/>
      <c r="T16" s="26"/>
      <c r="U16" s="28"/>
      <c r="V16" s="27"/>
      <c r="W16" s="27"/>
      <c r="X16" s="27"/>
      <c r="Y16" s="20" t="s">
        <v>41</v>
      </c>
      <c r="Z16" s="20" t="s">
        <v>107</v>
      </c>
      <c r="AA16" s="20" t="s">
        <v>43</v>
      </c>
      <c r="AB16" s="21"/>
      <c r="AC16" s="21"/>
      <c r="AD16" s="21"/>
    </row>
    <row r="17">
      <c r="A17" s="10"/>
      <c r="B17" s="24"/>
      <c r="C17" s="24"/>
      <c r="D17" s="24"/>
      <c r="E17" s="24"/>
      <c r="F17" s="25"/>
      <c r="G17" s="24"/>
      <c r="H17" s="25"/>
      <c r="I17" s="24"/>
      <c r="J17" s="24"/>
      <c r="K17" s="24"/>
      <c r="L17" s="13" t="s">
        <v>108</v>
      </c>
      <c r="M17" s="13" t="s">
        <v>109</v>
      </c>
      <c r="N17"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4000K, RGBW (3000K))
- Voltage (Example 20V, 12V/24V)
- Current Type (Example AC/DC)
- IP Rating (Example IP67, IP68, IP20)
- Impact St"&amp;"rength (Example IK10)
- Optics (Example SYS30°)
- Finish (Example Black, Silver)
- Channel Configuration (Example Singel-Sided, Double-Sided, Bendable Single-Sided, Bendable Double-Sided)
- Dimension (Example 53mm (W) x 14mm (H), 480mm (L) x 240mm (W))
- "&amp;"Strip Width (Example 8mm, 12mm)
- Power Consumption Rate (Example 8W/m, 5W/m)
- Profile Length (Example 1,000mm)
### STRICT OUTPUT RULES
1. Output ONLY the corresponding labels mentioned above separated by pipes ('|'). 
2. Do not include the values in yo"&amp;"ur output.
3. Do not include any conversational text, introductory remarks, or markdown formatting blocks.
4. The number of labels in your output must exactly match the number of values provided in the input.
---
### FEW-SHOT EXAMPLES
#### Example 1 (S"&amp;"tandard Neon Strip)
Input: 1.2W | SYM 30° | 3000K | IP67 | IK10
Output: Power|Optics|Color Temperature|IP Rating|Impact Strength
Input: 7W | Warm White | 12V/24V | AC/DC | IP67 | Black
Output: Power | Light Color | Current Type | IP Rating | Finish
---
"&amp;"
### YOUR TASK
Generate output for the values text ""&amp;M16)"),"Power|Color Temperature|Voltage|IP Rating|Dimension")</f>
        <v>Power|Color Temperature|Voltage|IP Rating|Dimension</v>
      </c>
      <c r="O17" s="15" t="s">
        <v>82</v>
      </c>
      <c r="P17"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""&amp;O17&amp;"", Values: ""&amp;M17&amp; "" and SKU Code: ""&amp;"&amp;"L17)"),"{""Power"": ""30W"", ""Color Temperature"": ""4000K"", ""Voltage"": ""24V"", ""IP Rating"": ""IP67"", ""Dimension"": ""480mm (L) x 240mm (W)"", ""SKU"": ""SMD-SHEET-30W-4K-IP67""}")</f>
        <v>{"Power": "30W", "Color Temperature": "4000K", "Voltage": "24V", "IP Rating": "IP67", "Dimension": "480mm (L) x 240mm (W)", "SKU": "SMD-SHEET-30W-4K-IP67"}</v>
      </c>
      <c r="Q17" s="15" t="s">
        <v>110</v>
      </c>
      <c r="R17" s="26"/>
      <c r="S17" s="27"/>
      <c r="T17" s="26"/>
      <c r="U17" s="28"/>
      <c r="V17" s="27"/>
      <c r="W17" s="27"/>
      <c r="X17" s="27"/>
      <c r="Y17" s="20" t="s">
        <v>41</v>
      </c>
      <c r="Z17" s="20" t="s">
        <v>107</v>
      </c>
      <c r="AA17" s="20" t="s">
        <v>43</v>
      </c>
      <c r="AB17" s="21"/>
      <c r="AC17" s="21"/>
      <c r="AD17" s="21"/>
    </row>
    <row r="18">
      <c r="A18" s="10"/>
      <c r="B18" s="24"/>
      <c r="C18" s="24"/>
      <c r="D18" s="24"/>
      <c r="E18" s="24"/>
      <c r="F18" s="25"/>
      <c r="G18" s="24"/>
      <c r="H18" s="25"/>
      <c r="I18" s="24"/>
      <c r="J18" s="24"/>
      <c r="K18" s="24"/>
      <c r="L18" s="13" t="s">
        <v>111</v>
      </c>
      <c r="M18" s="13" t="s">
        <v>112</v>
      </c>
      <c r="N18" s="14" t="str">
        <f>IFERROR(__xludf.DUMMYFUNCTION("AI(""You are an expert data extraction assistant. Your task is to analyze a pipe-separated string of product specifications and map each value to its correct attribute label from the provided Schema. 
### SCHEMA DEFINITIONS
1. Global Core Fields (Every "&amp;"SKU must have these):
- Power (Example 1.2W, 7W)
- Light Color (Example Warm White)
- Color Temperature (Example 3000K, 4000K, RGBW (3000K))
- Voltage (Example 20V, 12V/24V)
- Current Type (Example AC/DC)
- IP Rating (Example IP67, IP68, IP20)
- Impact St"&amp;"rength (Example IK10)
- Optics (Example SYS30°)
- Finish (Example Black, Silver)
- Channel Configuration (Example Singel-Sided, Double-Sided, Bendable Single-Sided, Bendable Double-Sided)
- Dimension (Example 53mm (W) x 14mm (H), 480mm (L) x 240mm (W))
- "&amp;"Strip Width (Example 8mm, 12mm)
- Power Consumption Rate (Example 8W/m, 5W/m)
- Profile Length (Example 1,000mm)
### STRICT OUTPUT RULES
1. Output ONLY the corresponding labels mentioned above separated by pipes ('|'). 
2. Do not include the values in yo"&amp;"ur output.
3. Do not include any conversational text, introductory remarks, or markdown formatting blocks.
4. The number of labels in your output must exactly match the number of values provided in the input.
---
### FEW-SHOT EXAMPLES
#### Example 1 (S"&amp;"tandard Neon Strip)
Input: 1.2W | SYM 30° | 3000K | IP67 | IK10
Output: Power|Optics|Color Temperature|IP Rating|Impact Strength
Input: 7W | Warm White | 12V/24V | AC/DC | IP67 | Black
Output: Power | Light Color | Current Type | IP Rating | Finish
---
"&amp;"
### YOUR TASK
Generate output for the values text ""&amp;M17)"),"Power|Color Temperature|Voltage|IP Rating|Dimension")</f>
        <v>Power|Color Temperature|Voltage|IP Rating|Dimension</v>
      </c>
      <c r="O18" s="15" t="s">
        <v>82</v>
      </c>
      <c r="P18" s="14" t="str">
        <f>IFERROR(__xludf.DUMMYFUNCTION("AI(""You are a data processing assistant that converts delimited text into structured JSON.
Task: Convert the provided pipe-delimited (|) header and value lines into a valid JSON object or array of objects.
Instructions:
- Clean both keys and values by "&amp;"trimming leading and trailing whitespace.
- Remove any index prefix from the value string (e.g., convert 1.2W from 1.2W  or 1.2W without leading list numbers).
- Map each key from Line 1 to its corresponding value in Line 2.
- Output only valid, properly "&amp;"formatted JSON with no surrounding commentary or explanation.
Example:
Keys: Power|Optics|Color Temperature|IP Rating|Impact Strength
Values: 1.2W | SYM 30° | 4000K | IP67 | IK10
SKU Code: HRS001
Example Output:
{
  """"Power"""": """"1.2W"""",
  """"Op"&amp;"tics"""": """"SYM 30°"""",
  """"Color Temperature"""": """"4000K"""",
  """"IP Rating"""": """"IP67"""",
  """"Impact Strength"""": """"IK10"""",
  """"SKU"""": """"HRS001""""
}
Generate JSON for the Keys: ""&amp;O18&amp;"", Values: ""&amp;M18&amp; "" and SKU Code: ""&amp;"&amp;"L18)"),"{""Power"": ""30W"", ""Color Temperature"": ""6000K"", ""Voltage"": ""24V"", ""IP Rating"": ""IP67"", ""Dimension"": ""480mm (L) x 240mm (W)"", ""SKU"": ""SMD-SHEET-30W-6K-IP67""}")</f>
        <v>{"Power": "30W", "Color Temperature": "6000K", "Voltage": "24V", "IP Rating": "IP67", "Dimension": "480mm (L) x 240mm (W)", "SKU": "SMD-SHEET-30W-6K-IP67"}</v>
      </c>
      <c r="Q18" s="15" t="s">
        <v>113</v>
      </c>
      <c r="R18" s="26"/>
      <c r="S18" s="27"/>
      <c r="T18" s="26"/>
      <c r="U18" s="28"/>
      <c r="V18" s="27"/>
      <c r="W18" s="27"/>
      <c r="X18" s="27"/>
      <c r="Y18" s="20" t="s">
        <v>41</v>
      </c>
      <c r="Z18" s="20" t="s">
        <v>107</v>
      </c>
      <c r="AA18" s="20" t="s">
        <v>43</v>
      </c>
      <c r="AB18" s="21"/>
      <c r="AC18" s="21"/>
      <c r="AD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row>
    <row r="2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row>
    <row r="24">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row>
    <row r="25">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row>
    <row r="26">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row>
    <row r="27">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row>
    <row r="28">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row>
    <row r="29">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row>
    <row r="30">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row>
  </sheetData>
  <drawing r:id="rId4"/>
  <legacyDrawing r:id="rId5"/>
  <tableParts count="1">
    <tablePart r:id="rId7"/>
  </tableParts>
</worksheet>
</file>