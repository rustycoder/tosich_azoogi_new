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tc={ad7ea0d1-46b0-4e39-8b35-7b688981da69}</author>
  </authors>
  <commentList>
    <comment authorId="0" xr:uid="{ad7ea0d1-46b0-4e39-8b35-7b688981da69}" ref="L6">
      <text>
        <t xml:space="preserve">[Threaded comment]
 Your version of Excel allows you to read this threaded comment; however, any edits to it will get removed if the file is opened in a newer version of Excel. Learn more: https://go.microsoft.com/fwlink/?linkid=870924
Comment:
	Please review this product because it has RGBW (3000K) specification. I have changed it to RGBW and 3000K. What do you suggest?
</t>
      </text>
    </comment>
  </commentList>
</comments>
</file>

<file path=xl/sharedStrings.xml><?xml version="1.0" encoding="utf-8"?>
<sst xmlns="http://schemas.openxmlformats.org/spreadsheetml/2006/main" count="160" uniqueCount="96">
  <si>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</si>
  <si>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</si>
  <si>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</si>
  <si>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</si>
  <si>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</si>
  <si>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</si>
  <si>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</si>
  <si>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</si>
  <si>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</si>
  <si>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</si>
  <si>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</si>
  <si>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</si>
  <si>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</si>
  <si>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</si>
  <si>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</si>
  <si>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</si>
  <si>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</si>
  <si>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</si>
  <si>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</si>
  <si>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</si>
  <si>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</si>
  <si>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</si>
  <si>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</si>
  <si>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</si>
  <si>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</si>
  <si>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PR-BEND-1M</t>
  </si>
  <si>
    <t>Flex Alu RGBW Strip</t>
  </si>
  <si>
    <t>simple</t>
  </si>
  <si>
    <t>RGBW Strip</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</si>
  <si>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</si>
  <si>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</si>
  <si>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Elevate your spaces into a breathtaking visual journey of elegant design and discreet luxury with a sophisticated, seamless glow.</t>
  </si>
  <si>
    <t>1,000mm | Silver</t>
  </si>
  <si>
    <t>Profile Length|Finish</t>
  </si>
  <si>
    <t>{"Profile Length": "1,000mm", "Finish": "Silver"}</t>
  </si>
  <si>
    <t>{ "Options": { "Profile Length": [ {"name": "1,000mm", "id": "101"} ], "Finish": [ {"name": "Silver", "id": "102"} ] }, "Constraints": {} }</t>
  </si>
  <si>
    <t>{ "Profile Length": [ {"name": "1,000mm", "id": "101"} ], "Finish": [ {"name": "Silver", "id": "102"} ] }</t>
  </si>
  <si>
    <t>[]</t>
  </si>
  <si>
    <t>CHINA - Rising Sun</t>
  </si>
  <si>
    <t>Bendable Profile (RS-ZL-1515B)</t>
  </si>
  <si>
    <t>No</t>
  </si>
  <si>
    <t>SMD-BEND-2.7K-IP54</t>
  </si>
  <si>
    <t>Bendable LED SMD Strip</t>
  </si>
  <si>
    <t>SMD Strip</t>
  </si>
  <si>
    <t>Transform your spaces with a stunning visual journey of elegant design and discreet luxury, creating a sophisticated and seamless glow that beautifully enhances your home.</t>
  </si>
  <si>
    <t>8W/m | 2700K | 24V | IP54 | 8mm</t>
  </si>
  <si>
    <t>Power Consumption Rate|CCT|Voltage|IP Rating|Strip Width</t>
  </si>
  <si>
    <t>{"Power Consumption Rate": "8W/m", "CCT": "2700K", "Voltage": "24V", "IP Rating": "IP54", "Strip Width": "8mm"}</t>
  </si>
  <si>
    <t>{"Power Consumption Rate": ["8W/m", "5W/m"], "CCT": ["2700K", "3000K", "4000K"], "Voltage": "24V", "IP Rating": ["IP54", "IP20"], "Strip Width": ["8mm", "12mm"], "Light Color": "RGBW"}</t>
  </si>
  <si>
    <t>{
"Options": {
"Power Consumption Rate": [
{"name": "8W/m", "id": "101"},
{"name": "5W/m", "id": "106"}
],
"CCT": [
{"name": "2700K", "id": "102"},
{"name": "3000K", "id": "103"},
{"name": "4000K", "id": "104"}
],
"Voltage": [
{"name": "24V", "id": "105"}
],
"IP Rating": [
{"name": "IP54", "id": "107"},
{"name": "IP20", "id": "109"}
],
"Strip Width": [
{"name": "8mm", "id": "108"},
{"name": "12mm", "id": "111"}
],
"Light Color": [
{"name": "RGBW", "id": "110"}
]
},
"Constraints": {
"106": ["102", "104", "107", "108"],
"110": ["101", "102", "104", "107", "108"],
"111": ["101", "102", "104", "107", "108"]
}
}</t>
  </si>
  <si>
    <t>{
"Power Consumption Rate": [
{"name": "8W/m", "id": "101"},
{"name": "5W/m", "id": "106"}
],
"CCT": [
{"name": "2700K", "id": "102"},
{"name": "3000K", "id": "103"},
{"name": "4000K", "id": "104"}
],
"Voltage": [
{"name": "24V", "id": "105"}
],
"IP Rating": [
{"name": "IP54", "id": "107"},
{"name": "IP20", "id": "109"}
],
"Strip Width": [
{"name": "8mm", "id": "108"},
{"name": "12mm", "id": "111"}
],
"Light Color": [
{"name": "RGBW", "id": "110"}
]
}</t>
  </si>
  <si>
    <t>{
"106": ["102", "104", "107", "108"],
"110": ["101", "102", "104", "107", "108"],
"111": ["101", "102", "104", "107", "108"]
}</t>
  </si>
  <si>
    <t>RS-S2835MC-24V-100D-08-20</t>
  </si>
  <si>
    <t>8W/m | 3000K | 24V | IP54 | 8mm</t>
  </si>
  <si>
    <t>{"Power Consumption Rate": "8W/m", "CCT": "3000K", "Voltage": "24V", "IP Rating": "IP54", "Strip Width": "8mm"}</t>
  </si>
  <si>
    <t>8W/m | 4000K | 24V | IP54 | 8mm</t>
  </si>
  <si>
    <t>{"Power Consumption Rate": "8W/m", "CCT": "4000K", "Voltage": "24V", "IP Rating": "IP54", "Strip Width": "8mm"}</t>
  </si>
  <si>
    <t>5W/m | RGBW | 3000K | 24V | IP20 | 12mm</t>
  </si>
  <si>
    <t>Power Consumption Rate|Light Color|CCT|Voltage|IP Rating|Strip Width</t>
  </si>
  <si>
    <t>{"Power Consumption Rate": "5W/m", "Light Color": "RGBW", "CCT": "3000K", "Voltage": "24V", "IP Rating": "IP20", "Strip Width": "12mm"}</t>
  </si>
  <si>
    <t>RS-S4040RGBW-24V-96D-12-20</t>
  </si>
  <si>
    <t>8W/m | 2700K | 24V | IP20 | 8mm</t>
  </si>
  <si>
    <t>{"Power Consumption Rate": "8W/m", "CCT": "2700K", "Voltage": "24V", "IP Rating": "IP20", "Strip Width": "8mm"}</t>
  </si>
  <si>
    <t>8W/m | 3000K | 24V | IP20 | 8mm</t>
  </si>
  <si>
    <t>{"Power Consumption Rate": "8W/m", "CCT": "3000K", "Voltage": "24V", "IP Rating": "IP20", "Strip Width": "8mm"}</t>
  </si>
  <si>
    <t>8W/m | 4000K | 24V | IP20 | 8mm</t>
  </si>
  <si>
    <t>{"Power Consumption Rate": "8W/m", "CCT": "4000K", "Voltage": "24V", "IP Rating": "IP20", "Strip Width": "8mm"}</t>
  </si>
  <si>
    <t>SMD-SHEET-30W-3K-IP20</t>
  </si>
  <si>
    <t>LED Flex Sheet</t>
  </si>
  <si>
    <t>Transform your home into a breathtaking visual journey with a perfect blend of elegance and modern design. This premium lighting solution offers a sophisticated, seamless glow that beautifully enhances your elegant spaces, casting a warm and inviting atmosphere throughout. Crafted for those who appreciate refined detail and discreet luxury, it adds an unparalleled touch of ambiance, warmth, and captivating style to any room, making it the ultimate choice for elevated interior illumination.</t>
  </si>
  <si>
    <t>Transform your home into a breathtaking visual journey. Experience discreet luxury and a sophisticated, seamless glow that beautifully enhances your elegant spaces.</t>
  </si>
  <si>
    <t>30W | 3000K | 24V | IP20 | 480mm (L) x 240mm (W)</t>
  </si>
  <si>
    <t>Power|CCT|Voltage|IP Rating|Dimension</t>
  </si>
  <si>
    <t>{"Power": "30W", "CCT": "3000K", "Voltage": "24V", "IP Rating": "IP20", "Dimension": "480mm (L) x 240mm (W)"}</t>
  </si>
  <si>
    <t>{"Power": "30W", "CCT": ["3000K", "4000K", "6000K"], "Voltage": "24V", "IP Rating": ["IP20", "IP54", "IP67"], "Dimension": "480mm (L) x 240mm (W)"}</t>
  </si>
  <si>
    <t>{
"Options": {
"Power": [
{"name": "30W", "id": "101"}
],
"CCT": [
{"name": "3000K", "id": "102"},
{"name": "4000K", "id": "103"},
{"name": "6000K", "id": "104"}
],
"Voltage": [
{"name": "24V", "id": "105"}
],
"IP Rating": [
{"name": "IP20", "id": "106"},
{"name": "IP54", "id": "107"},
{"name": "IP67", "id": "108"}
],
"Dimension": [
{"name": "480mm (L) x 240mm (W)", "id": "109"}
]
},
"Constraints": {}
}</t>
  </si>
  <si>
    <t>{
"Power": [
{"name": "30W", "id": "101"}
],
"CCT": [
{"name": "3000K", "id": "102"},
{"name": "4000K", "id": "103"},
{"name": "6000K", "id": "104"}
],
"Voltage": [
{"name": "24V", "id": "105"}
],
"IP Rating": [
{"name": "IP20", "id": "106"},
{"name": "IP54", "id": "107"},
{"name": "IP67", "id": "108"}
],
"Dimension": [
{"name": "480mm (L) x 240mm (W)", "id": "109"}
]
}</t>
  </si>
  <si>
    <t>RS-PL2835PRO-24V-288D-20</t>
  </si>
  <si>
    <t>30W | 4000K | 24V | IP20 | 480mm (L) x 240mm (W)</t>
  </si>
  <si>
    <t>{"Power": "30W", "CCT": "4000K", "Voltage": "24V", "IP Rating": "IP20", "Dimension": "480mm (L) x 240mm (W)"}</t>
  </si>
  <si>
    <t>30W | 6000K | 24V | IP20 | 480mm (L) x 240mm (W)</t>
  </si>
  <si>
    <t>{"Power": "30W", "CCT": "6000K", "Voltage": "24V", "IP Rating": "IP20", "Dimension": "480mm (L) x 240mm (W)"}</t>
  </si>
  <si>
    <t>30W | 3000K | 24V | IP54 | 480mm (L) x 240mm (W)</t>
  </si>
  <si>
    <t>{"Power": "30W", "CCT": "3000K", "Voltage": "24V", "IP Rating": "IP54", "Dimension": "480mm (L) x 240mm (W)"}</t>
  </si>
  <si>
    <t>RS-PL2835PRO-24V-288D-54</t>
  </si>
  <si>
    <t>30W | 4000K | 24V | IP54 | 480mm (L) x 240mm (W)</t>
  </si>
  <si>
    <t>{"Power": "30W", "CCT": "4000K", "Voltage": "24V", "IP Rating": "IP54", "Dimension": "480mm (L) x 240mm (W)"}</t>
  </si>
  <si>
    <t>30W | 6000K | 24V | IP54 | 480mm (L) x 240mm (W)</t>
  </si>
  <si>
    <t>{"Power": "30W", "CCT": "6000K", "Voltage": "24V", "IP Rating": "IP54", "Dimension": "480mm (L) x 240mm (W)"}</t>
  </si>
  <si>
    <t>30W | 3000K | 24V | IP67 | 480mm (L) x 240mm (W)</t>
  </si>
  <si>
    <t>{"Power": "30W", "CCT": "3000K", "Voltage": "24V", "IP Rating": "IP67", "Dimension": "480mm (L) x 240mm (W)"}</t>
  </si>
  <si>
    <t>RS-PL2835PRO-24V-288D-67</t>
  </si>
  <si>
    <t>30W | 4000K | 24V | IP67 | 480mm (L) x 240mm (W)</t>
  </si>
  <si>
    <t>{"Power": "30W", "CCT": "4000K", "Voltage": "24V", "IP Rating": "IP67", "Dimension": "480mm (L) x 240mm (W)"}</t>
  </si>
  <si>
    <t>30W | 6000K | 24V | IP67 | 480mm (L) x 240mm (W)</t>
  </si>
  <si>
    <t>{"Power": "30W", "CCT": "6000K", "Voltage": "24V", "IP Rating": "IP67", "Dimension": "480mm (L) x 240mm (W)"}</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</si>
</sst>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xf borderId="1" fillId="8"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ovhash Pvt Ltd" id="{b22c1bf3-6279-4762-878c-df880d0d2c8f}" providerId="google-sheets"/>
</x18tc:personList>
</file>

<file path=xl/tables/table1.xml><?xml version="1.0" encoding="utf-8"?>
<table xmlns="http://schemas.openxmlformats.org/spreadsheetml/2006/main" headerRowCount="0" ref="B2:Y18"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L6" dT="2026-08-16T09:21:40.00" personId="{b22c1bf3-6279-4762-878c-df880d0d2c8f}" id="{ad7ea0d1-46b0-4e39-8b35-7b688981da69}" done="0">
    <x18tc:text xml:space="preserve">Please review this product because it has RGBW (3000K) specification. I have changed it to RGBW and 3000K. What do you suggest?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14.13"/>
    <col customWidth="1" min="3" max="3" width="11.75"/>
    <col customWidth="1" min="4" max="4" width="9.88"/>
    <col customWidth="1" min="5" max="5" width="6.38"/>
    <col customWidth="1" min="6" max="9" width="50.13"/>
    <col customWidth="1" min="10" max="11" width="28.75"/>
    <col customWidth="1" min="12" max="12" width="43.25"/>
    <col customWidth="1" min="13" max="14" width="34.75"/>
    <col customWidth="1" min="15" max="22" width="50.13"/>
    <col customWidth="1" min="23" max="25" width="12.6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6"/>
    </row>
    <row r="2" ht="37.5" customHeight="1">
      <c r="A2" s="7" t="s">
        <v>25</v>
      </c>
      <c r="B2" s="7" t="s">
        <v>26</v>
      </c>
      <c r="C2" s="8" t="s">
        <v>27</v>
      </c>
      <c r="D2" s="8" t="s">
        <v>28</v>
      </c>
      <c r="E2" s="8" t="s">
        <v>29</v>
      </c>
      <c r="F2"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8" t="s">
        <v>30</v>
      </c>
      <c r="H2" s="9" t="str">
        <f>IFERROR(__xludf.DUMMYFUNCTION("AI(""Give me a paragraph marketing spiel for this product, no tech specs just marketing fluff under 180 characters "")"),"Elevate your spaces into a breathtaking visual journey of elegant design and discreet luxury with a sophisticated, seamless glow.")</f>
        <v>Elevate your spaces into a breathtaking visual journey of elegant design and discreet luxury with a sophisticated, seamless glow.</v>
      </c>
      <c r="I2" s="8" t="s">
        <v>31</v>
      </c>
      <c r="J2" s="8"/>
      <c r="K2" s="8"/>
      <c r="L2" s="10" t="s">
        <v>32</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""&amp;L2)"),"Profile Length|Finish")</f>
        <v>Profile Length|Finish</v>
      </c>
      <c r="N2" s="12" t="s">
        <v>33</v>
      </c>
      <c r="O2" s="11" t="str">
        <f>IFERROR(__xludf.DUMMYFUNCTION("AI(""Using the labels""&amp;M2&amp;"" and values ""&amp;L2&amp;"" separated by character '|', Create a JSON object"")"),"{""Profile Length"": ""1,000mm"", ""Finish"": ""Silver""}")</f>
        <v>{"Profile Length": "1,000mm", "Finish": "Silver"}</v>
      </c>
      <c r="P2" s="12" t="s">
        <v>34</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P2)"),"{""Profile Length"": ""1,000mm"", ""Finish"": ""Silver""}")</f>
        <v>{"Profile Length": "1,000mm", "Finish": "Silver"}</v>
      </c>
      <c r="R2" s="14" t="s">
        <v>34</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 ""Options"": { ""Profile Length"": [ {""name"": ""1,000mm"", ""id"": ""101""} ], ""Finish"": [ {""name"": ""Silver"", ""id"": ""102""} ] }, ""Constraints"": {} }")</f>
        <v>{ "Options": { "Profile Length": [ {"name": "1,000mm", "id": "101"} ], "Finish": [ {"name": "Silver", "id": "102"} ] }, "Constraints": {} }</v>
      </c>
      <c r="T2" s="15" t="s">
        <v>35</v>
      </c>
      <c r="U2" s="14" t="s">
        <v>36</v>
      </c>
      <c r="V2" s="14" t="s">
        <v>37</v>
      </c>
      <c r="W2" s="14" t="s">
        <v>38</v>
      </c>
      <c r="X2" s="14" t="s">
        <v>39</v>
      </c>
      <c r="Y2" s="14" t="s">
        <v>40</v>
      </c>
      <c r="Z2" s="6"/>
    </row>
    <row r="3" ht="37.5" customHeight="1">
      <c r="A3" s="7" t="s">
        <v>41</v>
      </c>
      <c r="B3" s="7" t="s">
        <v>42</v>
      </c>
      <c r="C3" s="8" t="s">
        <v>27</v>
      </c>
      <c r="D3" s="8" t="s">
        <v>43</v>
      </c>
      <c r="E3" s="8" t="s">
        <v>29</v>
      </c>
      <c r="F3"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3" s="8" t="s">
        <v>30</v>
      </c>
      <c r="H3" s="9" t="str">
        <f>IFERROR(__xludf.DUMMYFUNCTION("AI(""Give me a paragraph marketing spiel for this product, no tech specs just marketing fluff under 180 characters "")"),"Transform your spaces with a stunning visual journey of elegant design and discreet luxury, creating a sophisticated and seamless glow that beautifully enhances your home.")</f>
        <v>Transform your spaces with a stunning visual journey of elegant design and discreet luxury, creating a sophisticated and seamless glow that beautifully enhances your home.</v>
      </c>
      <c r="I3" s="8" t="s">
        <v>44</v>
      </c>
      <c r="J3" s="8"/>
      <c r="K3" s="8"/>
      <c r="L3" s="10" t="s">
        <v>45</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""&amp;L3)"),"Power Consumption Rate|CCT|Voltage|IP Rating|Strip Width")</f>
        <v>Power Consumption Rate|CCT|Voltage|IP Rating|Strip Width</v>
      </c>
      <c r="N3" s="12" t="s">
        <v>46</v>
      </c>
      <c r="O3" s="11" t="str">
        <f>IFERROR(__xludf.DUMMYFUNCTION("AI(""Using the labels""&amp;M3&amp;"" and values ""&amp;L3&amp;"" separated by character '|', Create a JSON object"")"),"{""Power Consumption Rate"": ""8W/m"", ""CCT"": ""2700K"", ""Voltage"": ""24V"", ""IP Rating"": ""IP54"", ""Strip Width"": ""8mm""}")</f>
        <v>{"Power Consumption Rate": "8W/m", "CCT": "2700K", "Voltage": "24V", "IP Rating": "IP54", "Strip Width": "8mm"}</v>
      </c>
      <c r="P3" s="12" t="s">
        <v>47</v>
      </c>
      <c r="Q3"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P3:P9)"),"{""Power Consumption Rate"": [""8W/m"", ""5W/m""], ""CCT"": [""2700K"", ""3000K"", ""4000K""], ""Voltage"": ""24V"", ""IP Rating"": [""IP54"", ""IP20""], ""Strip Width"": [""8mm"", ""12mm""], ""Light Color"": ""RGBW""}")</f>
        <v>{"Power Consumption Rate": ["8W/m", "5W/m"], "CCT": ["2700K", "3000K", "4000K"], "Voltage": "24V", "IP Rating": ["IP54", "IP20"], "Strip Width": ["8mm", "12mm"], "Light Color": "RGBW"}</v>
      </c>
      <c r="R3" s="14" t="s">
        <v>48</v>
      </c>
      <c r="S3"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P3:P9)"),"{
""Options"": {
""Power Consumption Rate"": [
{""name"": ""8W/m"", ""id"": ""101""},
{""name"": ""5W/m"", ""id"": ""106""}
],
""CCT"": [
{""name"": ""2700K"", ""id"": ""102""},
{""name"": ""3000K"", ""id"": ""103""},
{""name"": ""4000K"", ""id"": ""104"""&amp;"}
],
""Voltage"": [
{""name"": ""24V"", ""id"": ""105""}
],
""IP Rating"": [
{""name"": ""IP54"", ""id"": ""107""},
{""name"": ""IP20"", ""id"": ""109""}
],
""Strip Width"": [
{""name"": ""8mm"", ""id"": ""108""},
{""name"": ""12mm"", ""id"": ""111""}
],
"&amp;"""Light Color"": [
{""name"": ""RGBW"", ""id"": ""110""}
]
},
""Constraints"": {
""106"": [""102"", ""104"", ""107"", ""108""],
""110"": [""101"", ""102"", ""104"", ""107"", ""108""],
""111"": [""101"", ""102"", ""104"", ""107"", ""108""]
}
}")</f>
        <v>{
"Options": {
"Power Consumption Rate": [
{"name": "8W/m", "id": "101"},
{"name": "5W/m", "id": "106"}
],
"CCT": [
{"name": "2700K", "id": "102"},
{"name": "3000K", "id": "103"},
{"name": "4000K", "id": "104"}
],
"Voltage": [
{"name": "24V", "id": "105"}
],
"IP Rating": [
{"name": "IP54", "id": "107"},
{"name": "IP20", "id": "109"}
],
"Strip Width": [
{"name": "8mm", "id": "108"},
{"name": "12mm", "id": "111"}
],
"Light Color": [
{"name": "RGBW", "id": "110"}
]
},
"Constraints": {
"106": ["102", "104", "107", "108"],
"110": ["101", "102", "104", "107", "108"],
"111": ["101", "102", "104", "107", "108"]
}
}</v>
      </c>
      <c r="T3" s="16" t="s">
        <v>49</v>
      </c>
      <c r="U3" s="14" t="s">
        <v>50</v>
      </c>
      <c r="V3" s="14" t="s">
        <v>51</v>
      </c>
      <c r="W3" s="14" t="s">
        <v>38</v>
      </c>
      <c r="X3" s="14" t="s">
        <v>52</v>
      </c>
      <c r="Y3" s="14" t="s">
        <v>40</v>
      </c>
      <c r="Z3" s="6"/>
    </row>
    <row r="4" ht="37.5" customHeight="1">
      <c r="A4" s="7"/>
      <c r="B4" s="7"/>
      <c r="C4" s="8"/>
      <c r="D4" s="8"/>
      <c r="E4" s="8"/>
      <c r="F4" s="9"/>
      <c r="G4" s="8"/>
      <c r="H4" s="9"/>
      <c r="I4" s="8"/>
      <c r="J4" s="8"/>
      <c r="K4" s="8"/>
      <c r="L4" s="10" t="s">
        <v>53</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""&amp;L4)"),"Power Consumption Rate|CCT|Voltage|IP Rating|Strip Width")</f>
        <v>Power Consumption Rate|CCT|Voltage|IP Rating|Strip Width</v>
      </c>
      <c r="N4" s="12" t="s">
        <v>46</v>
      </c>
      <c r="O4" s="11" t="str">
        <f>IFERROR(__xludf.DUMMYFUNCTION("AI(""Using the labels""&amp;M4&amp;"" and values ""&amp;L4&amp;"" separated by character '|', Create a JSON object"")"),"{""Power Consumption Rate"": ""8W/m"", ""CCT"": ""3000K"", ""Voltage"": ""24V"", ""IP Rating"": ""IP54"", ""Strip Width"": ""8mm""}")</f>
        <v>{"Power Consumption Rate": "8W/m", "CCT": "3000K", "Voltage": "24V", "IP Rating": "IP54", "Strip Width": "8mm"}</v>
      </c>
      <c r="P4" s="12" t="s">
        <v>54</v>
      </c>
      <c r="Q4" s="13"/>
      <c r="R4" s="14"/>
      <c r="S4" s="13"/>
      <c r="T4" s="15"/>
      <c r="U4" s="14"/>
      <c r="V4" s="14"/>
      <c r="W4" s="14" t="s">
        <v>38</v>
      </c>
      <c r="X4" s="14" t="s">
        <v>52</v>
      </c>
      <c r="Y4" s="14" t="s">
        <v>40</v>
      </c>
      <c r="Z4" s="6"/>
    </row>
    <row r="5" ht="37.5" customHeight="1">
      <c r="A5" s="7"/>
      <c r="B5" s="7"/>
      <c r="C5" s="8"/>
      <c r="D5" s="8"/>
      <c r="E5" s="8"/>
      <c r="F5" s="9"/>
      <c r="G5" s="8"/>
      <c r="H5" s="9"/>
      <c r="I5" s="8"/>
      <c r="J5" s="8"/>
      <c r="K5" s="8"/>
      <c r="L5" s="10" t="s">
        <v>55</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""&amp;L5)"),"Power Consumption Rate|CCT|Voltage|IP Rating|Strip Width")</f>
        <v>Power Consumption Rate|CCT|Voltage|IP Rating|Strip Width</v>
      </c>
      <c r="N5" s="12" t="s">
        <v>46</v>
      </c>
      <c r="O5" s="11" t="str">
        <f>IFERROR(__xludf.DUMMYFUNCTION("AI(""Using the labels""&amp;M5&amp;"" and values ""&amp;L5&amp;"" separated by character '|', Create a JSON object"")"),"{""Power Consumption Rate"": ""8W/m"", ""CCT"": ""4000K"", ""Voltage"": ""24V"", ""IP Rating"": ""IP54"", ""Strip Width"": ""8mm""}")</f>
        <v>{"Power Consumption Rate": "8W/m", "CCT": "4000K", "Voltage": "24V", "IP Rating": "IP54", "Strip Width": "8mm"}</v>
      </c>
      <c r="P5" s="12" t="s">
        <v>56</v>
      </c>
      <c r="Q5" s="13"/>
      <c r="R5" s="14"/>
      <c r="S5" s="13"/>
      <c r="T5" s="15"/>
      <c r="U5" s="14"/>
      <c r="V5" s="14"/>
      <c r="W5" s="14" t="s">
        <v>38</v>
      </c>
      <c r="X5" s="14" t="s">
        <v>52</v>
      </c>
      <c r="Y5" s="14" t="s">
        <v>40</v>
      </c>
      <c r="Z5" s="6"/>
    </row>
    <row r="6" ht="37.5" customHeight="1">
      <c r="A6" s="7"/>
      <c r="B6" s="7"/>
      <c r="C6" s="8"/>
      <c r="D6" s="8"/>
      <c r="E6" s="8"/>
      <c r="F6" s="9"/>
      <c r="G6" s="8"/>
      <c r="H6" s="9"/>
      <c r="I6" s="8"/>
      <c r="J6" s="8"/>
      <c r="K6" s="8"/>
      <c r="L6" s="10" t="s">
        <v>57</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""&amp;L6)"),"Power Consumption Rate|Light Color|CCT|Voltage|IP Rating|Strip Width")</f>
        <v>Power Consumption Rate|Light Color|CCT|Voltage|IP Rating|Strip Width</v>
      </c>
      <c r="N6" s="12" t="s">
        <v>58</v>
      </c>
      <c r="O6" s="11" t="str">
        <f>IFERROR(__xludf.DUMMYFUNCTION("AI(""Using the labels""&amp;M6&amp;"" and values ""&amp;L6&amp;"" separated by character '|', Create a JSON object"")"),"{""Power Consumption Rate"": ""5W/m"", ""Light Color"": ""RGBW"", ""CCT"": ""3000K"", ""Voltage"": ""24V"", ""IP Rating"": ""IP20"", ""Strip Width"": ""12mm""}")</f>
        <v>{"Power Consumption Rate": "5W/m", "Light Color": "RGBW", "CCT": "3000K", "Voltage": "24V", "IP Rating": "IP20", "Strip Width": "12mm"}</v>
      </c>
      <c r="P6" s="12" t="s">
        <v>59</v>
      </c>
      <c r="Q6" s="13"/>
      <c r="R6" s="14"/>
      <c r="S6" s="13"/>
      <c r="T6" s="15"/>
      <c r="U6" s="14"/>
      <c r="V6" s="14"/>
      <c r="W6" s="14" t="s">
        <v>38</v>
      </c>
      <c r="X6" s="14" t="s">
        <v>60</v>
      </c>
      <c r="Y6" s="14" t="s">
        <v>40</v>
      </c>
      <c r="Z6" s="6"/>
    </row>
    <row r="7" ht="37.5" customHeight="1">
      <c r="A7" s="7"/>
      <c r="B7" s="17"/>
      <c r="C7" s="17"/>
      <c r="D7" s="17"/>
      <c r="E7" s="17"/>
      <c r="F7" s="18"/>
      <c r="G7" s="17"/>
      <c r="H7" s="9"/>
      <c r="I7" s="8"/>
      <c r="J7" s="17"/>
      <c r="K7" s="17"/>
      <c r="L7" s="10" t="s">
        <v>61</v>
      </c>
      <c r="M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""&amp;L7)"),"Power Consumption Rate|CCT|Voltage|IP Rating|Strip Width")</f>
        <v>Power Consumption Rate|CCT|Voltage|IP Rating|Strip Width</v>
      </c>
      <c r="N7" s="12" t="s">
        <v>46</v>
      </c>
      <c r="O7" s="11" t="str">
        <f>IFERROR(__xludf.DUMMYFUNCTION("AI(""Using the labels""&amp;M7&amp;"" and values ""&amp;L7&amp;"" separated by character '|', Create a JSON object"")"),"{""Power Consumption Rate"": ""8W/m"", ""CCT"": ""2700K"", ""Voltage"": ""24V"", ""IP Rating"": ""IP20"", ""Strip Width"": ""8mm""}")</f>
        <v>{"Power Consumption Rate": "8W/m", "CCT": "2700K", "Voltage": "24V", "IP Rating": "IP20", "Strip Width": "8mm"}</v>
      </c>
      <c r="P7" s="12" t="s">
        <v>62</v>
      </c>
      <c r="Q7" s="19"/>
      <c r="R7" s="20"/>
      <c r="S7" s="19"/>
      <c r="T7" s="21"/>
      <c r="U7" s="20"/>
      <c r="V7" s="20"/>
      <c r="W7" s="14" t="s">
        <v>38</v>
      </c>
      <c r="X7" s="14" t="s">
        <v>52</v>
      </c>
      <c r="Y7" s="14" t="s">
        <v>40</v>
      </c>
      <c r="Z7" s="6"/>
    </row>
    <row r="8" ht="37.5" customHeight="1">
      <c r="A8" s="7"/>
      <c r="B8" s="17"/>
      <c r="C8" s="17"/>
      <c r="D8" s="17"/>
      <c r="E8" s="17"/>
      <c r="F8" s="18"/>
      <c r="G8" s="17"/>
      <c r="H8" s="9"/>
      <c r="I8" s="8"/>
      <c r="J8" s="17"/>
      <c r="K8" s="17"/>
      <c r="L8" s="10" t="s">
        <v>63</v>
      </c>
      <c r="M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""&amp;L8)"),"Power Consumption Rate|CCT|Voltage|IP Rating|Strip Width")</f>
        <v>Power Consumption Rate|CCT|Voltage|IP Rating|Strip Width</v>
      </c>
      <c r="N8" s="12" t="s">
        <v>46</v>
      </c>
      <c r="O8" s="11" t="str">
        <f>IFERROR(__xludf.DUMMYFUNCTION("AI(""Using the labels""&amp;M8&amp;"" and values ""&amp;L8&amp;"" separated by character '|', Create a JSON object"")"),"{""Power Consumption Rate"": ""8W/m"", ""CCT"": ""3000K"", ""Voltage"": ""24V"", ""IP Rating"": ""IP20"", ""Strip Width"": ""8mm""}")</f>
        <v>{"Power Consumption Rate": "8W/m", "CCT": "3000K", "Voltage": "24V", "IP Rating": "IP20", "Strip Width": "8mm"}</v>
      </c>
      <c r="P8" s="12" t="s">
        <v>64</v>
      </c>
      <c r="Q8" s="19"/>
      <c r="R8" s="20"/>
      <c r="S8" s="19"/>
      <c r="T8" s="21"/>
      <c r="U8" s="20"/>
      <c r="V8" s="20"/>
      <c r="W8" s="14" t="s">
        <v>38</v>
      </c>
      <c r="X8" s="14" t="s">
        <v>52</v>
      </c>
      <c r="Y8" s="14" t="s">
        <v>40</v>
      </c>
      <c r="Z8" s="6"/>
    </row>
    <row r="9" ht="37.5" customHeight="1">
      <c r="A9" s="7"/>
      <c r="B9" s="17"/>
      <c r="C9" s="17"/>
      <c r="D9" s="17"/>
      <c r="E9" s="17"/>
      <c r="F9" s="18"/>
      <c r="G9" s="17"/>
      <c r="H9" s="9"/>
      <c r="I9" s="8"/>
      <c r="J9" s="17"/>
      <c r="K9" s="17"/>
      <c r="L9" s="10" t="s">
        <v>65</v>
      </c>
      <c r="M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""&amp;L9)"),"Power Consumption Rate|CCT|Voltage|IP Rating|Strip Width")</f>
        <v>Power Consumption Rate|CCT|Voltage|IP Rating|Strip Width</v>
      </c>
      <c r="N9" s="12" t="s">
        <v>46</v>
      </c>
      <c r="O9" s="11" t="str">
        <f>IFERROR(__xludf.DUMMYFUNCTION("AI(""Using the labels""&amp;M9&amp;"" and values ""&amp;L9&amp;"" separated by character '|', Create a JSON object"")"),"{""Power Consumption Rate"": ""8W/m"", ""CCT"": ""4000K"", ""Voltage"": ""24V"", ""IP Rating"": ""IP20"", ""Strip Width"": ""8mm""}")</f>
        <v>{"Power Consumption Rate": "8W/m", "CCT": "4000K", "Voltage": "24V", "IP Rating": "IP20", "Strip Width": "8mm"}</v>
      </c>
      <c r="P9" s="12" t="s">
        <v>66</v>
      </c>
      <c r="Q9" s="19"/>
      <c r="R9" s="20"/>
      <c r="S9" s="19"/>
      <c r="T9" s="21"/>
      <c r="U9" s="20"/>
      <c r="V9" s="20"/>
      <c r="W9" s="14" t="s">
        <v>38</v>
      </c>
      <c r="X9" s="14" t="s">
        <v>52</v>
      </c>
      <c r="Y9" s="14" t="s">
        <v>40</v>
      </c>
      <c r="Z9" s="6"/>
    </row>
    <row r="10" ht="37.5" customHeight="1">
      <c r="A10" s="7" t="s">
        <v>67</v>
      </c>
      <c r="B10" s="8" t="s">
        <v>68</v>
      </c>
      <c r="C10" s="8" t="s">
        <v>27</v>
      </c>
      <c r="D10" s="8" t="s">
        <v>68</v>
      </c>
      <c r="E10" s="8" t="s">
        <v>29</v>
      </c>
      <c r="F10" s="9" t="str">
        <f>IFERROR(__xludf.DUMMYFUNCTION("AI(""Give me a paragraph marketing spiel for this product, no tech specs just marketing fluff "")"),"Transform your home into a breathtaking visual journey with a perfect blend of elegance and modern design. This premium lighting solution offers a sophisticated, seamless glow that beautifully enhances your elegant spaces, casting a warm and inviting atmo"&amp;"sphere throughout. Crafted for those who appreciate refined detail and discreet luxury, it adds an unparalleled touch of ambiance, warmth, and captivating style to any room, making it the ultimate choice for elevated interior illumination.")</f>
        <v>Transform your home into a breathtaking visual journey with a perfect blend of elegance and modern design. This premium lighting solution offers a sophisticated, seamless glow that beautifully enhances your elegant spaces, casting a warm and inviting atmosphere throughout. Crafted for those who appreciate refined detail and discreet luxury, it adds an unparalleled touch of ambiance, warmth, and captivating style to any room, making it the ultimate choice for elevated interior illumination.</v>
      </c>
      <c r="G10" s="8" t="s">
        <v>69</v>
      </c>
      <c r="H10" s="9" t="str">
        <f>IFERROR(__xludf.DUMMYFUNCTION("AI(""Give me a paragraph marketing spiel for this product, no tech specs just marketing fluff under 180 characters "")"),"Transform your home into a breathtaking visual journey. Experience discreet luxury and a sophisticated, seamless glow that beautifully enhances your elegant spaces.")</f>
        <v>Transform your home into a breathtaking visual journey. Experience discreet luxury and a sophisticated, seamless glow that beautifully enhances your elegant spaces.</v>
      </c>
      <c r="I10" s="8" t="s">
        <v>70</v>
      </c>
      <c r="J10" s="17"/>
      <c r="K10" s="17"/>
      <c r="L10" s="10" t="s">
        <v>71</v>
      </c>
      <c r="M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""&amp;L10)"),"Power|CCT|Voltage|IP Rating|Dimension")</f>
        <v>Power|CCT|Voltage|IP Rating|Dimension</v>
      </c>
      <c r="N10" s="12" t="s">
        <v>72</v>
      </c>
      <c r="O10" s="11" t="str">
        <f>IFERROR(__xludf.DUMMYFUNCTION("AI(""Using the labels""&amp;M10&amp;"" and values ""&amp;L10&amp;"" separated by character '|', Create a JSON object"")"),"{""Power"": ""30W"", ""CCT"": ""3000K"", ""Voltage"": ""24V"", ""IP Rating"": ""IP20"", ""Dimension"": ""480mm (L) x 240mm (W)""}")</f>
        <v>{"Power": "30W", "CCT": "3000K", "Voltage": "24V", "IP Rating": "IP20", "Dimension": "480mm (L) x 240mm (W)"}</v>
      </c>
      <c r="P10" s="12" t="s">
        <v>73</v>
      </c>
      <c r="Q10"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P10:P18)"),"{""Power"": ""30W"", ""CCT"": [""3000K"", ""4000K"", ""6000K""], ""Voltage"": ""24V"", ""IP Rating"": [""IP20"", ""IP54"", ""IP67""], ""Dimension"": ""480mm (L) x 240mm (W)""}")</f>
        <v>{"Power": "30W", "CCT": ["3000K", "4000K", "6000K"], "Voltage": "24V", "IP Rating": ["IP20", "IP54", "IP67"], "Dimension": "480mm (L) x 240mm (W)"}</v>
      </c>
      <c r="R10" s="14" t="s">
        <v>74</v>
      </c>
      <c r="S10"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P10:P18)"),"{
""Options"": {
""Power"": [
{""name"": ""30W"", ""id"": ""101""}
],
""CCT"": [
{""name"": ""3000K"", ""id"": ""102""},
{""name"": ""4000K"", ""id"": ""103""},
{""name"": ""6000K"", ""id"": ""104""}
],
""Voltage"": [
{""name"": ""24V"", ""id"": ""105""}
"&amp;"],
""IP Rating"": [
{""name"": ""IP20"", ""id"": ""106""},
{""name"": ""IP54"", ""id"": ""107""},
{""name"": ""IP67"", ""id"": ""108""}
],
""Dimension"": [
{""name"": ""480mm (L) x 240mm (W)"", ""id"": ""109""}
]
},
""Constraints"": {}
}")</f>
        <v>{
"Options": {
"Power": [
{"name": "30W", "id": "101"}
],
"CCT": [
{"name": "3000K", "id": "102"},
{"name": "4000K", "id": "103"},
{"name": "6000K", "id": "104"}
],
"Voltage": [
{"name": "24V", "id": "105"}
],
"IP Rating": [
{"name": "IP20", "id": "106"},
{"name": "IP54", "id": "107"},
{"name": "IP67", "id": "108"}
],
"Dimension": [
{"name": "480mm (L) x 240mm (W)", "id": "109"}
]
},
"Constraints": {}
}</v>
      </c>
      <c r="T10" s="15" t="s">
        <v>75</v>
      </c>
      <c r="U10" s="14" t="s">
        <v>76</v>
      </c>
      <c r="V10" s="14" t="s">
        <v>37</v>
      </c>
      <c r="W10" s="14" t="s">
        <v>38</v>
      </c>
      <c r="X10" s="14" t="s">
        <v>77</v>
      </c>
      <c r="Y10" s="14" t="s">
        <v>40</v>
      </c>
      <c r="Z10" s="6"/>
    </row>
    <row r="11" ht="37.5" customHeight="1">
      <c r="A11" s="7"/>
      <c r="B11" s="17"/>
      <c r="C11" s="17"/>
      <c r="D11" s="17"/>
      <c r="E11" s="17"/>
      <c r="F11" s="18"/>
      <c r="G11" s="17"/>
      <c r="H11" s="9"/>
      <c r="I11" s="8"/>
      <c r="J11" s="17"/>
      <c r="K11" s="17"/>
      <c r="L11" s="10" t="s">
        <v>78</v>
      </c>
      <c r="M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""&amp;L11)"),"Power|CCT|Voltage|IP Rating|Dimension")</f>
        <v>Power|CCT|Voltage|IP Rating|Dimension</v>
      </c>
      <c r="N11" s="12" t="s">
        <v>72</v>
      </c>
      <c r="O11" s="11" t="str">
        <f>IFERROR(__xludf.DUMMYFUNCTION("AI(""Using the labels""&amp;M11&amp;"" and values ""&amp;L11&amp;"" separated by character '|', Create a JSON object"")"),"{""Power"": ""30W"", ""CCT"": ""4000K"", ""Voltage"": ""24V"", ""IP Rating"": ""IP20"", ""Dimension"": ""480mm (L) x 240mm (W)""}")</f>
        <v>{"Power": "30W", "CCT": "4000K", "Voltage": "24V", "IP Rating": "IP20", "Dimension": "480mm (L) x 240mm (W)"}</v>
      </c>
      <c r="P11" s="12" t="s">
        <v>79</v>
      </c>
      <c r="Q11" s="19"/>
      <c r="R11" s="20"/>
      <c r="S11" s="19"/>
      <c r="T11" s="21"/>
      <c r="U11" s="20"/>
      <c r="V11" s="20"/>
      <c r="W11" s="14" t="s">
        <v>38</v>
      </c>
      <c r="X11" s="14" t="s">
        <v>77</v>
      </c>
      <c r="Y11" s="14" t="s">
        <v>40</v>
      </c>
      <c r="Z11" s="6"/>
    </row>
    <row r="12" ht="37.5" customHeight="1">
      <c r="A12" s="7"/>
      <c r="B12" s="17"/>
      <c r="C12" s="17"/>
      <c r="D12" s="17"/>
      <c r="E12" s="17"/>
      <c r="F12" s="18"/>
      <c r="G12" s="17"/>
      <c r="H12" s="9"/>
      <c r="I12" s="8"/>
      <c r="J12" s="17"/>
      <c r="K12" s="17"/>
      <c r="L12" s="10" t="s">
        <v>80</v>
      </c>
      <c r="M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""&amp;L12)"),"Power|CCT|Voltage|IP Rating|Dimension")</f>
        <v>Power|CCT|Voltage|IP Rating|Dimension</v>
      </c>
      <c r="N12" s="12" t="s">
        <v>72</v>
      </c>
      <c r="O12" s="11" t="str">
        <f>IFERROR(__xludf.DUMMYFUNCTION("AI(""Using the labels""&amp;M12&amp;"" and values ""&amp;L12&amp;"" separated by character '|', Create a JSON object"")"),"{""Power"": ""30W"", ""CCT"": ""6000K"", ""Voltage"": ""24V"", ""IP Rating"": ""IP20"", ""Dimension"": ""480mm (L) x 240mm (W)""}")</f>
        <v>{"Power": "30W", "CCT": "6000K", "Voltage": "24V", "IP Rating": "IP20", "Dimension": "480mm (L) x 240mm (W)"}</v>
      </c>
      <c r="P12" s="12" t="s">
        <v>81</v>
      </c>
      <c r="Q12" s="19"/>
      <c r="R12" s="20"/>
      <c r="S12" s="19"/>
      <c r="T12" s="21"/>
      <c r="U12" s="20"/>
      <c r="V12" s="20"/>
      <c r="W12" s="14" t="s">
        <v>38</v>
      </c>
      <c r="X12" s="14" t="s">
        <v>77</v>
      </c>
      <c r="Y12" s="14" t="s">
        <v>40</v>
      </c>
      <c r="Z12" s="6"/>
    </row>
    <row r="13" ht="37.5" customHeight="1">
      <c r="A13" s="7"/>
      <c r="B13" s="17"/>
      <c r="C13" s="17"/>
      <c r="D13" s="17"/>
      <c r="E13" s="17"/>
      <c r="F13" s="18"/>
      <c r="G13" s="17"/>
      <c r="H13" s="9"/>
      <c r="I13" s="8"/>
      <c r="J13" s="17"/>
      <c r="K13" s="17"/>
      <c r="L13" s="10" t="s">
        <v>82</v>
      </c>
      <c r="M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""&amp;L13)"),"Power|CCT|Voltage|IP Rating|Dimension")</f>
        <v>Power|CCT|Voltage|IP Rating|Dimension</v>
      </c>
      <c r="N13" s="12" t="s">
        <v>72</v>
      </c>
      <c r="O13" s="11" t="str">
        <f>IFERROR(__xludf.DUMMYFUNCTION("AI(""Using the labels""&amp;M13&amp;"" and values ""&amp;L13&amp;"" separated by character '|', Create a JSON object"")"),"{""Power"": ""30W"", ""CCT"": ""3000K"", ""Voltage"": ""24V"", ""IP Rating"": ""IP54"", ""Dimension"": ""480mm (L) x 240mm (W)""}")</f>
        <v>{"Power": "30W", "CCT": "3000K", "Voltage": "24V", "IP Rating": "IP54", "Dimension": "480mm (L) x 240mm (W)"}</v>
      </c>
      <c r="P13" s="12" t="s">
        <v>83</v>
      </c>
      <c r="Q13" s="19"/>
      <c r="R13" s="20"/>
      <c r="S13" s="19"/>
      <c r="T13" s="21"/>
      <c r="U13" s="20"/>
      <c r="V13" s="20"/>
      <c r="W13" s="14" t="s">
        <v>38</v>
      </c>
      <c r="X13" s="14" t="s">
        <v>84</v>
      </c>
      <c r="Y13" s="14" t="s">
        <v>40</v>
      </c>
      <c r="Z13" s="6"/>
    </row>
    <row r="14" ht="37.5" customHeight="1">
      <c r="A14" s="7"/>
      <c r="B14" s="8"/>
      <c r="C14" s="8"/>
      <c r="D14" s="8"/>
      <c r="E14" s="8"/>
      <c r="F14" s="9"/>
      <c r="G14" s="8"/>
      <c r="H14" s="9"/>
      <c r="I14" s="8"/>
      <c r="J14" s="17"/>
      <c r="K14" s="17"/>
      <c r="L14" s="10" t="s">
        <v>85</v>
      </c>
      <c r="M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""&amp;L14)"),"Power|CCT|Voltage|IP Rating|Dimension")</f>
        <v>Power|CCT|Voltage|IP Rating|Dimension</v>
      </c>
      <c r="N14" s="12" t="s">
        <v>72</v>
      </c>
      <c r="O14" s="11" t="str">
        <f>IFERROR(__xludf.DUMMYFUNCTION("AI(""Using the labels""&amp;M14&amp;"" and values ""&amp;L14&amp;"" separated by character '|', Create a JSON object"")"),"{""Power"": ""30W"", ""CCT"": ""4000K"", ""Voltage"": ""24V"", ""IP Rating"": ""IP54"", ""Dimension"": ""480mm (L) x 240mm (W)""}")</f>
        <v>{"Power": "30W", "CCT": "4000K", "Voltage": "24V", "IP Rating": "IP54", "Dimension": "480mm (L) x 240mm (W)"}</v>
      </c>
      <c r="P14" s="12" t="s">
        <v>86</v>
      </c>
      <c r="Q14" s="13"/>
      <c r="R14" s="14"/>
      <c r="S14" s="13"/>
      <c r="T14" s="15"/>
      <c r="U14" s="14"/>
      <c r="V14" s="14"/>
      <c r="W14" s="14" t="s">
        <v>38</v>
      </c>
      <c r="X14" s="14" t="s">
        <v>84</v>
      </c>
      <c r="Y14" s="14" t="s">
        <v>40</v>
      </c>
      <c r="Z14" s="6"/>
    </row>
    <row r="15" ht="37.5" customHeight="1">
      <c r="A15" s="7"/>
      <c r="B15" s="17"/>
      <c r="C15" s="17"/>
      <c r="D15" s="17"/>
      <c r="E15" s="17"/>
      <c r="F15" s="18"/>
      <c r="G15" s="17"/>
      <c r="H15" s="9"/>
      <c r="I15" s="8"/>
      <c r="J15" s="17"/>
      <c r="K15" s="17"/>
      <c r="L15" s="10" t="s">
        <v>87</v>
      </c>
      <c r="M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""&amp;L15)"),"Power|CCT|Voltage|IP Rating|Dimension")</f>
        <v>Power|CCT|Voltage|IP Rating|Dimension</v>
      </c>
      <c r="N15" s="12" t="s">
        <v>72</v>
      </c>
      <c r="O15" s="11" t="str">
        <f>IFERROR(__xludf.DUMMYFUNCTION("AI(""Using the labels""&amp;M15&amp;"" and values ""&amp;L15&amp;"" separated by character '|', Create a JSON object"")"),"{""Power"": ""30W"", ""CCT"": ""6000K"", ""Voltage"": ""24V"", ""IP Rating"": ""IP54"", ""Dimension"": ""480mm (L) x 240mm (W)""}")</f>
        <v>{"Power": "30W", "CCT": "6000K", "Voltage": "24V", "IP Rating": "IP54", "Dimension": "480mm (L) x 240mm (W)"}</v>
      </c>
      <c r="P15" s="12" t="s">
        <v>88</v>
      </c>
      <c r="Q15" s="19"/>
      <c r="R15" s="20"/>
      <c r="S15" s="19"/>
      <c r="T15" s="21"/>
      <c r="U15" s="20"/>
      <c r="V15" s="20"/>
      <c r="W15" s="14" t="s">
        <v>38</v>
      </c>
      <c r="X15" s="14" t="s">
        <v>84</v>
      </c>
      <c r="Y15" s="14" t="s">
        <v>40</v>
      </c>
      <c r="Z15" s="6"/>
    </row>
    <row r="16">
      <c r="A16" s="7"/>
      <c r="B16" s="17"/>
      <c r="C16" s="17"/>
      <c r="D16" s="17"/>
      <c r="E16" s="17"/>
      <c r="F16" s="18"/>
      <c r="G16" s="17"/>
      <c r="H16" s="18"/>
      <c r="I16" s="17"/>
      <c r="J16" s="17"/>
      <c r="K16" s="17"/>
      <c r="L16" s="10" t="s">
        <v>89</v>
      </c>
      <c r="M1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""&amp;L16)"),"Power|CCT|Voltage|IP Rating|Dimension")</f>
        <v>Power|CCT|Voltage|IP Rating|Dimension</v>
      </c>
      <c r="N16" s="12" t="s">
        <v>72</v>
      </c>
      <c r="O16" s="11" t="str">
        <f>IFERROR(__xludf.DUMMYFUNCTION("AI(""Using the labels""&amp;M16&amp;"" and values ""&amp;L16&amp;"" separated by character '|', Create a JSON object"")"),"{""Power"": ""30W"", ""CCT"": ""3000K"", ""Voltage"": ""24V"", ""IP Rating"": ""IP67"", ""Dimension"": ""480mm (L) x 240mm (W)""}")</f>
        <v>{"Power": "30W", "CCT": "3000K", "Voltage": "24V", "IP Rating": "IP67", "Dimension": "480mm (L) x 240mm (W)"}</v>
      </c>
      <c r="P16" s="12" t="s">
        <v>90</v>
      </c>
      <c r="Q16" s="19"/>
      <c r="R16" s="20"/>
      <c r="S16" s="19"/>
      <c r="T16" s="21"/>
      <c r="U16" s="20"/>
      <c r="V16" s="20"/>
      <c r="W16" s="14" t="s">
        <v>38</v>
      </c>
      <c r="X16" s="14" t="s">
        <v>91</v>
      </c>
      <c r="Y16" s="14" t="s">
        <v>40</v>
      </c>
      <c r="Z16" s="6"/>
    </row>
    <row r="17">
      <c r="A17" s="7"/>
      <c r="B17" s="17"/>
      <c r="C17" s="17"/>
      <c r="D17" s="17"/>
      <c r="E17" s="17"/>
      <c r="F17" s="18"/>
      <c r="G17" s="17"/>
      <c r="H17" s="18"/>
      <c r="I17" s="17"/>
      <c r="J17" s="17"/>
      <c r="K17" s="17"/>
      <c r="L17" s="10" t="s">
        <v>92</v>
      </c>
      <c r="M1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""&amp;L17)"),"Power|CCT|Voltage|IP Rating|Dimension")</f>
        <v>Power|CCT|Voltage|IP Rating|Dimension</v>
      </c>
      <c r="N17" s="12" t="s">
        <v>72</v>
      </c>
      <c r="O17" s="11" t="str">
        <f>IFERROR(__xludf.DUMMYFUNCTION("AI(""Using the labels""&amp;M17&amp;"" and values ""&amp;L17&amp;"" separated by character '|', Create a JSON object"")"),"{""Power"": ""30W"", ""CCT"": ""4000K"", ""Voltage"": ""24V"", ""IP Rating"": ""IP67"", ""Dimension"": ""480mm (L) x 240mm (W)""}")</f>
        <v>{"Power": "30W", "CCT": "4000K", "Voltage": "24V", "IP Rating": "IP67", "Dimension": "480mm (L) x 240mm (W)"}</v>
      </c>
      <c r="P17" s="12" t="s">
        <v>93</v>
      </c>
      <c r="Q17" s="19"/>
      <c r="R17" s="20"/>
      <c r="S17" s="19"/>
      <c r="T17" s="21"/>
      <c r="U17" s="20"/>
      <c r="V17" s="20"/>
      <c r="W17" s="14" t="s">
        <v>38</v>
      </c>
      <c r="X17" s="14" t="s">
        <v>91</v>
      </c>
      <c r="Y17" s="14" t="s">
        <v>40</v>
      </c>
      <c r="Z17" s="6"/>
    </row>
    <row r="18">
      <c r="A18" s="7"/>
      <c r="B18" s="17"/>
      <c r="C18" s="17"/>
      <c r="D18" s="17"/>
      <c r="E18" s="17"/>
      <c r="F18" s="18"/>
      <c r="G18" s="17"/>
      <c r="H18" s="18"/>
      <c r="I18" s="17"/>
      <c r="J18" s="17"/>
      <c r="K18" s="17"/>
      <c r="L18" s="10" t="s">
        <v>94</v>
      </c>
      <c r="M1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STRICT OUTPUT RULES
1. Output ONLY the corresponding labels mentioned above separated by pipes ('|'). 
2. Do not include the values in your output.
3. D"&amp;"o not include any conversational text, introductory remarks, or markdown formatting blocks.
4. The number of labels in your output must exactly match the number of values provided in the input.
---
### FEW-SHOT EXAMPLES
#### Example 1 (Standard Neon St"&amp;"rip)
Input: 1.2W | SYM30° | 3000K | IP67 | IK10
Output: Power|Optics|CCT|IP Rating|Impact Strength
Input: 7W | Warm White | 12V/24V | AC/DC | IP67 | Black finish
Output: Power | Light Color | Current Type | IP Rating | Finish
---
### YOUR TASK
Generat"&amp;"e output for the values text ""&amp;L18)"),"Power|CCT|Voltage|IP Rating|Dimension")</f>
        <v>Power|CCT|Voltage|IP Rating|Dimension</v>
      </c>
      <c r="N18" s="12" t="s">
        <v>72</v>
      </c>
      <c r="O18" s="11" t="str">
        <f>IFERROR(__xludf.DUMMYFUNCTION("AI(""Using the labels""&amp;M18&amp;"" and values ""&amp;L18&amp;"" separated by character '|', Create a JSON object"")"),"{""Power"": ""30W"", ""CCT"": ""6000K"", ""Voltage"": ""24V"", ""IP Rating"": ""IP67"", ""Dimension"": ""480mm (L) x 240mm (W)""}")</f>
        <v>{"Power": "30W", "CCT": "6000K", "Voltage": "24V", "IP Rating": "IP67", "Dimension": "480mm (L) x 240mm (W)"}</v>
      </c>
      <c r="P18" s="12" t="s">
        <v>95</v>
      </c>
      <c r="Q18" s="19"/>
      <c r="R18" s="20"/>
      <c r="S18" s="19"/>
      <c r="T18" s="21"/>
      <c r="U18" s="20"/>
      <c r="V18" s="20"/>
      <c r="W18" s="14" t="s">
        <v>38</v>
      </c>
      <c r="X18" s="14" t="s">
        <v>91</v>
      </c>
      <c r="Y18" s="14" t="s">
        <v>40</v>
      </c>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sheetData>
  <drawing r:id="rId4"/>
  <legacyDrawing r:id="rId5"/>
  <tableParts count="1">
    <tablePart r:id="rId7"/>
  </tableParts>
</worksheet>
</file>