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ising Sun"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tc={2da5a08a-ff84-48c6-990b-aceb4d56b768}</author>
  </authors>
  <commentList>
    <comment authorId="0" xr:uid="{2da5a08a-ff84-48c6-990b-aceb4d56b768}" ref="M6">
      <text>
        <t xml:space="preserve">[Threaded comment]
 Your version of Excel allows you to read this threaded comment; however, any edits to it will get removed if the file is opened in a newer version of Excel. Learn more: https://go.microsoft.com/fwlink/?linkid=870924
Comment:
	Please review this product because it has RGBW (3000K) specification. I have changed it to RGBW and 3000K. What do you suggest?
</t>
      </text>
    </comment>
  </commentList>
</comments>
</file>

<file path=xl/sharedStrings.xml><?xml version="1.0" encoding="utf-8"?>
<sst xmlns="http://schemas.openxmlformats.org/spreadsheetml/2006/main" count="179" uniqueCount="115">
  <si>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</si>
  <si>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</si>
  <si>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</si>
  <si>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</si>
  <si>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</si>
  <si>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</si>
  <si>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</si>
  <si>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</si>
  <si>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</si>
  <si>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</si>
  <si>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</si>
  <si>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</si>
  <si>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</si>
  <si>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</si>
  <si>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</si>
  <si>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</si>
  <si>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</si>
  <si>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</si>
  <si>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</si>
  <si>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</si>
  <si>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</si>
  <si>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</si>
  <si>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</si>
  <si>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</si>
  <si>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</si>
  <si>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</si>
  <si>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</si>
  <si>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</si>
  <si>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</si>
  <si>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</si>
  <si>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PR-BEND-1M</t>
  </si>
  <si>
    <t>Flex Alu ZigZag Profile for 12mm RGBW Strip</t>
  </si>
  <si>
    <t>simple</t>
  </si>
  <si>
    <t>RGBW Strip</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</si>
  <si>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</si>
  <si>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</si>
  <si>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Elevate your spaces into a breathtaking visual journey of elegant design and discreet luxury with a sophisticated, seamless glow.</t>
  </si>
  <si>
    <t>1,000mm | Silver</t>
  </si>
  <si>
    <t>Profile Length|Finish</t>
  </si>
  <si>
    <t>{"Profile Length": "1,000mm", "Finish": "Silver", "SKU": "PR-BEND-1M"}</t>
  </si>
  <si>
    <t>{"Profile Length": "1,000mm", "Finish": "Silver", "SKU": ["PR-BEND-1M", "SMD-BEND-8W-2.7K-IP54"], "Power Consumption Rate": "8W/m", "CCT": "2700K", "Voltage": "24V", "IP Rating": "IP54", "Strip Width": "8mm"}</t>
  </si>
  <si>
    <t>{"Options":{"Profile Length":[{"name":"1,000mm","id":"101"}],"Finish":[{"name":"Silver","id":"102"}]},"Constraints":{},"sku_mappings":[{"sku":"PR-BEND-1M","combination":["101","102"]}]}</t>
  </si>
  <si>
    <t>CHINA - Rising Sun</t>
  </si>
  <si>
    <t>Bendable Profile (RS-ZL-1515B)</t>
  </si>
  <si>
    <t>No</t>
  </si>
  <si>
    <t>Flex Alu ZigZag Profile, RGBW LED Strip Channel, Bendable Aluminum Profile, Curved LED Lighting, Architectural Profile, 12mm Profile</t>
  </si>
  <si>
    <t>SMD-BEND-2.7K-IP54</t>
  </si>
  <si>
    <t>Bendable Zig Zag for curves LED SMD Strip</t>
  </si>
  <si>
    <t>SMD Strip</t>
  </si>
  <si>
    <t>Transform your spaces with a stunning visual journey of elegant design and discreet luxury, creating a sophisticated and seamless glow that beautifully enhances your home.</t>
  </si>
  <si>
    <t>SMD-BEND-8W-2.7K-IP54</t>
  </si>
  <si>
    <t>8W/m | 2700K | 24V | IP54 | 8mm</t>
  </si>
  <si>
    <t>Power Consumption Rate|CCT|Voltage|IP Rating|Strip Width</t>
  </si>
  <si>
    <t>{"Power Consumption Rate": "8W/m", "CCT": "2700K", "Voltage": "24V", "IP Rating": "IP54", "Strip Width": "8mm", "SKU": "SMD-BEND-8W-2.7K-IP54"}</t>
  </si>
  <si>
    <t>{"Power Consumption Rate": ["8W/m", "5W/m"], "CCT": ["2700K", "3000K", "4000K", "RGBW (3000K)"], "Voltage": "24V", "IP Rating": ["IP54", "IP20"], "Strip Width": ["8mm", "12mm"], "SKU": ["SMD-BEND-8W-2.7K-IP54", "SMD-BEND-8W-3K-IP54", "SMD-BEND-8W-4K-IP54", "SMD-BEND-5W-RGBW-IP54", "SMD-BEND-8W-2.7K-IP20", "SMD-BEND-8W-3K-IP20", "SMD-BEND-8W-4K-IP20"]}</t>
  </si>
  <si>
    <t>{"Options":{"Power Consumption Rate":[{"name":"8W/m","id":"101"},{"name":"5W/m","id":"102"}],"CCT":[{"name":"2700K","id":"103"},{"name":"3000K","id":"104"},{"name":"4000K","id":"105"},{"name":"RGBW (3000K)","id":"106"}],"Voltage":[{"name":"24V","id":"107"}],"IP Rating":[{"name":"IP54","id":"108"},{"name":"IP20","id":"109"}],"Strip Width":[{"name":"8mm","id":"110"},{"name":"12mm","id":"111"}]},"Constraints":{"102":["103","104","105","108","110"],"106":["101","103","104","105","108","110"]},"sku_mappings":[{"sku":"SMD-BEND-8W-2.7K-IP54","combination":["101","103","107","108","110"]},{"sku":"SMD-BEND-8W-3K-IP54","combination":["101","104","107","108","110"]},{"sku":"SMD-BEND-8W-4K-IP54","combination":["101","105","107","108","110"]},{"sku":"SMD-BEND-5W-RGBW-IP54","combination":["102","106","107","109","111"]},{"sku":"SMD-BEND-8W-2.7K-IP20","combination":["101","103","107","109","110"]},{"sku":"SMD-BEND-8W-3K-IP20","combination":["101","104","107","109","110"]},{"sku":"SMD-BEND-8W-4K-IP20","combination":["101","105","107","109","110"]}]}</t>
  </si>
  <si>
    <t>RS-S2835MC-24V-100D-08-20</t>
  </si>
  <si>
    <t>Bendable LED Strip, Zig Zag LED Light, Flexible SMD Strip, 2700K Warm White, IP54 Outdoor LED, 24V Flexible Lighting</t>
  </si>
  <si>
    <t>SMD-BEND-8W-3K-IP54</t>
  </si>
  <si>
    <t>8W/m | 3000K | 24V | IP54 | 8mm</t>
  </si>
  <si>
    <t>{"Power Consumption Rate": "8W/m", "CCT": "3000K", "Voltage": "24V", "IP Rating": "IP54", "Strip Width": "8mm", "SKU": "SMD-BEND-8W-3K-IP54"}</t>
  </si>
  <si>
    <t>SMD-BEND-8W-4K-IP54</t>
  </si>
  <si>
    <t>8W/m | 4000K | 24V | IP54 | 8mm</t>
  </si>
  <si>
    <t>{"Power Consumption Rate": "8W/m", "CCT": "4000K", "Voltage": "24V", "IP Rating": "IP54", "Strip Width": "8mm", "SKU": "SMD-BEND-8W-4K-IP54"}</t>
  </si>
  <si>
    <t>SMD-BEND-5W-RGBW-IP54</t>
  </si>
  <si>
    <t>5W/m | RGBW (3000K) | 24V | IP20 | 12mm</t>
  </si>
  <si>
    <t>{"Power Consumption Rate": "5W/m", "CCT": "RGBW (3000K)", "Voltage": "24V", "IP Rating": "IP20", "Strip Width": "12mm", "SKU": "SMD-BEND-5W-RGBW-IP54"}</t>
  </si>
  <si>
    <t>RS-S4040RGBW-24V-96D-12-20</t>
  </si>
  <si>
    <t>SMD-BEND-8W-2.7K-IP20</t>
  </si>
  <si>
    <t>8W/m | 2700K | 24V | IP20 | 8mm</t>
  </si>
  <si>
    <t>{"Power Consumption Rate": "8W/m", "CCT": "2700K", "Voltage": "24V", "IP Rating": "IP20", "Strip Width": "8mm", "SKU": "SMD-BEND-8W-2.7K-IP20"}</t>
  </si>
  <si>
    <t>SMD-BEND-8W-3K-IP20</t>
  </si>
  <si>
    <t>8W/m | 3000K | 24V | IP20 | 8mm</t>
  </si>
  <si>
    <t>{"Power Consumption Rate": "8W/m", "CCT": "3000K", "Voltage": "24V", "IP Rating": "IP20", "Strip Width": "8mm", "SKU": "SMD-BEND-8W-3K-IP20"}</t>
  </si>
  <si>
    <t>SMD-BEND-8W-4K-IP20</t>
  </si>
  <si>
    <t>8W/m | 4000K | 24V | IP20 | 8mm</t>
  </si>
  <si>
    <t>{"Power Consumption Rate": "8W/m", "CCT": "4000K", "Voltage": "24V", "IP Rating": "IP20", "Strip Width": "8mm", "SKU": "SMD-BEND-8W-4K-IP20"}</t>
  </si>
  <si>
    <t>SMD-SHEET-30W-3K-IP20</t>
  </si>
  <si>
    <t>LED Sheet</t>
  </si>
  <si>
    <t>LED Flex Sheet</t>
  </si>
  <si>
    <t>Transform your home into a breathtaking visual journey with a perfect blend of elegance and modern design. This premium lighting solution offers a sophisticated, seamless glow that beautifully enhances your elegant spaces, casting a warm and inviting atmosphere throughout. Crafted for those who appreciate refined detail and discreet luxury, it adds an unparalleled touch of ambiance, warmth, and captivating style to any room, making it the ultimate choice for elevated interior illumination.</t>
  </si>
  <si>
    <t>Transform your home into a breathtaking visual journey. Experience discreet luxury and a sophisticated, seamless glow that beautifully enhances your elegant spaces.</t>
  </si>
  <si>
    <t>30W | 3000K | 24V | IP20 | 480mm (L) x 240mm (W)</t>
  </si>
  <si>
    <t>Power|CCT|Voltage|IP Rating|Dimension</t>
  </si>
  <si>
    <t>{"Power": "30W", "CCT": "3000K", "Voltage": "24V", "IP Rating": "IP20", "Dimension": "480mm (L) x 240mm (W)", "SKU": "SMD-SHEET-30W-3K-IP20"}</t>
  </si>
  <si>
    <t>{"Power": "30W", "CCT": ["3000K", "4000K", "6000K"], "Voltage": "24V", "IP Rating": ["IP20", "IP54", "IP67"], "Dimension": "480mm (L) x 240mm (W)", "SKU": ["SMD-SHEET-30W-3K-IP20", "SMD-SHEET-30W-4K-IP20", "SMD-SHEET-30W-6K-IP20", "SMD-SHEET-30W-3K-IP54", "SMD-SHEET-30W-4K-IP54", "SMD-SHEET-30W-6K-IP54", "SMD-SHEET-30W-3K-IP67", "SMD-SHEET-30W-4K-IP67", "SMD-SHEET-30W-6K-IP67"]}</t>
  </si>
  <si>
    <t>{"Options":{"Power":[{"name":"30W","id":"101"}],"CCT":[{"name":"3000K","id":"102"},{"name":"4000K","id":"103"},{"name":"6000K","id":"104"}],"Voltage":[{"name":"24V","id":"105"}],"IP Rating":[{"name":"IP20","id":"106"},{"name":"IP54","id":"107"},{"name":"IP67","id":"108"}],"Dimension":[{"name":"480mm (L) x 240mm (W)","id":"109"}]},"Constraints":{},"sku_mappings":[{"sku":"SMD-SHEET-30W-3K-IP20","combination":["101","102","105","106","109"]},{"sku":"SMD-SHEET-30W-4K-IP20","combination":["101","103","105","106","109"]},{"sku":"SMD-SHEET-30W-6K-IP20","combination":["101","104","105","106","109"]},{"sku":"SMD-SHEET-30W-3K-IP54","combination":["101","102","105","107","109"]},{"sku":"SMD-SHEET-30W-4K-IP54","combination":["101","103","105","107","109"]},{"sku":"SMD-SHEET-30W-6K-IP54","combination":["101","104","105","107","109"]},{"sku":"SMD-SHEET-30W-3K-IP67","combination":["101","102","105","108","109"]},{"sku":"SMD-SHEET-30W-4K-IP67","combination":["101","103","105","108","109"]},{"sku":"SMD-SHEET-30W-6K-IP67","combination":["101","104","105","108","109"]}]}</t>
  </si>
  <si>
    <t>RS-PL2835PRO-24V-288D-20</t>
  </si>
  <si>
    <t>LED sheet lighting, flexible LED sheet, backlighting panel, 30W LED sheet, 24V flexible LED, 3000K warm white</t>
  </si>
  <si>
    <t>SMD-SHEET-30W-4K-IP20</t>
  </si>
  <si>
    <t>30W | 4000K | 24V | IP20 | 480mm (L) x 240mm (W)</t>
  </si>
  <si>
    <t>{"Power": "30W", "CCT": "4000K", "Voltage": "24V", "IP Rating": "IP20", "Dimension": "480mm (L) x 240mm (W)", "SKU": "SMD-SHEET-30W-4K-IP20"}</t>
  </si>
  <si>
    <t>SMD-SHEET-30W-6K-IP20</t>
  </si>
  <si>
    <t>30W | 6000K | 24V | IP20 | 480mm (L) x 240mm (W)</t>
  </si>
  <si>
    <t>{"Power": "30W", "CCT": "6000K", "Voltage": "24V", "IP Rating": "IP20", "Dimension": "480mm (L) x 240mm (W)", "SKU": "SMD-SHEET-30W-6K-IP20"}</t>
  </si>
  <si>
    <t>SMD-SHEET-30W-3K-IP54</t>
  </si>
  <si>
    <t>30W | 3000K | 24V | IP54 | 480mm (L) x 240mm (W)</t>
  </si>
  <si>
    <t>{"Power": "30W", "CCT": "3000K", "Voltage": "24V", "IP Rating": "IP54", "Dimension": "480mm (L) x 240mm (W)", "SKU": "SMD-SHEET-30W-3K-IP54"}</t>
  </si>
  <si>
    <t>RS-PL2835PRO-24V-288D-54</t>
  </si>
  <si>
    <t>SMD-SHEET-30W-4K-IP54</t>
  </si>
  <si>
    <t>30W | 4000K | 24V | IP54 | 480mm (L) x 240mm (W)</t>
  </si>
  <si>
    <t>{"Power": "30W", "CCT": "4000K", "Voltage": "24V", "IP Rating": "IP54", "Dimension": "480mm (L) x 240mm (W)", "SKU": "SMD-SHEET-30W-4K-IP54"}</t>
  </si>
  <si>
    <t>SMD-SHEET-30W-6K-IP54</t>
  </si>
  <si>
    <t>30W | 6000K | 24V | IP54 | 480mm (L) x 240mm (W)</t>
  </si>
  <si>
    <t>{"Power": "30W", "CCT": "6000K", "Voltage": "24V", "IP Rating": "IP54", "Dimension": "480mm (L) x 240mm (W)", "SKU": "SMD-SHEET-30W-6K-IP54"}</t>
  </si>
  <si>
    <t>SMD-SHEET-30W-3K-IP67</t>
  </si>
  <si>
    <t>30W | 3000K | 24V | IP67 | 480mm (L) x 240mm (W)</t>
  </si>
  <si>
    <t>{"Power": "30W", "CCT": "3000K", "Voltage": "24V", "IP Rating": "IP67", "Dimension": "480mm (L) x 240mm (W)", "SKU": "SMD-SHEET-30W-3K-IP67"}</t>
  </si>
  <si>
    <t>RS-PL2835PRO-24V-288D-67</t>
  </si>
  <si>
    <t>SMD-SHEET-30W-4K-IP67</t>
  </si>
  <si>
    <t>30W | 4000K | 24V | IP67 | 480mm (L) x 240mm (W)</t>
  </si>
  <si>
    <t>{"Power": "30W", "CCT": "4000K", "Voltage": "24V", "IP Rating": "IP67", "Dimension": "480mm (L) x 240mm (W)", "SKU": "SMD-SHEET-30W-4K-IP67"}</t>
  </si>
  <si>
    <t>SMD-SHEET-30W-6K-IP67</t>
  </si>
  <si>
    <t>30W | 6000K | 24V | IP67 | 480mm (L) x 240mm (W)</t>
  </si>
  <si>
    <t>{"Power": "30W", "CCT": "6000K", "Voltage": "24V", "IP Rating": "IP67", "Dimension": "480mm (L) x 240mm (W)", "SKU": "SMD-SHEET-30W-6K-IP67"}</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</si>
</sst>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DM Sans"/>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6"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5" numFmtId="0" xfId="0" applyAlignment="1" applyBorder="1" applyFont="1">
      <alignment shrinkToFit="0" vertical="center" wrapText="1"/>
    </xf>
    <xf borderId="1" fillId="9" fontId="8" numFmtId="0" xfId="0" applyAlignment="1" applyBorder="1" applyFill="1" applyFont="1">
      <alignment shrinkToFit="0" wrapText="1"/>
    </xf>
    <xf borderId="1" fillId="8" fontId="7"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Rising Sun-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ovhash Pvt Ltd" id="{ed422c00-1b61-4a00-b593-f25fb065108a}" providerId="google-sheets"/>
</x18tc:personList>
</file>

<file path=xl/tables/table1.xml><?xml version="1.0" encoding="utf-8"?>
<table xmlns="http://schemas.openxmlformats.org/spreadsheetml/2006/main" headerRowCount="0" ref="B2:AA18"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Rising Su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6" dT="2026-08-16T09:21:40.00" personId="{ed422c00-1b61-4a00-b593-f25fb065108a}" id="{2da5a08a-ff84-48c6-990b-aceb4d56b768}" done="1">
    <x18tc:text xml:space="preserve">Please review this product because it has RGBW (3000K) specification. I have changed it to RGBW and 3000K. What do you suggest?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14.13"/>
    <col customWidth="1" min="3" max="3" width="11.75"/>
    <col customWidth="1" min="4" max="4" width="9.88"/>
    <col customWidth="1" min="5" max="5" width="6.38"/>
    <col customWidth="1" min="6" max="9" width="50.13"/>
    <col customWidth="1" min="10" max="11" width="28.75"/>
    <col customWidth="1" min="12" max="13" width="43.25"/>
    <col customWidth="1" min="14" max="15" width="34.75"/>
    <col customWidth="1" min="16" max="24" width="50.13"/>
    <col customWidth="1" min="25" max="27" width="12.63"/>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ht="37.5" customHeight="1">
      <c r="A2" s="10" t="s">
        <v>30</v>
      </c>
      <c r="B2" s="10" t="s">
        <v>31</v>
      </c>
      <c r="C2" s="11" t="s">
        <v>32</v>
      </c>
      <c r="D2" s="11" t="s">
        <v>33</v>
      </c>
      <c r="E2" s="11" t="s">
        <v>34</v>
      </c>
      <c r="F2" s="12"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1" t="s">
        <v>35</v>
      </c>
      <c r="H2" s="12" t="str">
        <f>IFERROR(__xludf.DUMMYFUNCTION("AI(""Give me a paragraph marketing spiel for this product, no tech specs just marketing fluff under 180 characters "")"),"Elevate your spaces into a breathtaking visual journey of elegant design and discreet luxury with a sophisticated, seamless glow.")</f>
        <v>Elevate your spaces into a breathtaking visual journey of elegant design and discreet luxury with a sophisticated, seamless glow.</v>
      </c>
      <c r="I2" s="11" t="s">
        <v>36</v>
      </c>
      <c r="J2" s="11"/>
      <c r="K2" s="11"/>
      <c r="L2" s="13" t="s">
        <v>30</v>
      </c>
      <c r="M2" s="13" t="s">
        <v>37</v>
      </c>
      <c r="N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""&amp;M2)"),"Profile Length|Finish")</f>
        <v>Profile Length|Finish</v>
      </c>
      <c r="O2" s="15" t="s">
        <v>38</v>
      </c>
      <c r="P2" s="14" t="str">
        <f>IFERROR(__xludf.DUMMYFUNCTION("AI(""Using the labels""&amp;N2&amp;"" and values ""&amp;M2&amp;"" separated by character '|' and Using ""&amp;L2&amp;"" and key as 'SKU', Create a JSON object"")"),"{""Profile Length"": ""1,000mm"", ""Finish"": ""Silver"", ""SKU"": ""PR-BEND-1M""}")</f>
        <v>{"Profile Length": "1,000mm", "Finish": "Silver", "SKU": "PR-BEND-1M"}</v>
      </c>
      <c r="Q2" s="15" t="s">
        <v>39</v>
      </c>
      <c r="R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Q2)"),"{""Profile Length"": ""1,000mm"", ""Finish"": ""Silver"", ""SKU"": [""PR-BEND-1M"", ""SMD-BEND-8W-2.7K-IP54""], ""Power Consumption Rate"": ""8W/m"", ""CCT"": ""2700K"", ""Voltage"": ""24V"", ""IP Rating"": ""IP54"", ""Strip Width"": ""8mm""}")</f>
        <v>{"Profile Length": "1,000mm", "Finish": "Silver", "SKU": ["PR-BEND-1M", "SMD-BEND-8W-2.7K-IP54"], "Power Consumption Rate": "8W/m", "CCT": "2700K", "Voltage": "24V", "IP Rating": "IP54", "Strip Width": "8mm"}</v>
      </c>
      <c r="S2" s="17" t="s">
        <v>40</v>
      </c>
      <c r="T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Q2)"),"{""Options"":{""Profile Length"":[{""name"":""1,000mm"",""id"":""101""}],""Finish"":[{""name"":""Silver"",""id"":""102""}]},""Constraints"":{},""sku_mappings"":[{""sku"":""PR-BEND-1M"",""combination"":[""101"",""102""]}]}")</f>
        <v>{"Options":{"Profile Length":[{"name":"1,000mm","id":"101"}],"Finish":[{"name":"Silver","id":"102"}]},"Constraints":{},"sku_mappings":[{"sku":"PR-BEND-1M","combination":["101","102"]}]}</v>
      </c>
      <c r="U2" s="18" t="s">
        <v>41</v>
      </c>
      <c r="V2" s="19" t="str">
        <f>IFERROR(__xludf.DUMMYFUNCTION("AI(""Extract options object from the json"", U2)"),"{""Profile Length"":[{""name"":""1,000mm"",""id"":""101""}],""Finish"":[{""name"":""Silver"",""id"":""102""}]}")</f>
        <v>{"Profile Length":[{"name":"1,000mm","id":"101"}],"Finish":[{"name":"Silver","id":"102"}]}</v>
      </c>
      <c r="W2" s="19" t="str">
        <f>IFERROR(__xludf.DUMMYFUNCTION("AI(""Extract constraints object from the json"", U2)"),"{}")</f>
        <v>{}</v>
      </c>
      <c r="X2" s="19" t="str">
        <f>IFERROR(__xludf.DUMMYFUNCTION("AI(""Extract sku_mappings object from the json"", U2)"),"[{""sku"":""PR-BEND-1M"",""combination"":[""101"",""102""]}]")</f>
        <v>[{"sku":"PR-BEND-1M","combination":["101","102"]}]</v>
      </c>
      <c r="Y2" s="17" t="s">
        <v>42</v>
      </c>
      <c r="Z2" s="17" t="s">
        <v>43</v>
      </c>
      <c r="AA2" s="17" t="s">
        <v>44</v>
      </c>
      <c r="AB2" s="20"/>
      <c r="AC2" s="21" t="str">
        <f>IFERROR(__xludf.DUMMYFUNCTION("AI(""Generate 6 powerful unique keywords for the product in this row"")"),"Flex Alu ZigZag Profile, RGBW LED Strip Channel, Bendable Aluminum Profile, Curved LED Lighting, Architectural Profile, 12mm Profile")</f>
        <v>Flex Alu ZigZag Profile, RGBW LED Strip Channel, Bendable Aluminum Profile, Curved LED Lighting, Architectural Profile, 12mm Profile</v>
      </c>
      <c r="AD2" s="20" t="s">
        <v>45</v>
      </c>
    </row>
    <row r="3" ht="37.5" customHeight="1">
      <c r="A3" s="10" t="s">
        <v>46</v>
      </c>
      <c r="B3" s="10" t="s">
        <v>47</v>
      </c>
      <c r="C3" s="11" t="s">
        <v>32</v>
      </c>
      <c r="D3" s="11" t="s">
        <v>48</v>
      </c>
      <c r="E3" s="11" t="s">
        <v>34</v>
      </c>
      <c r="F3" s="12"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3" s="11" t="s">
        <v>35</v>
      </c>
      <c r="H3" s="12" t="str">
        <f>IFERROR(__xludf.DUMMYFUNCTION("AI(""Give me a paragraph marketing spiel for this product, no tech specs just marketing fluff under 180 characters "")"),"Transform your spaces with a stunning visual journey of elegant design and discreet luxury, creating a sophisticated and seamless glow that beautifully enhances your home.")</f>
        <v>Transform your spaces with a stunning visual journey of elegant design and discreet luxury, creating a sophisticated and seamless glow that beautifully enhances your home.</v>
      </c>
      <c r="I3" s="11" t="s">
        <v>49</v>
      </c>
      <c r="J3" s="11"/>
      <c r="K3" s="11"/>
      <c r="L3" s="13" t="s">
        <v>50</v>
      </c>
      <c r="M3" s="13" t="s">
        <v>51</v>
      </c>
      <c r="N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""&amp;M3)"),"Power Consumption Rate|CCT|Voltage|IP Rating|Strip Width")</f>
        <v>Power Consumption Rate|CCT|Voltage|IP Rating|Strip Width</v>
      </c>
      <c r="O3" s="15" t="s">
        <v>52</v>
      </c>
      <c r="P3" s="14" t="str">
        <f>IFERROR(__xludf.DUMMYFUNCTION("AI(""Using the labels""&amp;N3&amp;"" and values ""&amp;M3&amp;"" separated by character '|' and Using ""&amp;L3&amp;"" and key as 'SKU', Create a JSON object"")"),"{""Power Consumption Rate"": ""8W/m"", ""CCT"": ""2700K"", ""Voltage"": ""24V"", ""IP Rating"": ""IP54"", ""Strip Width"": ""8mm"", ""SKU"": ""SMD-BEND-8W-2.7K-IP54""}")</f>
        <v>{"Power Consumption Rate": "8W/m", "CCT": "2700K", "Voltage": "24V", "IP Rating": "IP54", "Strip Width": "8mm", "SKU": "SMD-BEND-8W-2.7K-IP54"}</v>
      </c>
      <c r="Q3" s="15" t="s">
        <v>53</v>
      </c>
      <c r="R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Q3:Q9)"),"{""Power Consumption Rate"": [""8W/m"", ""5W/m""], ""CCT"": [""2700K"", ""3000K"", ""4000K"", ""RGBW (3000K)""], ""Voltage"": ""24V"", ""IP Rating"": [""IP54"", ""IP20""], ""Strip Width"": [""8mm"", ""12mm""], ""SKU"": [""SMD-BEND-8W-2.7K-IP54"", ""SMD-BE"&amp;"ND-8W-3K-IP54"", ""SMD-BEND-8W-4K-IP54"", ""SMD-BEND-5W-RGBW-IP54"", ""SMD-BEND-8W-2.7K-IP20"", ""SMD-BEND-8W-3K-IP20"", ""SMD-BEND-8W-4K-IP20""]}")</f>
        <v>{"Power Consumption Rate": ["8W/m", "5W/m"], "CCT": ["2700K", "3000K", "4000K", "RGBW (3000K)"], "Voltage": "24V", "IP Rating": ["IP54", "IP20"], "Strip Width": ["8mm", "12mm"], "SKU": ["SMD-BEND-8W-2.7K-IP54", "SMD-BEND-8W-3K-IP54", "SMD-BEND-8W-4K-IP54", "SMD-BEND-5W-RGBW-IP54", "SMD-BEND-8W-2.7K-IP20", "SMD-BEND-8W-3K-IP20", "SMD-BEND-8W-4K-IP20"]}</v>
      </c>
      <c r="S3" s="17" t="s">
        <v>54</v>
      </c>
      <c r="T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Q3:Q9)"),"{""Options"":{""Power Consumption Rate"":[{""name"":""8W/m"",""id"":""101""},{""name"":""5W/m"",""id"":""102""}],""CCT"":[{""name"":""2700K"",""id"":""103""},{""name"":""3000K"",""id"":""104""},{""name"":""4000K"",""id"":""105""},{""name"":""RGBW (3000K)"&amp;""",""id"":""106""}],""Voltage"":[{""name"":""24V"",""id"":""107""}],""IP Rating"":[{""name"":""IP54"",""id"":""108""},{""name"":""IP20"",""id"":""109""}],""Strip Width"":[{""name"":""8mm"",""id"":""110""},{""name"":""12mm"",""id"":""111""}]},""Constraints"&amp;""":{""102"":[""103"",""104"",""105"",""108"",""110""],""106"":[""101"",""103"",""104"",""105"",""108"",""110""]},""sku_mappings"":[{""sku"":""SMD-BEND-8W-2.7K-IP54"",""combination"":[""101"",""103"",""107"",""108"",""110""]},{""sku"":""SMD-BEND-8W-3K-IP54"&amp;""",""combination"":[""101"",""104"",""107"",""108"",""110""]},{""sku"":""SMD-BEND-8W-4K-IP54"",""combination"":[""101"",""105"",""107"",""108"",""110""]},{""sku"":""SMD-BEND-5W-RGBW-IP54"",""combination"":[""102"",""106"",""107"",""109"",""111""]},{""sku"&amp;""":""SMD-BEND-8W-2.7K-IP20"",""combination"":[""101"",""103"",""107"",""109"",""110""]},{""sku"":""SMD-BEND-8W-3K-IP20"",""combination"":[""101"",""104"",""107"",""109"",""110""]},{""sku"":""SMD-BEND-8W-4K-IP20"",""combination"":[""101"",""105"",""107"","&amp;"""109"",""110""]}]}")</f>
        <v>{"Options":{"Power Consumption Rate":[{"name":"8W/m","id":"101"},{"name":"5W/m","id":"102"}],"CCT":[{"name":"2700K","id":"103"},{"name":"3000K","id":"104"},{"name":"4000K","id":"105"},{"name":"RGBW (3000K)","id":"106"}],"Voltage":[{"name":"24V","id":"107"}],"IP Rating":[{"name":"IP54","id":"108"},{"name":"IP20","id":"109"}],"Strip Width":[{"name":"8mm","id":"110"},{"name":"12mm","id":"111"}]},"Constraints":{"102":["103","104","105","108","110"],"106":["101","103","104","105","108","110"]},"sku_mappings":[{"sku":"SMD-BEND-8W-2.7K-IP54","combination":["101","103","107","108","110"]},{"sku":"SMD-BEND-8W-3K-IP54","combination":["101","104","107","108","110"]},{"sku":"SMD-BEND-8W-4K-IP54","combination":["101","105","107","108","110"]},{"sku":"SMD-BEND-5W-RGBW-IP54","combination":["102","106","107","109","111"]},{"sku":"SMD-BEND-8W-2.7K-IP20","combination":["101","103","107","109","110"]},{"sku":"SMD-BEND-8W-3K-IP20","combination":["101","104","107","109","110"]},{"sku":"SMD-BEND-8W-4K-IP20","combination":["101","105","107","109","110"]}]}</v>
      </c>
      <c r="U3" s="22" t="s">
        <v>55</v>
      </c>
      <c r="V3" s="19" t="str">
        <f>IFERROR(__xludf.DUMMYFUNCTION("AI(""Extract options object from the json"", U3)"),"{""Power Consumption Rate"":[{""name"":""8W/m"",""id"":""101""},{""name"":""5W/m"",""id"":""102""}],""CCT"":[{""name"":""2700K"",""id"":""103""},{""name"":""3000K"",""id"":""104""},{""name"":""4000K"",""id"":""105""},{""name"":""RGBW (3000K)"",""id"":""10"&amp;"6""}],""Voltage"":[{""name"":""24V"",""id"":""107""}],""IP Rating"":[{""name"":""IP54"",""id"":""108""},{""name"":""IP20"",""id"":""109""}],""Strip Width"":[{""name"":""8mm"",""id"":""110""},{""name"":""12mm"",""id"":""111""}]}")</f>
        <v>{"Power Consumption Rate":[{"name":"8W/m","id":"101"},{"name":"5W/m","id":"102"}],"CCT":[{"name":"2700K","id":"103"},{"name":"3000K","id":"104"},{"name":"4000K","id":"105"},{"name":"RGBW (3000K)","id":"106"}],"Voltage":[{"name":"24V","id":"107"}],"IP Rating":[{"name":"IP54","id":"108"},{"name":"IP20","id":"109"}],"Strip Width":[{"name":"8mm","id":"110"},{"name":"12mm","id":"111"}]}</v>
      </c>
      <c r="W3" s="19" t="str">
        <f>IFERROR(__xludf.DUMMYFUNCTION("AI(""Extract constraints object from the json"", U3)"),"{""102"":[""103"",""104"",""105"",""108"",""110""],""106"":[""101"",""103"",""104"",""105"",""108"",""110""]}")</f>
        <v>{"102":["103","104","105","108","110"],"106":["101","103","104","105","108","110"]}</v>
      </c>
      <c r="X3" s="19" t="str">
        <f>IFERROR(__xludf.DUMMYFUNCTION("AI(""Extract sku_mappings object from the json"", U3)"),"[{""sku"":""SMD-BEND-8W-2.7K-IP54"",""combination"":[""101"",""103"",""107"",""108"",""110""]},{""sku"":""SMD-BEND-8W-3K-IP54"",""combination"":[""101"",""104"",""107"",""108"",""110""]},{""sku"":""SMD-BEND-8W-4K-IP54"",""combination"":[""101"",""105"","""&amp;"107"",""108"",""110""]},{""sku"":""SMD-BEND-5W-RGBW-IP54"",""combination"":[""102"",""106"",""107"",""109"",""111""]},{""sku"":""SMD-BEND-8W-2.7K-IP20"",""combination"":[""101"",""103"",""107"",""109"",""110""]},{""sku"":""SMD-BEND-8W-3K-IP20"",""combinat"&amp;"ion"":[""101"",""104"",""107"",""109"",""110""]},{""sku"":""SMD-BEND-8W-4K-IP20"",""combination"":[""101"",""105"",""107"",""109"",""110""]}]")</f>
        <v>[{"sku":"SMD-BEND-8W-2.7K-IP54","combination":["101","103","107","108","110"]},{"sku":"SMD-BEND-8W-3K-IP54","combination":["101","104","107","108","110"]},{"sku":"SMD-BEND-8W-4K-IP54","combination":["101","105","107","108","110"]},{"sku":"SMD-BEND-5W-RGBW-IP54","combination":["102","106","107","109","111"]},{"sku":"SMD-BEND-8W-2.7K-IP20","combination":["101","103","107","109","110"]},{"sku":"SMD-BEND-8W-3K-IP20","combination":["101","104","107","109","110"]},{"sku":"SMD-BEND-8W-4K-IP20","combination":["101","105","107","109","110"]}]</v>
      </c>
      <c r="Y3" s="17" t="s">
        <v>42</v>
      </c>
      <c r="Z3" s="17" t="s">
        <v>56</v>
      </c>
      <c r="AA3" s="17" t="s">
        <v>44</v>
      </c>
      <c r="AB3" s="20"/>
      <c r="AC3" s="21" t="str">
        <f>IFERROR(__xludf.DUMMYFUNCTION("AI(""Generate 6 powerful unique keywords for the product in this row"")"),"Bendable LED Strip, Zig Zag LED Light, Flexible SMD Strip, 2700K Warm White, IP54 Outdoor LED, 24V Flexible Lighting")</f>
        <v>Bendable LED Strip, Zig Zag LED Light, Flexible SMD Strip, 2700K Warm White, IP54 Outdoor LED, 24V Flexible Lighting</v>
      </c>
      <c r="AD3" s="20" t="s">
        <v>57</v>
      </c>
    </row>
    <row r="4" ht="37.5" customHeight="1">
      <c r="A4" s="10"/>
      <c r="B4" s="10"/>
      <c r="C4" s="11"/>
      <c r="D4" s="11"/>
      <c r="E4" s="11"/>
      <c r="F4" s="12"/>
      <c r="G4" s="11"/>
      <c r="H4" s="12"/>
      <c r="I4" s="11"/>
      <c r="J4" s="11"/>
      <c r="K4" s="11"/>
      <c r="L4" s="13" t="s">
        <v>58</v>
      </c>
      <c r="M4" s="13" t="s">
        <v>59</v>
      </c>
      <c r="N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""&amp;M4)"),"Power Consumption Rate|CCT|Voltage|IP Rating|Strip Width")</f>
        <v>Power Consumption Rate|CCT|Voltage|IP Rating|Strip Width</v>
      </c>
      <c r="O4" s="15" t="s">
        <v>52</v>
      </c>
      <c r="P4" s="14" t="str">
        <f>IFERROR(__xludf.DUMMYFUNCTION("AI(""Using the labels""&amp;N4&amp;"" and values ""&amp;M4&amp;"" separated by character '|' and Using ""&amp;L4&amp;"" and key as 'SKU', Create a JSON object"")"),"{""Power Consumption Rate"": ""8W/m"", ""CCT"": ""3000K"", ""Voltage"": ""24V"", ""IP Rating"": ""IP54"", ""Strip Width"": ""8mm"", ""SKU"": ""SMD-BEND-8W-3K-IP54""}")</f>
        <v>{"Power Consumption Rate": "8W/m", "CCT": "3000K", "Voltage": "24V", "IP Rating": "IP54", "Strip Width": "8mm", "SKU": "SMD-BEND-8W-3K-IP54"}</v>
      </c>
      <c r="Q4" s="15" t="s">
        <v>60</v>
      </c>
      <c r="R4" s="16"/>
      <c r="S4" s="17"/>
      <c r="T4" s="16"/>
      <c r="U4" s="18"/>
      <c r="V4" s="17"/>
      <c r="W4" s="17"/>
      <c r="X4" s="17"/>
      <c r="Y4" s="17" t="s">
        <v>42</v>
      </c>
      <c r="Z4" s="17" t="s">
        <v>56</v>
      </c>
      <c r="AA4" s="17" t="s">
        <v>44</v>
      </c>
      <c r="AB4" s="20"/>
      <c r="AC4" s="20"/>
      <c r="AD4" s="20"/>
    </row>
    <row r="5" ht="37.5" customHeight="1">
      <c r="A5" s="10"/>
      <c r="B5" s="10"/>
      <c r="C5" s="11"/>
      <c r="D5" s="11"/>
      <c r="E5" s="11"/>
      <c r="F5" s="12"/>
      <c r="G5" s="11"/>
      <c r="H5" s="12"/>
      <c r="I5" s="11"/>
      <c r="J5" s="11"/>
      <c r="K5" s="11"/>
      <c r="L5" s="13" t="s">
        <v>61</v>
      </c>
      <c r="M5" s="13" t="s">
        <v>62</v>
      </c>
      <c r="N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""&amp;M5)"),"Power Consumption Rate|CCT|Voltage|IP Rating|Strip Width")</f>
        <v>Power Consumption Rate|CCT|Voltage|IP Rating|Strip Width</v>
      </c>
      <c r="O5" s="15" t="s">
        <v>52</v>
      </c>
      <c r="P5" s="14" t="str">
        <f>IFERROR(__xludf.DUMMYFUNCTION("AI(""Using the labels""&amp;N5&amp;"" and values ""&amp;M5&amp;"" separated by character '|' and Using ""&amp;L5&amp;"" and key as 'SKU', Create a JSON object"")"),"{""Power Consumption Rate"": ""8W/m"", ""CCT"": ""4000K"", ""Voltage"": ""24V"", ""IP Rating"": ""IP54"", ""Strip Width"": ""8mm"", ""SKU"": ""SMD-BEND-8W-4K-IP54""}")</f>
        <v>{"Power Consumption Rate": "8W/m", "CCT": "4000K", "Voltage": "24V", "IP Rating": "IP54", "Strip Width": "8mm", "SKU": "SMD-BEND-8W-4K-IP54"}</v>
      </c>
      <c r="Q5" s="15" t="s">
        <v>63</v>
      </c>
      <c r="R5" s="16"/>
      <c r="S5" s="17"/>
      <c r="T5" s="16"/>
      <c r="U5" s="18"/>
      <c r="V5" s="17"/>
      <c r="W5" s="17"/>
      <c r="X5" s="17"/>
      <c r="Y5" s="17" t="s">
        <v>42</v>
      </c>
      <c r="Z5" s="17" t="s">
        <v>56</v>
      </c>
      <c r="AA5" s="17" t="s">
        <v>44</v>
      </c>
      <c r="AB5" s="20"/>
      <c r="AC5" s="20"/>
      <c r="AD5" s="20"/>
    </row>
    <row r="6" ht="37.5" customHeight="1">
      <c r="A6" s="10"/>
      <c r="B6" s="10"/>
      <c r="C6" s="11"/>
      <c r="D6" s="11"/>
      <c r="E6" s="11"/>
      <c r="F6" s="12"/>
      <c r="G6" s="11"/>
      <c r="H6" s="12"/>
      <c r="I6" s="11"/>
      <c r="J6" s="11"/>
      <c r="K6" s="11"/>
      <c r="L6" s="13" t="s">
        <v>64</v>
      </c>
      <c r="M6" s="13" t="s">
        <v>65</v>
      </c>
      <c r="N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RGBW (3000K))
- Voltage (Example 20V, 12V/24V)
- Current Type (Example AC/DC)
- IP Rating (Example IP67, IP68, IP20)
- Impact Strength ("&amp;"Example IK10)
- Optics (Example SYS30°)
- Finish (Example Black finish, Silver)
- Channel Configuration (Example Singel-Sided, Double-Sided, Bendable Single-Sided, Bendable Double-Sided)
- Dimension (Example 53mm (W) x 14mm (H), 480mm (L) x 240mm (W))
- S"&amp;"trip Width (Example 8mm, 12mm)
- Power Consumption Rate (Example 8W/m, 5W/m)
- Profile Length (Example 1,000mm)
### STRICT OUTPUT RULES
1. Output ONLY the corresponding labels mentioned above separated by pipes ('|'). 
2. Do not include the values in you"&amp;"r output.
3. Do not include any conversational text, introductory remarks, or markdown formatting blocks.
4. The number of labels in your output must exactly match the number of values provided in the input.
---
### FEW-SHOT EXAMPLES
#### Example 1 (St"&amp;"andard Neon Strip)
Input: 1.2W | SYM30° | 3000K | IP67 | IK10
Output: Power|Optics|CCT|IP Rating|Impact Strength
Input: 7W | Warm White | 12V/24V | AC/DC | IP67 | Black finish
Output: Power | Light Color | Current Type | IP Rating | Finish
---
### YOUR"&amp;" TASK
Generate output for the values text ""&amp;M6)"),"Power Consumption Rate|CCT|Voltage|IP Rating|Strip Width")</f>
        <v>Power Consumption Rate|CCT|Voltage|IP Rating|Strip Width</v>
      </c>
      <c r="O6" s="15" t="s">
        <v>52</v>
      </c>
      <c r="P6" s="14" t="str">
        <f>IFERROR(__xludf.DUMMYFUNCTION("AI(""Using the labels""&amp;N6&amp;"" and values ""&amp;M6&amp;"" separated by character '|' and Using ""&amp;L6&amp;"" and key as 'SKU', Create a JSON object"")"),"{""Power Consumption Rate"": ""5W/m"", ""CCT"": ""RGBW (3000K)"", ""Voltage"": ""24V"", ""IP Rating"": ""IP20"", ""Strip Width"": ""12mm"", ""SKU"": ""SMD-BEND-5W-RGBW-IP54""}")</f>
        <v>{"Power Consumption Rate": "5W/m", "CCT": "RGBW (3000K)", "Voltage": "24V", "IP Rating": "IP20", "Strip Width": "12mm", "SKU": "SMD-BEND-5W-RGBW-IP54"}</v>
      </c>
      <c r="Q6" s="15" t="s">
        <v>66</v>
      </c>
      <c r="R6" s="16"/>
      <c r="S6" s="17"/>
      <c r="T6" s="16"/>
      <c r="U6" s="18"/>
      <c r="V6" s="17"/>
      <c r="W6" s="17"/>
      <c r="X6" s="17"/>
      <c r="Y6" s="17" t="s">
        <v>42</v>
      </c>
      <c r="Z6" s="17" t="s">
        <v>67</v>
      </c>
      <c r="AA6" s="17" t="s">
        <v>44</v>
      </c>
      <c r="AB6" s="20"/>
      <c r="AC6" s="20"/>
      <c r="AD6" s="20"/>
    </row>
    <row r="7" ht="37.5" customHeight="1">
      <c r="A7" s="10"/>
      <c r="B7" s="23"/>
      <c r="C7" s="23"/>
      <c r="D7" s="23"/>
      <c r="E7" s="23"/>
      <c r="F7" s="24"/>
      <c r="G7" s="23"/>
      <c r="H7" s="12"/>
      <c r="I7" s="11"/>
      <c r="J7" s="23"/>
      <c r="K7" s="23"/>
      <c r="L7" s="13" t="s">
        <v>68</v>
      </c>
      <c r="M7" s="13" t="s">
        <v>69</v>
      </c>
      <c r="N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""&amp;M7)"),"Power Consumption Rate|CCT|Voltage|IP Rating|Strip Width")</f>
        <v>Power Consumption Rate|CCT|Voltage|IP Rating|Strip Width</v>
      </c>
      <c r="O7" s="15" t="s">
        <v>52</v>
      </c>
      <c r="P7" s="14" t="str">
        <f>IFERROR(__xludf.DUMMYFUNCTION("AI(""Using the labels""&amp;N7&amp;"" and values ""&amp;M7&amp;"" separated by character '|' and Using ""&amp;L7&amp;"" and key as 'SKU', Create a JSON object"")"),"{""Power Consumption Rate"": ""8W/m"", ""CCT"": ""2700K"", ""Voltage"": ""24V"", ""IP Rating"": ""IP20"", ""Strip Width"": ""8mm"", ""SKU"": ""SMD-BEND-8W-2.7K-IP20""}")</f>
        <v>{"Power Consumption Rate": "8W/m", "CCT": "2700K", "Voltage": "24V", "IP Rating": "IP20", "Strip Width": "8mm", "SKU": "SMD-BEND-8W-2.7K-IP20"}</v>
      </c>
      <c r="Q7" s="15" t="s">
        <v>70</v>
      </c>
      <c r="R7" s="25"/>
      <c r="S7" s="26"/>
      <c r="T7" s="25"/>
      <c r="U7" s="27"/>
      <c r="V7" s="26"/>
      <c r="W7" s="26"/>
      <c r="X7" s="26"/>
      <c r="Y7" s="17" t="s">
        <v>42</v>
      </c>
      <c r="Z7" s="17" t="s">
        <v>56</v>
      </c>
      <c r="AA7" s="17" t="s">
        <v>44</v>
      </c>
      <c r="AB7" s="20"/>
      <c r="AC7" s="20"/>
      <c r="AD7" s="20"/>
    </row>
    <row r="8" ht="37.5" customHeight="1">
      <c r="A8" s="10"/>
      <c r="B8" s="23"/>
      <c r="C8" s="23"/>
      <c r="D8" s="23"/>
      <c r="E8" s="23"/>
      <c r="F8" s="24"/>
      <c r="G8" s="23"/>
      <c r="H8" s="12"/>
      <c r="I8" s="11"/>
      <c r="J8" s="23"/>
      <c r="K8" s="23"/>
      <c r="L8" s="13" t="s">
        <v>71</v>
      </c>
      <c r="M8" s="13" t="s">
        <v>72</v>
      </c>
      <c r="N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""&amp;M8)"),"Power Consumption Rate|CCT|Voltage|IP Rating|Strip Width")</f>
        <v>Power Consumption Rate|CCT|Voltage|IP Rating|Strip Width</v>
      </c>
      <c r="O8" s="15" t="s">
        <v>52</v>
      </c>
      <c r="P8" s="14" t="str">
        <f>IFERROR(__xludf.DUMMYFUNCTION("AI(""Using the labels""&amp;N8&amp;"" and values ""&amp;M8&amp;"" separated by character '|' and Using ""&amp;L8&amp;"" and key as 'SKU', Create a JSON object"")"),"{""Power Consumption Rate"": ""8W/m"", ""CCT"": ""3000K"", ""Voltage"": ""24V"", ""IP Rating"": ""IP20"", ""Strip Width"": ""8mm"", ""SKU"": ""SMD-BEND-8W-3K-IP20""}")</f>
        <v>{"Power Consumption Rate": "8W/m", "CCT": "3000K", "Voltage": "24V", "IP Rating": "IP20", "Strip Width": "8mm", "SKU": "SMD-BEND-8W-3K-IP20"}</v>
      </c>
      <c r="Q8" s="15" t="s">
        <v>73</v>
      </c>
      <c r="R8" s="25"/>
      <c r="S8" s="26"/>
      <c r="T8" s="25"/>
      <c r="U8" s="27"/>
      <c r="V8" s="26"/>
      <c r="W8" s="26"/>
      <c r="X8" s="26"/>
      <c r="Y8" s="17" t="s">
        <v>42</v>
      </c>
      <c r="Z8" s="17" t="s">
        <v>56</v>
      </c>
      <c r="AA8" s="17" t="s">
        <v>44</v>
      </c>
      <c r="AB8" s="20"/>
      <c r="AC8" s="20"/>
      <c r="AD8" s="20"/>
    </row>
    <row r="9" ht="37.5" customHeight="1">
      <c r="A9" s="10"/>
      <c r="B9" s="23"/>
      <c r="C9" s="23"/>
      <c r="D9" s="23"/>
      <c r="E9" s="23"/>
      <c r="F9" s="24"/>
      <c r="G9" s="23"/>
      <c r="H9" s="12"/>
      <c r="I9" s="11"/>
      <c r="J9" s="23"/>
      <c r="K9" s="23"/>
      <c r="L9" s="13" t="s">
        <v>74</v>
      </c>
      <c r="M9" s="13" t="s">
        <v>75</v>
      </c>
      <c r="N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""&amp;M9)"),"Power Consumption Rate|CCT|Voltage|IP Rating|Strip Width")</f>
        <v>Power Consumption Rate|CCT|Voltage|IP Rating|Strip Width</v>
      </c>
      <c r="O9" s="15" t="s">
        <v>52</v>
      </c>
      <c r="P9" s="14" t="str">
        <f>IFERROR(__xludf.DUMMYFUNCTION("AI(""Using the labels""&amp;N9&amp;"" and values ""&amp;M9&amp;"" separated by character '|' and Using ""&amp;L9&amp;"" and key as 'SKU', Create a JSON object"")"),"{""Power Consumption Rate"": ""8W/m"", ""CCT"": ""4000K"", ""Voltage"": ""24V"", ""IP Rating"": ""IP20"", ""Strip Width"": ""8mm"", ""SKU"": ""SMD-BEND-8W-4K-IP20""}")</f>
        <v>{"Power Consumption Rate": "8W/m", "CCT": "4000K", "Voltage": "24V", "IP Rating": "IP20", "Strip Width": "8mm", "SKU": "SMD-BEND-8W-4K-IP20"}</v>
      </c>
      <c r="Q9" s="15" t="s">
        <v>76</v>
      </c>
      <c r="R9" s="25"/>
      <c r="S9" s="26"/>
      <c r="T9" s="25"/>
      <c r="U9" s="27"/>
      <c r="V9" s="26"/>
      <c r="W9" s="26"/>
      <c r="X9" s="26"/>
      <c r="Y9" s="17" t="s">
        <v>42</v>
      </c>
      <c r="Z9" s="17" t="s">
        <v>56</v>
      </c>
      <c r="AA9" s="17" t="s">
        <v>44</v>
      </c>
      <c r="AB9" s="20"/>
      <c r="AC9" s="20"/>
      <c r="AD9" s="20"/>
    </row>
    <row r="10" ht="37.5" customHeight="1">
      <c r="A10" s="10" t="s">
        <v>77</v>
      </c>
      <c r="B10" s="11" t="s">
        <v>78</v>
      </c>
      <c r="C10" s="11" t="s">
        <v>32</v>
      </c>
      <c r="D10" s="11" t="s">
        <v>79</v>
      </c>
      <c r="E10" s="11" t="s">
        <v>34</v>
      </c>
      <c r="F10" s="12" t="str">
        <f>IFERROR(__xludf.DUMMYFUNCTION("AI(""Give me a paragraph marketing spiel for this product, no tech specs just marketing fluff "")"),"Transform your home into a breathtaking visual journey with a perfect blend of elegance and modern design. This premium lighting solution offers a sophisticated, seamless glow that beautifully enhances your elegant spaces, casting a warm and inviting atmo"&amp;"sphere throughout. Crafted for those who appreciate refined detail and discreet luxury, it adds an unparalleled touch of ambiance, warmth, and captivating style to any room, making it the ultimate choice for elevated interior illumination.")</f>
        <v>Transform your home into a breathtaking visual journey with a perfect blend of elegance and modern design. This premium lighting solution offers a sophisticated, seamless glow that beautifully enhances your elegant spaces, casting a warm and inviting atmosphere throughout. Crafted for those who appreciate refined detail and discreet luxury, it adds an unparalleled touch of ambiance, warmth, and captivating style to any room, making it the ultimate choice for elevated interior illumination.</v>
      </c>
      <c r="G10" s="11" t="s">
        <v>80</v>
      </c>
      <c r="H10" s="12" t="str">
        <f>IFERROR(__xludf.DUMMYFUNCTION("AI(""Give me a paragraph marketing spiel for this product, no tech specs just marketing fluff under 180 characters "")"),"Transform your home into a breathtaking visual journey. Experience discreet luxury and a sophisticated, seamless glow that beautifully enhances your elegant spaces.")</f>
        <v>Transform your home into a breathtaking visual journey. Experience discreet luxury and a sophisticated, seamless glow that beautifully enhances your elegant spaces.</v>
      </c>
      <c r="I10" s="11" t="s">
        <v>81</v>
      </c>
      <c r="J10" s="23"/>
      <c r="K10" s="23"/>
      <c r="L10" s="13" t="s">
        <v>77</v>
      </c>
      <c r="M10" s="13" t="s">
        <v>82</v>
      </c>
      <c r="N1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""&amp;M10)"),"Power|CCT|Voltage|IP Rating|Dimension")</f>
        <v>Power|CCT|Voltage|IP Rating|Dimension</v>
      </c>
      <c r="O10" s="15" t="s">
        <v>83</v>
      </c>
      <c r="P10" s="14" t="str">
        <f>IFERROR(__xludf.DUMMYFUNCTION("AI(""Using the labels""&amp;N10&amp;"" and values ""&amp;M10&amp;"" separated by character '|' and Using ""&amp;L10&amp;"" and key as 'SKU', Create a JSON object"")"),"{""Power"": ""30W"", ""CCT"": ""3000K"", ""Voltage"": ""24V"", ""IP Rating"": ""IP20"", ""Dimension"": ""480mm (L) x 240mm (W)"", ""SKU"": ""SMD-SHEET-30W-3K-IP20""}")</f>
        <v>{"Power": "30W", "CCT": "3000K", "Voltage": "24V", "IP Rating": "IP20", "Dimension": "480mm (L) x 240mm (W)", "SKU": "SMD-SHEET-30W-3K-IP20"}</v>
      </c>
      <c r="Q10" s="15" t="s">
        <v>84</v>
      </c>
      <c r="R1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Q10:Q18)"),"{""Power"": ""30W"", ""CCT"": [""3000K"", ""4000K"", ""6000K""], ""Voltage"": ""24V"", ""IP Rating"": [""IP20"", ""IP54"", ""IP67""], ""Dimension"": ""480mm (L) x 240mm (W)"", ""SKU"": [""SMD-SHEET-30W-3K-IP20"", ""SMD-SHEET-30W-4K-IP20"", ""SMD-SHEET-30W"&amp;"-6K-IP20"", ""SMD-SHEET-30W-3K-IP54"", ""SMD-SHEET-30W-4K-IP54"", ""SMD-SHEET-30W-6K-IP54"", ""SMD-SHEET-30W-3K-IP67"", ""SMD-SHEET-30W-4K-IP67"", ""SMD-SHEET-30W-6K-IP67""]}")</f>
        <v>{"Power": "30W", "CCT": ["3000K", "4000K", "6000K"], "Voltage": "24V", "IP Rating": ["IP20", "IP54", "IP67"], "Dimension": "480mm (L) x 240mm (W)", "SKU": ["SMD-SHEET-30W-3K-IP20", "SMD-SHEET-30W-4K-IP20", "SMD-SHEET-30W-6K-IP20", "SMD-SHEET-30W-3K-IP54", "SMD-SHEET-30W-4K-IP54", "SMD-SHEET-30W-6K-IP54", "SMD-SHEET-30W-3K-IP67", "SMD-SHEET-30W-4K-IP67", "SMD-SHEET-30W-6K-IP67"]}</v>
      </c>
      <c r="S10" s="17" t="s">
        <v>85</v>
      </c>
      <c r="T1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Q10:Q18)"),"{""Options"":{""Power"":[{""name"":""30W"",""id"":""101""}],""CCT"":[{""name"":""3000K"",""id"":""102""},{""name"":""4000K"",""id"":""103""},{""name"":""6000K"",""id"":""104""}],""Voltage"":[{""name"":""24V"",""id"":""105""}],""IP Rating"":[{""name"":""IP"&amp;"20"",""id"":""106""},{""name"":""IP54"",""id"":""107""},{""name"":""IP67"",""id"":""108""}],""Dimension"":[{""name"":""480mm (L) x 240mm (W)"",""id"":""109""}]},""Constraints"":{},""sku_mappings"":[{""sku"":""SMD-SHEET-30W-3K-IP20"",""combination"":[""101"&amp;""",""102"",""105"",""106"",""109""]},{""sku"":""SMD-SHEET-30W-4K-IP20"",""combination"":[""101"",""103"",""105"",""106"",""109""]},{""sku"":""SMD-SHEET-30W-6K-IP20"",""combination"":[""101"",""104"",""105"",""106"",""109""]},{""sku"":""SMD-SHEET-30W-3K-IP"&amp;"54"",""combination"":[""101"",""102"",""105"",""107"",""109""]},{""sku"":""SMD-SHEET-30W-4K-IP54"",""combination"":[""101"",""103"",""105"",""107"",""109""]},{""sku"":""SMD-SHEET-30W-6K-IP54"",""combination"":[""101"",""104"",""105"",""107"",""109""]},{"""&amp;"sku"":""SMD-SHEET-30W-3K-IP67"",""combination"":[""101"",""102"",""105"",""108"",""109""]},{""sku"":""SMD-SHEET-30W-4K-IP67"",""combination"":[""101"",""103"",""105"",""108"",""109""]},{""sku"":""SMD-SHEET-30W-6K-IP67"",""combination"":[""101"",""104"","""&amp;"105"",""108"",""109""]}]}")</f>
        <v>{"Options":{"Power":[{"name":"30W","id":"101"}],"CCT":[{"name":"3000K","id":"102"},{"name":"4000K","id":"103"},{"name":"6000K","id":"104"}],"Voltage":[{"name":"24V","id":"105"}],"IP Rating":[{"name":"IP20","id":"106"},{"name":"IP54","id":"107"},{"name":"IP67","id":"108"}],"Dimension":[{"name":"480mm (L) x 240mm (W)","id":"109"}]},"Constraints":{},"sku_mappings":[{"sku":"SMD-SHEET-30W-3K-IP20","combination":["101","102","105","106","109"]},{"sku":"SMD-SHEET-30W-4K-IP20","combination":["101","103","105","106","109"]},{"sku":"SMD-SHEET-30W-6K-IP20","combination":["101","104","105","106","109"]},{"sku":"SMD-SHEET-30W-3K-IP54","combination":["101","102","105","107","109"]},{"sku":"SMD-SHEET-30W-4K-IP54","combination":["101","103","105","107","109"]},{"sku":"SMD-SHEET-30W-6K-IP54","combination":["101","104","105","107","109"]},{"sku":"SMD-SHEET-30W-3K-IP67","combination":["101","102","105","108","109"]},{"sku":"SMD-SHEET-30W-4K-IP67","combination":["101","103","105","108","109"]},{"sku":"SMD-SHEET-30W-6K-IP67","combination":["101","104","105","108","109"]}]}</v>
      </c>
      <c r="U10" s="18" t="s">
        <v>86</v>
      </c>
      <c r="V10" s="19" t="str">
        <f>IFERROR(__xludf.DUMMYFUNCTION("AI(""Extract options object from the json"", U10)"),"{""Power"":[{""name"":""30W"",""id"":""101""}],""CCT"":[{""name"":""3000K"",""id"":""102""},{""name"":""4000K"",""id"":""103""},{""name"":""6000K"",""id"":""104""}],""Voltage"":[{""name"":""24V"",""id"":""105""}],""IP Rating"":[{""name"":""IP20"",""id"":"&amp;"""106""},{""name"":""IP54"",""id"":""107""},{""name"":""IP67"",""id"":""108""}],""Dimension"":[{""name"":""480mm (L) x 240mm (W)"",""id"":""109""}]}")</f>
        <v>{"Power":[{"name":"30W","id":"101"}],"CCT":[{"name":"3000K","id":"102"},{"name":"4000K","id":"103"},{"name":"6000K","id":"104"}],"Voltage":[{"name":"24V","id":"105"}],"IP Rating":[{"name":"IP20","id":"106"},{"name":"IP54","id":"107"},{"name":"IP67","id":"108"}],"Dimension":[{"name":"480mm (L) x 240mm (W)","id":"109"}]}</v>
      </c>
      <c r="W10" s="19" t="str">
        <f>IFERROR(__xludf.DUMMYFUNCTION("AI(""Extract constraints object from the json"", U10)"),"{}")</f>
        <v>{}</v>
      </c>
      <c r="X10" s="19" t="str">
        <f>IFERROR(__xludf.DUMMYFUNCTION("AI(""Extract sku_mappings object from the json"", U10)"),"[{""sku"":""SMD-SHEET-30W-3K-IP20"",""combination"":[""101"",""102"",""105"",""106"",""109""]},{""sku"":""SMD-SHEET-30W-4K-IP20"",""combination"":[""101"",""103"",""105"",""106"",""109""]},{""sku"":""SMD-SHEET-30W-6K-IP20"",""combination"":[""101"",""104"&amp;""",""105"",""106"",""109""]},{""sku"":""SMD-SHEET-30W-3K-IP54"",""combination"":[""101"",""102"",""105"",""107"",""109""]},{""sku"":""SMD-SHEET-30W-4K-IP54"",""combination"":[""101"",""103"",""105"",""107"",""109""]},{""sku"":""SMD-SHEET-30W-6K-IP54"",""c"&amp;"ombination"":[""101"",""104"",""105"",""107"",""109""]},{""sku"":""SMD-SHEET-30W-3K-IP67"",""combination"":[""101"",""102"",""105"",""108"",""109""]},{""sku"":""SMD-SHEET-30W-4K-IP67"",""combination"":[""101"",""103"",""105"",""108"",""109""]},{""sku"":"""&amp;"SMD-SHEET-30W-6K-IP67"",""combination"":[""101"",""104"",""105"",""108"",""109""]}]")</f>
        <v>[{"sku":"SMD-SHEET-30W-3K-IP20","combination":["101","102","105","106","109"]},{"sku":"SMD-SHEET-30W-4K-IP20","combination":["101","103","105","106","109"]},{"sku":"SMD-SHEET-30W-6K-IP20","combination":["101","104","105","106","109"]},{"sku":"SMD-SHEET-30W-3K-IP54","combination":["101","102","105","107","109"]},{"sku":"SMD-SHEET-30W-4K-IP54","combination":["101","103","105","107","109"]},{"sku":"SMD-SHEET-30W-6K-IP54","combination":["101","104","105","107","109"]},{"sku":"SMD-SHEET-30W-3K-IP67","combination":["101","102","105","108","109"]},{"sku":"SMD-SHEET-30W-4K-IP67","combination":["101","103","105","108","109"]},{"sku":"SMD-SHEET-30W-6K-IP67","combination":["101","104","105","108","109"]}]</v>
      </c>
      <c r="Y10" s="17" t="s">
        <v>42</v>
      </c>
      <c r="Z10" s="17" t="s">
        <v>87</v>
      </c>
      <c r="AA10" s="17" t="s">
        <v>44</v>
      </c>
      <c r="AB10" s="20"/>
      <c r="AC10" s="21" t="str">
        <f>IFERROR(__xludf.DUMMYFUNCTION("AI(""Generate 6 powerful unique keywords for the product in this row"")"),"LED sheet lighting, flexible LED sheet, backlighting panel, 30W LED sheet, 24V flexible LED, 3000K warm white")</f>
        <v>LED sheet lighting, flexible LED sheet, backlighting panel, 30W LED sheet, 24V flexible LED, 3000K warm white</v>
      </c>
      <c r="AD10" s="20" t="s">
        <v>88</v>
      </c>
    </row>
    <row r="11" ht="37.5" customHeight="1">
      <c r="A11" s="10"/>
      <c r="B11" s="23"/>
      <c r="C11" s="23"/>
      <c r="D11" s="23"/>
      <c r="E11" s="23"/>
      <c r="F11" s="24"/>
      <c r="G11" s="23"/>
      <c r="H11" s="12"/>
      <c r="I11" s="11"/>
      <c r="J11" s="23"/>
      <c r="K11" s="23"/>
      <c r="L11" s="13" t="s">
        <v>89</v>
      </c>
      <c r="M11" s="13" t="s">
        <v>90</v>
      </c>
      <c r="N1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""&amp;M11)"),"Power|CCT|Voltage|IP Rating|Dimension")</f>
        <v>Power|CCT|Voltage|IP Rating|Dimension</v>
      </c>
      <c r="O11" s="15" t="s">
        <v>83</v>
      </c>
      <c r="P11" s="14" t="str">
        <f>IFERROR(__xludf.DUMMYFUNCTION("AI(""Using the labels""&amp;N11&amp;"" and values ""&amp;M11&amp;"" separated by character '|' and Using ""&amp;L11&amp;"" and key as 'SKU', Create a JSON object"")"),"{""Power"": ""30W"", ""CCT"": ""4000K"", ""Voltage"": ""24V"", ""IP Rating"": ""IP20"", ""Dimension"": ""480mm (L) x 240mm (W)"", ""SKU"": ""SMD-SHEET-30W-4K-IP20""}")</f>
        <v>{"Power": "30W", "CCT": "4000K", "Voltage": "24V", "IP Rating": "IP20", "Dimension": "480mm (L) x 240mm (W)", "SKU": "SMD-SHEET-30W-4K-IP20"}</v>
      </c>
      <c r="Q11" s="15" t="s">
        <v>91</v>
      </c>
      <c r="R11" s="25"/>
      <c r="S11" s="26"/>
      <c r="T11" s="25"/>
      <c r="U11" s="27"/>
      <c r="V11" s="26"/>
      <c r="W11" s="26"/>
      <c r="X11" s="26"/>
      <c r="Y11" s="17" t="s">
        <v>42</v>
      </c>
      <c r="Z11" s="17" t="s">
        <v>87</v>
      </c>
      <c r="AA11" s="17" t="s">
        <v>44</v>
      </c>
      <c r="AB11" s="20"/>
      <c r="AC11" s="20"/>
      <c r="AD11" s="20"/>
    </row>
    <row r="12" ht="37.5" customHeight="1">
      <c r="A12" s="10"/>
      <c r="B12" s="23"/>
      <c r="C12" s="23"/>
      <c r="D12" s="23"/>
      <c r="E12" s="23"/>
      <c r="F12" s="24"/>
      <c r="G12" s="23"/>
      <c r="H12" s="12"/>
      <c r="I12" s="11"/>
      <c r="J12" s="23"/>
      <c r="K12" s="23"/>
      <c r="L12" s="13" t="s">
        <v>92</v>
      </c>
      <c r="M12" s="13" t="s">
        <v>93</v>
      </c>
      <c r="N1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""&amp;M12)"),"Power|CCT|Voltage|IP Rating|Dimension")</f>
        <v>Power|CCT|Voltage|IP Rating|Dimension</v>
      </c>
      <c r="O12" s="15" t="s">
        <v>83</v>
      </c>
      <c r="P12" s="14" t="str">
        <f>IFERROR(__xludf.DUMMYFUNCTION("AI(""Using the labels""&amp;N12&amp;"" and values ""&amp;M12&amp;"" separated by character '|' and Using ""&amp;L12&amp;"" and key as 'SKU', Create a JSON object"")"),"{""Power"": ""30W"", ""CCT"": ""6000K"", ""Voltage"": ""24V"", ""IP Rating"": ""IP20"", ""Dimension"": ""480mm (L) x 240mm (W)"", ""SKU"": ""SMD-SHEET-30W-6K-IP20""}")</f>
        <v>{"Power": "30W", "CCT": "6000K", "Voltage": "24V", "IP Rating": "IP20", "Dimension": "480mm (L) x 240mm (W)", "SKU": "SMD-SHEET-30W-6K-IP20"}</v>
      </c>
      <c r="Q12" s="15" t="s">
        <v>94</v>
      </c>
      <c r="R12" s="25"/>
      <c r="S12" s="26"/>
      <c r="T12" s="25"/>
      <c r="U12" s="27"/>
      <c r="V12" s="26"/>
      <c r="W12" s="26"/>
      <c r="X12" s="26"/>
      <c r="Y12" s="17" t="s">
        <v>42</v>
      </c>
      <c r="Z12" s="17" t="s">
        <v>87</v>
      </c>
      <c r="AA12" s="17" t="s">
        <v>44</v>
      </c>
      <c r="AB12" s="20"/>
      <c r="AC12" s="20"/>
      <c r="AD12" s="20"/>
    </row>
    <row r="13" ht="37.5" customHeight="1">
      <c r="A13" s="10"/>
      <c r="B13" s="23"/>
      <c r="C13" s="23"/>
      <c r="D13" s="23"/>
      <c r="E13" s="23"/>
      <c r="F13" s="24"/>
      <c r="G13" s="23"/>
      <c r="H13" s="12"/>
      <c r="I13" s="11"/>
      <c r="J13" s="23"/>
      <c r="K13" s="23"/>
      <c r="L13" s="13" t="s">
        <v>95</v>
      </c>
      <c r="M13" s="13" t="s">
        <v>96</v>
      </c>
      <c r="N1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""&amp;M13)"),"Power|CCT|Voltage|IP Rating|Dimension")</f>
        <v>Power|CCT|Voltage|IP Rating|Dimension</v>
      </c>
      <c r="O13" s="15" t="s">
        <v>83</v>
      </c>
      <c r="P13" s="14" t="str">
        <f>IFERROR(__xludf.DUMMYFUNCTION("AI(""Using the labels""&amp;N13&amp;"" and values ""&amp;M13&amp;"" separated by character '|' and Using ""&amp;L13&amp;"" and key as 'SKU', Create a JSON object"")"),"{""Power"": ""30W"", ""CCT"": ""3000K"", ""Voltage"": ""24V"", ""IP Rating"": ""IP54"", ""Dimension"": ""480mm (L) x 240mm (W)"", ""SKU"": ""SMD-SHEET-30W-3K-IP54""}")</f>
        <v>{"Power": "30W", "CCT": "3000K", "Voltage": "24V", "IP Rating": "IP54", "Dimension": "480mm (L) x 240mm (W)", "SKU": "SMD-SHEET-30W-3K-IP54"}</v>
      </c>
      <c r="Q13" s="15" t="s">
        <v>97</v>
      </c>
      <c r="R13" s="25"/>
      <c r="S13" s="26"/>
      <c r="T13" s="25"/>
      <c r="U13" s="27"/>
      <c r="V13" s="26"/>
      <c r="W13" s="26"/>
      <c r="X13" s="26"/>
      <c r="Y13" s="17" t="s">
        <v>42</v>
      </c>
      <c r="Z13" s="17" t="s">
        <v>98</v>
      </c>
      <c r="AA13" s="17" t="s">
        <v>44</v>
      </c>
      <c r="AB13" s="20"/>
      <c r="AC13" s="20"/>
      <c r="AD13" s="20"/>
    </row>
    <row r="14" ht="37.5" customHeight="1">
      <c r="A14" s="10"/>
      <c r="B14" s="11"/>
      <c r="C14" s="11"/>
      <c r="D14" s="11"/>
      <c r="E14" s="11"/>
      <c r="F14" s="12"/>
      <c r="G14" s="11"/>
      <c r="H14" s="12"/>
      <c r="I14" s="11"/>
      <c r="J14" s="23"/>
      <c r="K14" s="23"/>
      <c r="L14" s="13" t="s">
        <v>99</v>
      </c>
      <c r="M14" s="13" t="s">
        <v>100</v>
      </c>
      <c r="N1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""&amp;M14)"),"Power|CCT|Voltage|IP Rating|Dimension")</f>
        <v>Power|CCT|Voltage|IP Rating|Dimension</v>
      </c>
      <c r="O14" s="15" t="s">
        <v>83</v>
      </c>
      <c r="P14" s="14" t="str">
        <f>IFERROR(__xludf.DUMMYFUNCTION("AI(""Using the labels""&amp;N14&amp;"" and values ""&amp;M14&amp;"" separated by character '|' and Using ""&amp;L14&amp;"" and key as 'SKU', Create a JSON object"")"),"{""Power"": ""30W"", ""CCT"": ""4000K"", ""Voltage"": ""24V"", ""IP Rating"": ""IP54"", ""Dimension"": ""480mm (L) x 240mm (W)"", ""SKU"": ""SMD-SHEET-30W-4K-IP54""}")</f>
        <v>{"Power": "30W", "CCT": "4000K", "Voltage": "24V", "IP Rating": "IP54", "Dimension": "480mm (L) x 240mm (W)", "SKU": "SMD-SHEET-30W-4K-IP54"}</v>
      </c>
      <c r="Q14" s="15" t="s">
        <v>101</v>
      </c>
      <c r="R14" s="16"/>
      <c r="S14" s="17"/>
      <c r="T14" s="16"/>
      <c r="U14" s="18"/>
      <c r="V14" s="17"/>
      <c r="W14" s="17"/>
      <c r="X14" s="17"/>
      <c r="Y14" s="17" t="s">
        <v>42</v>
      </c>
      <c r="Z14" s="17" t="s">
        <v>98</v>
      </c>
      <c r="AA14" s="17" t="s">
        <v>44</v>
      </c>
      <c r="AB14" s="20"/>
      <c r="AC14" s="20"/>
      <c r="AD14" s="20"/>
    </row>
    <row r="15" ht="37.5" customHeight="1">
      <c r="A15" s="10"/>
      <c r="B15" s="23"/>
      <c r="C15" s="23"/>
      <c r="D15" s="23"/>
      <c r="E15" s="23"/>
      <c r="F15" s="24"/>
      <c r="G15" s="23"/>
      <c r="H15" s="12"/>
      <c r="I15" s="11"/>
      <c r="J15" s="23"/>
      <c r="K15" s="23"/>
      <c r="L15" s="13" t="s">
        <v>102</v>
      </c>
      <c r="M15" s="13" t="s">
        <v>103</v>
      </c>
      <c r="N1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""&amp;M15)"),"Power|CCT|Voltage|IP Rating|Dimension")</f>
        <v>Power|CCT|Voltage|IP Rating|Dimension</v>
      </c>
      <c r="O15" s="15" t="s">
        <v>83</v>
      </c>
      <c r="P15" s="14" t="str">
        <f>IFERROR(__xludf.DUMMYFUNCTION("AI(""Using the labels""&amp;N15&amp;"" and values ""&amp;M15&amp;"" separated by character '|' and Using ""&amp;L15&amp;"" and key as 'SKU', Create a JSON object"")"),"{""Power"": ""30W"", ""CCT"": ""6000K"", ""Voltage"": ""24V"", ""IP Rating"": ""IP54"", ""Dimension"": ""480mm (L) x 240mm (W)"", ""SKU"": ""SMD-SHEET-30W-6K-IP54""}")</f>
        <v>{"Power": "30W", "CCT": "6000K", "Voltage": "24V", "IP Rating": "IP54", "Dimension": "480mm (L) x 240mm (W)", "SKU": "SMD-SHEET-30W-6K-IP54"}</v>
      </c>
      <c r="Q15" s="15" t="s">
        <v>104</v>
      </c>
      <c r="R15" s="25"/>
      <c r="S15" s="26"/>
      <c r="T15" s="25"/>
      <c r="U15" s="27"/>
      <c r="V15" s="26"/>
      <c r="W15" s="26"/>
      <c r="X15" s="26"/>
      <c r="Y15" s="17" t="s">
        <v>42</v>
      </c>
      <c r="Z15" s="17" t="s">
        <v>98</v>
      </c>
      <c r="AA15" s="17" t="s">
        <v>44</v>
      </c>
      <c r="AB15" s="20"/>
      <c r="AC15" s="20"/>
      <c r="AD15" s="20"/>
    </row>
    <row r="16">
      <c r="A16" s="10"/>
      <c r="B16" s="23"/>
      <c r="C16" s="23"/>
      <c r="D16" s="23"/>
      <c r="E16" s="23"/>
      <c r="F16" s="24"/>
      <c r="G16" s="23"/>
      <c r="H16" s="24"/>
      <c r="I16" s="23"/>
      <c r="J16" s="23"/>
      <c r="K16" s="23"/>
      <c r="L16" s="13" t="s">
        <v>105</v>
      </c>
      <c r="M16" s="13" t="s">
        <v>106</v>
      </c>
      <c r="N1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""&amp;M16)"),"Power|CCT|Voltage|IP Rating|Dimension")</f>
        <v>Power|CCT|Voltage|IP Rating|Dimension</v>
      </c>
      <c r="O16" s="15" t="s">
        <v>83</v>
      </c>
      <c r="P16" s="14" t="str">
        <f>IFERROR(__xludf.DUMMYFUNCTION("AI(""Using the labels""&amp;N16&amp;"" and values ""&amp;M16&amp;"" separated by character '|' and Using ""&amp;L16&amp;"" and key as 'SKU', Create a JSON object"")"),"{""Power"": ""30W"", ""CCT"": ""3000K"", ""Voltage"": ""24V"", ""IP Rating"": ""IP67"", ""Dimension"": ""480mm (L) x 240mm (W)"", ""SKU"": ""SMD-SHEET-30W-3K-IP67""}")</f>
        <v>{"Power": "30W", "CCT": "3000K", "Voltage": "24V", "IP Rating": "IP67", "Dimension": "480mm (L) x 240mm (W)", "SKU": "SMD-SHEET-30W-3K-IP67"}</v>
      </c>
      <c r="Q16" s="15" t="s">
        <v>107</v>
      </c>
      <c r="R16" s="25"/>
      <c r="S16" s="26"/>
      <c r="T16" s="25"/>
      <c r="U16" s="27"/>
      <c r="V16" s="26"/>
      <c r="W16" s="26"/>
      <c r="X16" s="26"/>
      <c r="Y16" s="17" t="s">
        <v>42</v>
      </c>
      <c r="Z16" s="17" t="s">
        <v>108</v>
      </c>
      <c r="AA16" s="17" t="s">
        <v>44</v>
      </c>
      <c r="AB16" s="20"/>
      <c r="AC16" s="20"/>
      <c r="AD16" s="20"/>
    </row>
    <row r="17">
      <c r="A17" s="10"/>
      <c r="B17" s="23"/>
      <c r="C17" s="23"/>
      <c r="D17" s="23"/>
      <c r="E17" s="23"/>
      <c r="F17" s="24"/>
      <c r="G17" s="23"/>
      <c r="H17" s="24"/>
      <c r="I17" s="23"/>
      <c r="J17" s="23"/>
      <c r="K17" s="23"/>
      <c r="L17" s="13" t="s">
        <v>109</v>
      </c>
      <c r="M17" s="13" t="s">
        <v>110</v>
      </c>
      <c r="N1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""&amp;M17)"),"Power|CCT|Voltage|IP Rating|Dimension")</f>
        <v>Power|CCT|Voltage|IP Rating|Dimension</v>
      </c>
      <c r="O17" s="15" t="s">
        <v>83</v>
      </c>
      <c r="P17" s="14" t="str">
        <f>IFERROR(__xludf.DUMMYFUNCTION("AI(""Using the labels""&amp;N17&amp;"" and values ""&amp;M17&amp;"" separated by character '|' and Using ""&amp;L17&amp;"" and key as 'SKU', Create a JSON object"")"),"{""Power"": ""30W"", ""CCT"": ""4000K"", ""Voltage"": ""24V"", ""IP Rating"": ""IP67"", ""Dimension"": ""480mm (L) x 240mm (W)"", ""SKU"": ""SMD-SHEET-30W-4K-IP67""}")</f>
        <v>{"Power": "30W", "CCT": "4000K", "Voltage": "24V", "IP Rating": "IP67", "Dimension": "480mm (L) x 240mm (W)", "SKU": "SMD-SHEET-30W-4K-IP67"}</v>
      </c>
      <c r="Q17" s="15" t="s">
        <v>111</v>
      </c>
      <c r="R17" s="25"/>
      <c r="S17" s="26"/>
      <c r="T17" s="25"/>
      <c r="U17" s="27"/>
      <c r="V17" s="26"/>
      <c r="W17" s="26"/>
      <c r="X17" s="26"/>
      <c r="Y17" s="17" t="s">
        <v>42</v>
      </c>
      <c r="Z17" s="17" t="s">
        <v>108</v>
      </c>
      <c r="AA17" s="17" t="s">
        <v>44</v>
      </c>
      <c r="AB17" s="20"/>
      <c r="AC17" s="20"/>
      <c r="AD17" s="20"/>
    </row>
    <row r="18">
      <c r="A18" s="10"/>
      <c r="B18" s="23"/>
      <c r="C18" s="23"/>
      <c r="D18" s="23"/>
      <c r="E18" s="23"/>
      <c r="F18" s="24"/>
      <c r="G18" s="23"/>
      <c r="H18" s="24"/>
      <c r="I18" s="23"/>
      <c r="J18" s="23"/>
      <c r="K18" s="23"/>
      <c r="L18" s="13" t="s">
        <v>112</v>
      </c>
      <c r="M18" s="13" t="s">
        <v>113</v>
      </c>
      <c r="N1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""&amp;M18)"),"Power|CCT|Voltage|IP Rating|Dimension")</f>
        <v>Power|CCT|Voltage|IP Rating|Dimension</v>
      </c>
      <c r="O18" s="15" t="s">
        <v>83</v>
      </c>
      <c r="P18" s="14" t="str">
        <f>IFERROR(__xludf.DUMMYFUNCTION("AI(""Using the labels""&amp;N18&amp;"" and values ""&amp;M18&amp;"" separated by character '|' and Using ""&amp;L18&amp;"" and key as 'SKU', Create a JSON object"")"),"{""Power"": ""30W"", ""CCT"": ""6000K"", ""Voltage"": ""24V"", ""IP Rating"": ""IP67"", ""Dimension"": ""480mm (L) x 240mm (W)"", ""SKU"": ""SMD-SHEET-30W-6K-IP67""}")</f>
        <v>{"Power": "30W", "CCT": "6000K", "Voltage": "24V", "IP Rating": "IP67", "Dimension": "480mm (L) x 240mm (W)", "SKU": "SMD-SHEET-30W-6K-IP67"}</v>
      </c>
      <c r="Q18" s="15" t="s">
        <v>114</v>
      </c>
      <c r="R18" s="25"/>
      <c r="S18" s="26"/>
      <c r="T18" s="25"/>
      <c r="U18" s="27"/>
      <c r="V18" s="26"/>
      <c r="W18" s="26"/>
      <c r="X18" s="26"/>
      <c r="Y18" s="17" t="s">
        <v>42</v>
      </c>
      <c r="Z18" s="17" t="s">
        <v>108</v>
      </c>
      <c r="AA18" s="17" t="s">
        <v>44</v>
      </c>
      <c r="AB18" s="20"/>
      <c r="AC18" s="20"/>
      <c r="AD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sheetData>
  <drawing r:id="rId4"/>
  <legacyDrawing r:id="rId5"/>
  <tableParts count="1">
    <tablePart r:id="rId7"/>
  </tableParts>
</worksheet>
</file>