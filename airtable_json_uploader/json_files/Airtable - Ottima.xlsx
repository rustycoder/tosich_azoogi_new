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parkLED - Airtable" sheetId="1" r:id="rId5"/>
  </sheets>
  <definedNames/>
  <calcPr/>
</workbook>
</file>

<file path=xl/sharedStrings.xml><?xml version="1.0" encoding="utf-8"?>
<sst xmlns="http://schemas.openxmlformats.org/spreadsheetml/2006/main" count="333" uniqueCount="174">
  <si>
    <t>SKU</t>
  </si>
  <si>
    <t>Name</t>
  </si>
  <si>
    <t>Product type</t>
  </si>
  <si>
    <t>Categories</t>
  </si>
  <si>
    <t>Status</t>
  </si>
  <si>
    <t>AI Product description</t>
  </si>
  <si>
    <t>Product description</t>
  </si>
  <si>
    <t>AI Product short description</t>
  </si>
  <si>
    <t>Product short description</t>
  </si>
  <si>
    <t>Product image</t>
  </si>
  <si>
    <t>Product gallery</t>
  </si>
  <si>
    <t>Specification</t>
  </si>
  <si>
    <t>AI Labels</t>
  </si>
  <si>
    <t>Labels</t>
  </si>
  <si>
    <t>AI Features</t>
  </si>
  <si>
    <t>Features</t>
  </si>
  <si>
    <t>AI Attributes</t>
  </si>
  <si>
    <t>Attributes</t>
  </si>
  <si>
    <t xml:space="preserve">AI Options and Constraints </t>
  </si>
  <si>
    <t>Options and Constraints</t>
  </si>
  <si>
    <t>Options</t>
  </si>
  <si>
    <t>Constraints</t>
  </si>
  <si>
    <t>Supplier Name</t>
  </si>
  <si>
    <t>Supplier Code</t>
  </si>
  <si>
    <t>Datasheet</t>
  </si>
  <si>
    <t>ADR001</t>
  </si>
  <si>
    <t>Non-Dimmable Driver</t>
  </si>
  <si>
    <t>simple</t>
  </si>
  <si>
    <t>draft</t>
  </si>
  <si>
    <t>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t>
  </si>
  <si>
    <t>Elevate your space with elegant design and discreet luxury, creating a sophisticated, seamless glow.</t>
  </si>
  <si>
    <t>20W | 12V | IP67</t>
  </si>
  <si>
    <t>Power|Voltage|IP Rating</t>
  </si>
  <si>
    <t>{"Power": "20W", "Voltage": "12V", "IP Rating": "IP67"}</t>
  </si>
  <si>
    <t>{"Power": ["20W", "40W", "60W", "100W", "150W", "200W", "300W", "400W", "500W"], "Voltage": ["12V", "24V"], "IP Rating": "IP67"}</t>
  </si>
  <si>
    <t>{ "Options": { "Power": [ {"name": "20W", "id": "101"}, {"name": "40W", "id": "102"}, {"name": "60W", "id": "103"}, {"name": "100W", "id": "104"}, {"name": "150W", "id": "105"}, {"name": "200W", "id": "106"}, {"name": "300W", "id": "107"}, {"name": "400W", "id": "108"}, {"name": "500W", "id": "109"} ], "Voltage": [ {"name": "12V", "id": "110"}, {"name": "24V", "id": "111"} ], "IP Rating": [ {"name": "IP67", "id": "112"} ] }, "Constraints": { "108": ["110"], "109": ["110"] } }</t>
  </si>
  <si>
    <t>{ "Power": [ {"name": "20W", "id": "101"}, {"name": "40W", "id": "102"}, {"name": "60W", "id": "103"}, {"name": "100W", "id": "104"}, {"name": "150W", "id": "105"}, {"name": "200W", "id": "106"}, {"name": "300W", "id": "107"}, {"name": "400W", "id": "108"}, {"name": "500W", "id": "109"} ], "Voltage": [ {"name": "12V", "id": "110"}, {"name": "24V", "id": "111"} ], "IP Rating": [ {"name": "IP67", "id": "112"} ] }</t>
  </si>
  <si>
    <t>{ "108": ["110"], "109": ["110"] } }</t>
  </si>
  <si>
    <t>CHINA - OTTIMA TECHNOLOGY</t>
  </si>
  <si>
    <t>OTM-W20-12</t>
  </si>
  <si>
    <t>Yes</t>
  </si>
  <si>
    <t>20W | 24V | IP67</t>
  </si>
  <si>
    <t>{"Power": "20W", "Voltage": "24V", "IP Rating": "IP67"}</t>
  </si>
  <si>
    <t>OTM-W20-24</t>
  </si>
  <si>
    <t>40W | 12V | IP67</t>
  </si>
  <si>
    <t>{"Power": "40W", "Voltage": "12V", "IP Rating": "IP67"}</t>
  </si>
  <si>
    <t>OTM-W40-12</t>
  </si>
  <si>
    <t>40W | 24V | IP67</t>
  </si>
  <si>
    <t>{"Power": "40W", "Voltage": "24V", "IP Rating": "IP67"}</t>
  </si>
  <si>
    <t>OTM-W40-24</t>
  </si>
  <si>
    <t>60W | 12V | IP67</t>
  </si>
  <si>
    <t>{"Power": "60W", "Voltage": "12V", "IP Rating": "IP67"}</t>
  </si>
  <si>
    <t>OTM-W60-12</t>
  </si>
  <si>
    <t>60W | 24V | IP67</t>
  </si>
  <si>
    <t>{"Power": "60W", "Voltage": "24V", "IP Rating": "IP67"}</t>
  </si>
  <si>
    <t>OTM-W60-24</t>
  </si>
  <si>
    <t>100W | 12V | IP67</t>
  </si>
  <si>
    <t>{"Power": "100W", "Voltage": "12V", "IP Rating": "IP67"}</t>
  </si>
  <si>
    <t>OTM-W100-12</t>
  </si>
  <si>
    <t>100W | 24V | IP67</t>
  </si>
  <si>
    <t>{"Power": "100W", "Voltage": "24V", "IP Rating": "IP67"}</t>
  </si>
  <si>
    <t>OTM-W100-24</t>
  </si>
  <si>
    <t>150W | 12V | IP67</t>
  </si>
  <si>
    <t>{"Power": "150W", "Voltage": "12V", "IP Rating": "IP67"}</t>
  </si>
  <si>
    <t>OTM-W150-12</t>
  </si>
  <si>
    <t>150W | 24V | IP67</t>
  </si>
  <si>
    <t>{"Power": "150W", "Voltage": "24V", "IP Rating": "IP67"}</t>
  </si>
  <si>
    <t>OTM-W150-24</t>
  </si>
  <si>
    <t>200W | 12V | IP67</t>
  </si>
  <si>
    <t>{"Power": "200W", "Voltage": "12V", "IP Rating": "IP67"}</t>
  </si>
  <si>
    <t>OTM-W200-12</t>
  </si>
  <si>
    <t>200W | 24V | IP67</t>
  </si>
  <si>
    <t>{"Power": "200W", "Voltage": "24V", "IP Rating": "IP67"}</t>
  </si>
  <si>
    <t>OTM-W200-24</t>
  </si>
  <si>
    <t>300W | 12V | IP67</t>
  </si>
  <si>
    <t>{"Power": "300W", "Voltage": "12V", "IP Rating": "IP67"}</t>
  </si>
  <si>
    <t>OTM-W300-12</t>
  </si>
  <si>
    <t>300W | 24V | IP67</t>
  </si>
  <si>
    <t>{"Power": "300W", "Voltage": "24V", "IP Rating": "IP67"}</t>
  </si>
  <si>
    <t>OTM-W300-24</t>
  </si>
  <si>
    <t>400W | 24V | IP67</t>
  </si>
  <si>
    <t>{"Power": "400W", "Voltage": "24V", "IP Rating": "IP67"}</t>
  </si>
  <si>
    <t>OTM-W400-24</t>
  </si>
  <si>
    <t>500W | 24V | IP67</t>
  </si>
  <si>
    <t>{"Power": "500W", "Voltage": "24V", "IP Rating": "IP67"}</t>
  </si>
  <si>
    <t>OTM-W500-24</t>
  </si>
  <si>
    <t>No</t>
  </si>
  <si>
    <t>ADR003D</t>
  </si>
  <si>
    <t>5-in-1 Dimming Driver</t>
  </si>
  <si>
    <t>30W | 12V | IP67 | Triac | 0-10V | 1-10V | PWM | Potentiometer</t>
  </si>
  <si>
    <t>Power|Voltage|IP Rating|AC Phase-Cut|Current Sinking|Current Sourcing|Duty Cycle|Variable Resistance</t>
  </si>
  <si>
    <t>{"Power": "30W", "Voltage": "12V", "IP Rating": "IP67", "AC Phase-Cut": "Triac", "Current Sinking": "0-10V", "Current Sourcing": "1-10V", "Duty Cycle": "PWM", "Variable Resistance": "Potentiometer"}</t>
  </si>
  <si>
    <t>{"Power": ["30W", "60W", "100W", "150W", "200W", "300W"], "Voltage": ["12V", "24V"], "IP Rating": "IP67", "AC Phase-Cut": "Triac", "Current Sinking": "0-10V", "Current Sourcing": "1-10V", "Duty Cycle": "PWM", "Variable Resistance": "Potentiometer"}</t>
  </si>
  <si>
    <t>{
"Options": {
"Power": [
{"name": "30W", "id": "101"},
{"name": "60W", "id": "102"},
{"name": "100W", "id": "103"},
{"name": "150W", "id": "104"},
{"name": "200W", "id": "105"},
{"name": "300W", "id": "106"}
],
"Voltage": [
{"name": "12V", "id": "107"},
{"name": "24V", "id": "108"}
],
"IP Rating": [
{"name": "IP67", "id": "109"}
],
"AC Phase-Cut": [
{"name": "Triac", "id": "110"}
],
"Current Sinking": [
{"name": "0-10V", "id": "111"}
],
"Current Sourcing": [
{"name": "1-10V", "id": "112"}
],
"Duty Cycle": [
{"name": "PWM", "id": "113"}
],
"Variable Resistance": [
{"name": "Potentiometer", "id": "114"}
]
},
"Constraints": {}
}</t>
  </si>
  <si>
    <t>{
"Power": [
{"name": "30W", "id": "101"},
{"name": "60W", "id": "102"},
{"name": "100W", "id": "103"},
{"name": "150W", "id": "104"},
{"name": "200W", "id": "105"},
{"name": "300W", "id": "106"}
],
"Voltage": [
{"name": "12V", "id": "107"},
{"name": "24V", "id": "108"}
],
"IP Rating": [
{"name": "IP67", "id": "109"}
],
"AC Phase-Cut": [
{"name": "Triac", "id": "110"}
],
"Current Sinking": [
{"name": "0-10V", "id": "111"}
],
"Current Sourcing": [
{"name": "1-10V", "id": "112"}
],
"Duty Cycle": [
{"name": "PWM", "id": "113"}
],
"Variable Resistance": [
{"name": "Potentiometer", "id": "114"}
]
}</t>
  </si>
  <si>
    <t>[]</t>
  </si>
  <si>
    <t>OTM-TD30-12</t>
  </si>
  <si>
    <t>30W | 24V | IP67 | Triac | 0-10V | 1-10V | PWM | Potentiometer</t>
  </si>
  <si>
    <t>{"Power": "30W", "Voltage": "24V", "IP Rating": "IP67", "AC Phase-Cut": "Triac", "Current Sinking": "0-10V", "Current Sourcing": "1-10V", "Duty Cycle": "PWM", "Variable Resistance": "Potentiometer"}</t>
  </si>
  <si>
    <t>OTM-TD30-24</t>
  </si>
  <si>
    <t>60W | 12V | IP67 | Triac | 0-10V | 1-10V | PWM | Potentiometer</t>
  </si>
  <si>
    <t>{"Power": "60W", "Voltage": "12V", "IP Rating": "IP67", "AC Phase-Cut": "Triac", "Current Sinking": "0-10V", "Current Sourcing": "1-10V", "Duty Cycle": "PWM", "Variable Resistance": "Potentiometer"}</t>
  </si>
  <si>
    <t>OTM-TD60-12</t>
  </si>
  <si>
    <t>60W | 24V | IP67 | Triac | 0-10V | 1-10V | PWM | Potentiometer</t>
  </si>
  <si>
    <t>{"Power": "60W", "Voltage": "24V", "IP Rating": "IP67", "AC Phase-Cut": "Triac", "Current Sinking": "0-10V", "Current Sourcing": "1-10V", "Duty Cycle": "PWM", "Variable Resistance": "Potentiometer"}</t>
  </si>
  <si>
    <t>OTM-TD60-24</t>
  </si>
  <si>
    <t>100W | 12V | IP67 | Triac | 0-10V | 1-10V | PWM | Potentiometer</t>
  </si>
  <si>
    <t>{"Power": "100W", "Voltage": "12V", "IP Rating": "IP67", "AC Phase-Cut": "Triac", "Current Sinking": "0-10V", "Current Sourcing": "1-10V", "Duty Cycle": "PWM", "Variable Resistance": "Potentiometer"}</t>
  </si>
  <si>
    <t>OTM-TD100-12</t>
  </si>
  <si>
    <t>100W | 24V | IP67 | Triac | 0-10V | 1-10V | PWM | Potentiometer</t>
  </si>
  <si>
    <t>{"Power": "100W", "Voltage": "24V", "IP Rating": "IP67", "AC Phase-Cut": "Triac", "Current Sinking": "0-10V", "Current Sourcing": "1-10V", "Duty Cycle": "PWM", "Variable Resistance": "Potentiometer"}</t>
  </si>
  <si>
    <t>OTM-TD100-24</t>
  </si>
  <si>
    <t>150W | 12V | IP67 | Triac | 0-10V | 1-10V | PWM | Potentiometer</t>
  </si>
  <si>
    <t>{"Power": "150W", "Voltage": "12V", "IP Rating": "IP67", "AC Phase-Cut": "Triac", "Current Sinking": "0-10V", "Current Sourcing": "1-10V", "Duty Cycle": "PWM", "Variable Resistance": "Potentiometer"}</t>
  </si>
  <si>
    <t>OTM-TD150-12</t>
  </si>
  <si>
    <t>150W | 24V | IP67 | Triac | 0-10V | 1-10V | PWM | Potentiometer</t>
  </si>
  <si>
    <t>{"Power": "150W", "Voltage": "24V", "IP Rating": "IP67", "AC Phase-Cut": "Triac", "Current Sinking": "0-10V", "Current Sourcing": "1-10V", "Duty Cycle": "PWM", "Variable Resistance": "Potentiometer"}</t>
  </si>
  <si>
    <t>OTM-TD150-24</t>
  </si>
  <si>
    <t>200W | 24V | IP67 | Triac | 0-10V | 1-10V | PWM | Potentiometer</t>
  </si>
  <si>
    <t>{"Power": "200W", "Voltage": "24V", "IP Rating": "IP67", "AC Phase-Cut": "Triac", "Current Sinking": "0-10V", "Current Sourcing": "1-10V", "Duty Cycle": "PWM", "Variable Resistance": "Potentiometer"}</t>
  </si>
  <si>
    <t>OTM-TD200-12</t>
  </si>
  <si>
    <t>200W | 12V | IP67 | Triac | 0-10V | 1-10V | PWM | Potentiometer</t>
  </si>
  <si>
    <t>{"Power": "200W", "Voltage": "12V", "IP Rating": "IP67", "AC Phase-Cut": "Triac", "Current Sinking": "0-10V", "Current Sourcing": "1-10V", "Duty Cycle": "PWM", "Variable Resistance": "Potentiometer"}</t>
  </si>
  <si>
    <t>OTM-TD200-24</t>
  </si>
  <si>
    <t>300W | 12V | IP67 | Triac | 0-10V | 1-10V | PWM | Potentiometer</t>
  </si>
  <si>
    <t>{"Power": "300W", "Voltage": "12V", "IP Rating": "IP67", "AC Phase-Cut": "Triac", "Current Sinking": "0-10V", "Current Sourcing": "1-10V", "Duty Cycle": "PWM", "Variable Resistance": "Potentiometer"}</t>
  </si>
  <si>
    <t>OTM-TD300-12</t>
  </si>
  <si>
    <t>300W | 24V | IP67 | Triac | 0-10V | 1-10V | PWM | Potentiometer</t>
  </si>
  <si>
    <t>{"Power": "300W", "Voltage": "24V", "IP Rating": "IP67", "AC Phase-Cut": "Triac", "Current Sinking": "0-10V", "Current Sourcing": "1-10V", "Duty Cycle": "PWM", "Variable Resistance": "Potentiometer"}</t>
  </si>
  <si>
    <t>OTM-TD300-24</t>
  </si>
  <si>
    <t>ADR005DA</t>
  </si>
  <si>
    <t>DALI-2 &amp; PUSH 2 in 1 Dimmable Driver</t>
  </si>
  <si>
    <t>Elevate your spaces into a breathtaking visual journey of elegant design and discreet luxury with a sophisticated, seamless glow. This premium dimmable driver offers the perfect blend of modern innovation and refined elegance, effortlessly transforming your environment into a warm, welcoming retreat. Designed for those who appreciate flawless execution and an unparalleled touch of ambiance, it beautifully highlights your architecture to create a captivating and serene atmosphere. Unwind in the stunning, soft illumination that brings your vision to life and makes every evening feel truly magical.</t>
  </si>
  <si>
    <t>Transform your space with elegant design and discreet luxury. Enjoy a sophisticated, seamless glow that brings your vision to life and makes every moment feel truly magical.</t>
  </si>
  <si>
    <t>{"Power": ["60W", "100W", "150W", "200W", "300W", "360W"], "Voltage": ["12V", "24V"], "IP Rating": "IP67"}</t>
  </si>
  <si>
    <t>{
"Options": {
"Power": [
{"name": "60W", "id": "101"},
{"name": "100W", "id": "102"},
{"name": "150W", "id": "103"},
{"name": "200W", "id": "104"},
{"name": "300W", "id": "105"},
{"name": "360W", "id": "106"}
],
"Voltage": [
{"name": "12V", "id": "107"},
{"name": "24V", "id": "108"}
],
"IP Rating": [
{"name": "IP67", "id": "109"}
]
},
"Constraints": {
"106": ["107"]
}
}</t>
  </si>
  <si>
    <t>{
"Power": [
{"name": "60W", "id": "101"},
{"name": "100W", "id": "102"},
{"name": "150W", "id": "103"},
{"name": "200W", "id": "104"},
{"name": "300W", "id": "105"},
{"name": "360W", "id": "106"}
],
"Voltage": [
{"name": "12V", "id": "107"},
{"name": "24V", "id": "108"}
],
"IP Rating": [
{"name": "IP67", "id": "109"}
]
}</t>
  </si>
  <si>
    <t>{
"106": ["107"]
}</t>
  </si>
  <si>
    <t>OTM-DD60-12</t>
  </si>
  <si>
    <t>OTM-DD60-24</t>
  </si>
  <si>
    <t>OTM-DD100-12</t>
  </si>
  <si>
    <t>OTM-DD100-24</t>
  </si>
  <si>
    <t>OTM-DD150-12</t>
  </si>
  <si>
    <t>OTM-DD150-24</t>
  </si>
  <si>
    <t>OTM-DD200-12</t>
  </si>
  <si>
    <t>OTM-DD200-24</t>
  </si>
  <si>
    <t>OTM-DD300-12</t>
  </si>
  <si>
    <t>OTM-DD300-24</t>
  </si>
  <si>
    <t>360W | 24V | IP67</t>
  </si>
  <si>
    <t>{"Power": "360W", "Voltage": "24V", "IP Rating": "IP67"}</t>
  </si>
  <si>
    <t>OTM-DD350-24</t>
  </si>
  <si>
    <t>ADR-S12V24V-20W</t>
  </si>
  <si>
    <t>Switchable Driver</t>
  </si>
  <si>
    <t>Transform your spaces into a breathtaking visual journey with a perfect blend of elegance and modern design. This premium lighting solution offers seamless integration into your environment, casting a warm, sophisticated glow that effortlessly enhances the natural beauty of your architecture. Crafted for those who appreciate refined detail and discreet luxury, it adds an unparalleled touch of ambiance, warmth, and style to any setting, making it the ultimate choice for elevated architectural illumination.</t>
  </si>
  <si>
    <t>Elevate your environment with a perfect blend of elegance and modern design, casting a warm, sophisticated glow that adds an unparalleled touch of ambiance and luxury.</t>
  </si>
  <si>
    <t>12V/24V | 20W | IP20</t>
  </si>
  <si>
    <t>Voltage|Power|IP Rating</t>
  </si>
  <si>
    <t>{"Voltage": "12V/24V", "Power": "20W", "IP Rating": "IP20"}</t>
  </si>
  <si>
    <t>{"Voltage": "12V/24V", "Power": ["20W", "40W", "60W", "80W", "100W"], "IP Rating": "IP20"}</t>
  </si>
  <si>
    <t>{
"Options": {
"Voltage": [
{"name": "12V/24V", "id": "101"}
],
"Power": [
{"name": "20W", "id": "102"},
{"name": "40W", "id": "103"},
{"name": "60W", "id": "104"},
{"name": "80W", "id": "105"},
{"name": "100W", "id": "106"}
],
"IP Rating": [
{"name": "IP20", "id": "107"}
]
},
"Constraints": {}
}</t>
  </si>
  <si>
    <t>{
"Voltage": [
{"name": "12V/24V", "id": "101"}
],
"Power": [
{"name": "20W", "id": "102"},
{"name": "40W", "id": "103"},
{"name": "60W", "id": "104"},
{"name": "80W", "id": "105"},
{"name": "100W", "id": "106"}
],
"IP Rating": [
{"name": "IP20", "id": "107"}
]
}</t>
  </si>
  <si>
    <t>OTM-E20-VC</t>
  </si>
  <si>
    <t>12V/24V | 40W | IP20</t>
  </si>
  <si>
    <t>{"Voltage": "12V/24V", "Power": "40W", "IP Rating": "IP20"}</t>
  </si>
  <si>
    <t>OTM-E40-VC</t>
  </si>
  <si>
    <t>12V/24V | 60W | IP20</t>
  </si>
  <si>
    <t>{"Voltage": "12V/24V", "Power": "60W", "IP Rating": "IP20"}</t>
  </si>
  <si>
    <t>OTM-E60-VC</t>
  </si>
  <si>
    <t>12V/24V | 80W | IP20</t>
  </si>
  <si>
    <t>{"Voltage": "12V/24V", "Power": "80W", "IP Rating": "IP20"}</t>
  </si>
  <si>
    <t>OTM-E80-VC</t>
  </si>
  <si>
    <t>12V/24V | 100W | IP20</t>
  </si>
  <si>
    <t>{"Voltage": "12V/24V", "Power": "100W", "IP Rating": "IP20"}</t>
  </si>
  <si>
    <t>OTM-E1000-VC</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</si>
</sst>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sz val="10.0"/>
      <color theme="1"/>
      <name val="DM Sans"/>
    </font>
    <font>
      <b/>
      <sz val="10.0"/>
      <color rgb="FFFFFFFF"/>
      <name val="DM Sans"/>
    </font>
    <font>
      <sz val="10.0"/>
      <color theme="1"/>
      <name val="DM Sans"/>
    </font>
    <font>
      <sz val="10.0"/>
      <color rgb="FF434343"/>
      <name val="DM Sans"/>
    </font>
    <font>
      <color theme="1"/>
      <name val="Arial"/>
      <scheme val="minor"/>
    </font>
  </fonts>
  <fills count="9">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
      <patternFill patternType="solid">
        <fgColor rgb="FFD9D2E9"/>
        <bgColor rgb="FFD9D2E9"/>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ont="1">
      <alignment horizontal="center" readingOrder="0" shrinkToFit="0" vertical="center" wrapText="1"/>
    </xf>
    <xf borderId="1" fillId="0" fontId="3" numFmtId="0" xfId="0" applyAlignment="1" applyBorder="1" applyFont="1">
      <alignment shrinkToFit="0" vertical="center" wrapText="1"/>
    </xf>
    <xf borderId="1" fillId="0" fontId="3"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6" fontId="3" numFmtId="0" xfId="0" applyAlignment="1" applyBorder="1" applyFill="1" applyFont="1">
      <alignment readingOrder="0" shrinkToFit="0" vertical="center" wrapText="1"/>
    </xf>
    <xf borderId="1" fillId="7" fontId="3" numFmtId="0" xfId="0" applyAlignment="1" applyBorder="1" applyFill="1" applyFont="1">
      <alignment readingOrder="0" shrinkToFit="0" vertical="center" wrapText="1"/>
    </xf>
    <xf borderId="1" fillId="6" fontId="4" numFmtId="0" xfId="0" applyAlignment="1" applyBorder="1" applyFont="1">
      <alignment shrinkToFit="0" vertical="center" wrapText="1"/>
    </xf>
    <xf borderId="1" fillId="8" fontId="4" numFmtId="0" xfId="0" applyAlignment="1" applyBorder="1" applyFill="1" applyFont="1">
      <alignment shrinkToFit="0" vertical="center" wrapText="1"/>
    </xf>
    <xf borderId="1" fillId="6" fontId="4" numFmtId="0" xfId="0" applyAlignment="1" applyBorder="1" applyFont="1">
      <alignment readingOrder="0" shrinkToFit="0" vertical="center" wrapText="1"/>
    </xf>
    <xf borderId="1" fillId="6" fontId="4" numFmtId="0" xfId="0" applyAlignment="1" applyBorder="1" applyFont="1">
      <alignment readingOrder="0" shrinkToFit="0" vertical="center" wrapText="1"/>
    </xf>
    <xf borderId="1" fillId="8" fontId="4" numFmtId="0" xfId="0" applyAlignment="1" applyBorder="1" applyFont="1">
      <alignment readingOrder="0" shrinkToFit="0" vertical="center" wrapText="1"/>
    </xf>
    <xf borderId="1" fillId="8" fontId="5"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6" fontId="3" numFmtId="0" xfId="0" applyAlignment="1" applyBorder="1" applyFont="1">
      <alignment readingOrder="0" shrinkToFit="0" vertical="center" wrapText="1"/>
    </xf>
    <xf borderId="1" fillId="6" fontId="4" numFmtId="0" xfId="0" applyAlignment="1" applyBorder="1" applyFont="1">
      <alignment readingOrder="0" shrinkToFit="0" vertical="center" wrapText="1"/>
    </xf>
    <xf borderId="1" fillId="6" fontId="4" numFmtId="0" xfId="0" applyAlignment="1" applyBorder="1" applyFont="1">
      <alignment readingOrder="0" shrinkToFit="0" vertical="center" wrapText="1"/>
    </xf>
    <xf borderId="1" fillId="8" fontId="4" numFmtId="0" xfId="0" applyAlignment="1" applyBorder="1" applyFont="1">
      <alignment readingOrder="0" shrinkToFit="0" vertical="center" wrapText="1"/>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1">
    <tableStyle count="2" pivot="0" name="SparkLED - Airtable-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2:Y45"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SparkLED - Airtabl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13"/>
    <col customWidth="1" min="2" max="2" width="14.13"/>
    <col customWidth="1" min="3" max="3" width="11.75"/>
    <col customWidth="1" min="4" max="4" width="9.88"/>
    <col customWidth="1" min="5" max="5" width="6.38"/>
    <col customWidth="1" min="6" max="9" width="31.38"/>
    <col customWidth="1" min="10" max="11" width="28.75"/>
    <col customWidth="1" min="12" max="12" width="43.25"/>
    <col customWidth="1" min="13" max="14" width="34.75"/>
    <col customWidth="1" min="15" max="22" width="50.13"/>
    <col customWidth="1" min="23" max="23" width="18.88"/>
    <col customWidth="1" min="24" max="25" width="12.63"/>
  </cols>
  <sheetData>
    <row r="1">
      <c r="A1" s="1" t="s">
        <v>0</v>
      </c>
      <c r="B1" s="1" t="s">
        <v>1</v>
      </c>
      <c r="C1" s="1" t="s">
        <v>2</v>
      </c>
      <c r="D1" s="1" t="s">
        <v>3</v>
      </c>
      <c r="E1" s="1" t="s">
        <v>4</v>
      </c>
      <c r="F1" s="2" t="s">
        <v>5</v>
      </c>
      <c r="G1" s="1" t="s">
        <v>6</v>
      </c>
      <c r="H1" s="2" t="s">
        <v>7</v>
      </c>
      <c r="I1" s="1" t="s">
        <v>8</v>
      </c>
      <c r="J1" s="1" t="s">
        <v>9</v>
      </c>
      <c r="K1" s="1" t="s">
        <v>10</v>
      </c>
      <c r="L1" s="3" t="s">
        <v>11</v>
      </c>
      <c r="M1" s="2" t="s">
        <v>12</v>
      </c>
      <c r="N1" s="4" t="s">
        <v>13</v>
      </c>
      <c r="O1" s="2" t="s">
        <v>14</v>
      </c>
      <c r="P1" s="5" t="s">
        <v>15</v>
      </c>
      <c r="Q1" s="2" t="s">
        <v>16</v>
      </c>
      <c r="R1" s="1" t="s">
        <v>17</v>
      </c>
      <c r="S1" s="2" t="s">
        <v>18</v>
      </c>
      <c r="T1" s="5" t="s">
        <v>19</v>
      </c>
      <c r="U1" s="1" t="s">
        <v>20</v>
      </c>
      <c r="V1" s="1" t="s">
        <v>21</v>
      </c>
      <c r="W1" s="1" t="s">
        <v>22</v>
      </c>
      <c r="X1" s="1" t="s">
        <v>23</v>
      </c>
      <c r="Y1" s="1" t="s">
        <v>24</v>
      </c>
      <c r="Z1" s="6"/>
    </row>
    <row r="2" ht="37.5" customHeight="1">
      <c r="A2" s="7" t="s">
        <v>25</v>
      </c>
      <c r="B2" s="7" t="s">
        <v>26</v>
      </c>
      <c r="C2" s="8" t="s">
        <v>27</v>
      </c>
      <c r="D2" s="7" t="s">
        <v>26</v>
      </c>
      <c r="E2" s="8" t="s">
        <v>28</v>
      </c>
      <c r="F2" s="9" t="str">
        <f>IFERROR(__xludf.DUMMYFUNCTION("AI(""Give me a paragraph marketing spiel for this product, no tech specs just marketing fluff "")"),"Transform your outdoor spaces into a breathtaking visual journey with a perfect blend of elegance and modern design. This premium lighting solution offers seamless integration into your pathways, casting a warm, sophisticated glow that effortlessly guides"&amp;" the way while enhancing the natural beauty of your architecture. Crafted for those who appreciate refined detail and discreet luxury, it adds an unparalleled touch of ambiance, warmth, and captivating security to any setting, making it the ultimate choic"&amp;"e for elevated architectural illumination.")</f>
        <v>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v>
      </c>
      <c r="G2" s="8" t="s">
        <v>29</v>
      </c>
      <c r="H2" s="9" t="str">
        <f>IFERROR(__xludf.DUMMYFUNCTION("AI(""Give me a paragraph marketing spiel for this product, no tech specs just marketing fluff under 180 characters "")"),"Elevate your space with elegant design and discreet luxury, creating a sophisticated, seamless glow.")</f>
        <v>Elevate your space with elegant design and discreet luxury, creating a sophisticated, seamless glow.</v>
      </c>
      <c r="I2" s="8" t="s">
        <v>30</v>
      </c>
      <c r="J2" s="8"/>
      <c r="K2" s="8"/>
      <c r="L2" s="10" t="s">
        <v>31</v>
      </c>
      <c r="M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""&amp;L2)"),"Power|Voltage|IP Rating")</f>
        <v>Power|Voltage|IP Rating</v>
      </c>
      <c r="N2" s="12" t="s">
        <v>32</v>
      </c>
      <c r="O2" s="11" t="str">
        <f>IFERROR(__xludf.DUMMYFUNCTION("AI(""Using the labels""&amp;M2&amp;"" and values ""&amp;L2&amp;"" separated by character '|', Create a JSON object"")"),"{""Power"": ""20W"", ""Voltage"": ""12V"", ""IP Rating"": ""IP67""}")</f>
        <v>{"Power": "20W", "Voltage": "12V", "IP Rating": "IP67"}</v>
      </c>
      <c r="P2" s="12" t="s">
        <v>33</v>
      </c>
      <c r="Q2"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P2:P17)"),"{""Power"": [""20W"", ""40W"", ""60W"", ""100W"", ""150W"", ""200W"", ""300W"", ""400W"", ""500W""], ""Voltage"": [""12V"", ""24V""], ""IP Rating"": ""IP67""}")</f>
        <v>{"Power": ["20W", "40W", "60W", "100W", "150W", "200W", "300W", "400W", "500W"], "Voltage": ["12V", "24V"], "IP Rating": "IP67"}</v>
      </c>
      <c r="R2" s="14" t="s">
        <v>34</v>
      </c>
      <c r="S2"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P2:P17)"),"{ ""Options"": { ""Power"": [ {""name"": ""20W"", ""id"": ""101""}, {""name"": ""40W"", ""id"": ""102""}, {""name"": ""60W"", ""id"": ""103""}, {""name"": ""100W"", ""id"": ""104""}, {""name"": ""150W"", ""id"": ""105""}, {""name"": ""200W"", ""id"": ""10"&amp;"6""}, {""name"": ""300W"", ""id"": ""107""}, {""name"": ""400W"", ""id"": ""108""}, {""name"": ""500W"", ""id"": ""109""} ], ""Voltage"": [ {""name"": ""12V"", ""id"": ""110""}, {""name"": ""24V"", ""id"": ""111""} ], ""IP Rating"": [ {""name"": ""IP67"","&amp;" ""id"": ""112""} ] }, ""Constraints"": { ""108"": [""110""], ""109"": [""110""] } }")</f>
        <v>{ "Options": { "Power": [ {"name": "20W", "id": "101"}, {"name": "40W", "id": "102"}, {"name": "60W", "id": "103"}, {"name": "100W", "id": "104"}, {"name": "150W", "id": "105"}, {"name": "200W", "id": "106"}, {"name": "300W", "id": "107"}, {"name": "400W", "id": "108"}, {"name": "500W", "id": "109"} ], "Voltage": [ {"name": "12V", "id": "110"}, {"name": "24V", "id": "111"} ], "IP Rating": [ {"name": "IP67", "id": "112"} ] }, "Constraints": { "108": ["110"], "109": ["110"] } }</v>
      </c>
      <c r="T2" s="15" t="s">
        <v>35</v>
      </c>
      <c r="U2" s="14" t="s">
        <v>36</v>
      </c>
      <c r="V2" s="14" t="s">
        <v>37</v>
      </c>
      <c r="W2" s="14" t="s">
        <v>38</v>
      </c>
      <c r="X2" s="14" t="s">
        <v>39</v>
      </c>
      <c r="Y2" s="14" t="s">
        <v>40</v>
      </c>
      <c r="Z2" s="6"/>
    </row>
    <row r="3" ht="37.5" customHeight="1">
      <c r="A3" s="7"/>
      <c r="B3" s="7"/>
      <c r="C3" s="8"/>
      <c r="D3" s="8"/>
      <c r="E3" s="8"/>
      <c r="F3" s="9"/>
      <c r="G3" s="8"/>
      <c r="H3" s="9"/>
      <c r="I3" s="8"/>
      <c r="J3" s="8"/>
      <c r="K3" s="8"/>
      <c r="L3" s="10" t="s">
        <v>41</v>
      </c>
      <c r="M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""&amp;L3)"),"Power|Voltage|IP Rating")</f>
        <v>Power|Voltage|IP Rating</v>
      </c>
      <c r="N3" s="12" t="s">
        <v>32</v>
      </c>
      <c r="O3" s="11" t="str">
        <f>IFERROR(__xludf.DUMMYFUNCTION("AI(""Using the labels""&amp;M3&amp;"" and values ""&amp;L3&amp;"" separated by character '|', Create a JSON object"")"),"{""Power"": ""20W"", ""Voltage"": ""24V"", ""IP Rating"": ""IP67""}")</f>
        <v>{"Power": "20W", "Voltage": "24V", "IP Rating": "IP67"}</v>
      </c>
      <c r="P3" s="12" t="s">
        <v>42</v>
      </c>
      <c r="Q3" s="13"/>
      <c r="R3" s="14"/>
      <c r="S3" s="13"/>
      <c r="T3" s="16"/>
      <c r="U3" s="14"/>
      <c r="V3" s="14"/>
      <c r="W3" s="14" t="s">
        <v>38</v>
      </c>
      <c r="X3" s="14" t="s">
        <v>43</v>
      </c>
      <c r="Y3" s="14" t="s">
        <v>40</v>
      </c>
      <c r="Z3" s="6"/>
    </row>
    <row r="4" ht="37.5" customHeight="1">
      <c r="A4" s="7"/>
      <c r="B4" s="7"/>
      <c r="C4" s="8"/>
      <c r="D4" s="8"/>
      <c r="E4" s="8"/>
      <c r="F4" s="9"/>
      <c r="G4" s="8"/>
      <c r="H4" s="9"/>
      <c r="I4" s="8"/>
      <c r="J4" s="8"/>
      <c r="K4" s="8"/>
      <c r="L4" s="10" t="s">
        <v>44</v>
      </c>
      <c r="M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""&amp;L4)"),"Power|Voltage|IP Rating")</f>
        <v>Power|Voltage|IP Rating</v>
      </c>
      <c r="N4" s="12" t="s">
        <v>32</v>
      </c>
      <c r="O4" s="11" t="str">
        <f>IFERROR(__xludf.DUMMYFUNCTION("AI(""Using the labels""&amp;M4&amp;"" and values ""&amp;L4&amp;"" separated by character '|', Create a JSON object"")"),"{""Power"": ""40W"", ""Voltage"": ""12V"", ""IP Rating"": ""IP67""}")</f>
        <v>{"Power": "40W", "Voltage": "12V", "IP Rating": "IP67"}</v>
      </c>
      <c r="P4" s="12" t="s">
        <v>45</v>
      </c>
      <c r="Q4" s="13"/>
      <c r="R4" s="14"/>
      <c r="S4" s="13"/>
      <c r="T4" s="15"/>
      <c r="U4" s="14"/>
      <c r="V4" s="14"/>
      <c r="W4" s="14" t="s">
        <v>38</v>
      </c>
      <c r="X4" s="14" t="s">
        <v>46</v>
      </c>
      <c r="Y4" s="14" t="s">
        <v>40</v>
      </c>
      <c r="Z4" s="6"/>
    </row>
    <row r="5" ht="37.5" customHeight="1">
      <c r="A5" s="7"/>
      <c r="B5" s="7"/>
      <c r="C5" s="8"/>
      <c r="D5" s="8"/>
      <c r="E5" s="8"/>
      <c r="F5" s="9"/>
      <c r="G5" s="8"/>
      <c r="H5" s="9"/>
      <c r="I5" s="8"/>
      <c r="J5" s="8"/>
      <c r="K5" s="8"/>
      <c r="L5" s="10" t="s">
        <v>47</v>
      </c>
      <c r="M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""&amp;L5)"),"Power|Voltage|IP Rating")</f>
        <v>Power|Voltage|IP Rating</v>
      </c>
      <c r="N5" s="12" t="s">
        <v>32</v>
      </c>
      <c r="O5" s="11" t="str">
        <f>IFERROR(__xludf.DUMMYFUNCTION("AI(""Using the labels""&amp;M5&amp;"" and values ""&amp;L5&amp;"" separated by character '|', Create a JSON object"")"),"{""Power"": ""40W"", ""Voltage"": ""24V"", ""IP Rating"": ""IP67""}")</f>
        <v>{"Power": "40W", "Voltage": "24V", "IP Rating": "IP67"}</v>
      </c>
      <c r="P5" s="12" t="s">
        <v>48</v>
      </c>
      <c r="Q5" s="13"/>
      <c r="R5" s="14"/>
      <c r="S5" s="13"/>
      <c r="T5" s="15"/>
      <c r="U5" s="14"/>
      <c r="V5" s="14"/>
      <c r="W5" s="14" t="s">
        <v>38</v>
      </c>
      <c r="X5" s="14" t="s">
        <v>49</v>
      </c>
      <c r="Y5" s="14" t="s">
        <v>40</v>
      </c>
      <c r="Z5" s="6"/>
    </row>
    <row r="6" ht="37.5" customHeight="1">
      <c r="A6" s="7"/>
      <c r="B6" s="7"/>
      <c r="C6" s="8"/>
      <c r="D6" s="8"/>
      <c r="E6" s="8"/>
      <c r="F6" s="9"/>
      <c r="G6" s="8"/>
      <c r="H6" s="9"/>
      <c r="I6" s="8"/>
      <c r="J6" s="8"/>
      <c r="K6" s="8"/>
      <c r="L6" s="10" t="s">
        <v>50</v>
      </c>
      <c r="M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""&amp;L6)"),"Power|Voltage|IP Rating")</f>
        <v>Power|Voltage|IP Rating</v>
      </c>
      <c r="N6" s="12" t="s">
        <v>32</v>
      </c>
      <c r="O6" s="11" t="str">
        <f>IFERROR(__xludf.DUMMYFUNCTION("AI(""Using the labels""&amp;M6&amp;"" and values ""&amp;L6&amp;"" separated by character '|', Create a JSON object"")"),"{""Power"": ""60W"", ""Voltage"": ""12V"", ""IP Rating"": ""IP67""}")</f>
        <v>{"Power": "60W", "Voltage": "12V", "IP Rating": "IP67"}</v>
      </c>
      <c r="P6" s="12" t="s">
        <v>51</v>
      </c>
      <c r="Q6" s="13"/>
      <c r="R6" s="14"/>
      <c r="S6" s="13"/>
      <c r="T6" s="15"/>
      <c r="U6" s="14"/>
      <c r="V6" s="14"/>
      <c r="W6" s="14" t="s">
        <v>38</v>
      </c>
      <c r="X6" s="14" t="s">
        <v>52</v>
      </c>
      <c r="Y6" s="14" t="s">
        <v>40</v>
      </c>
      <c r="Z6" s="6"/>
    </row>
    <row r="7" ht="37.5" customHeight="1">
      <c r="A7" s="7"/>
      <c r="B7" s="17"/>
      <c r="C7" s="17"/>
      <c r="D7" s="17"/>
      <c r="E7" s="17"/>
      <c r="F7" s="18"/>
      <c r="G7" s="17"/>
      <c r="H7" s="9"/>
      <c r="I7" s="8"/>
      <c r="J7" s="17"/>
      <c r="K7" s="17"/>
      <c r="L7" s="10" t="s">
        <v>53</v>
      </c>
      <c r="M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""&amp;L7)"),"Power|Voltage|IP Rating")</f>
        <v>Power|Voltage|IP Rating</v>
      </c>
      <c r="N7" s="12" t="s">
        <v>32</v>
      </c>
      <c r="O7" s="11" t="str">
        <f>IFERROR(__xludf.DUMMYFUNCTION("AI(""Using the labels""&amp;M7&amp;"" and values ""&amp;L7&amp;"" separated by character '|', Create a JSON object"")"),"{""Power"": ""60W"", ""Voltage"": ""24V"", ""IP Rating"": ""IP67""}")</f>
        <v>{"Power": "60W", "Voltage": "24V", "IP Rating": "IP67"}</v>
      </c>
      <c r="P7" s="12" t="s">
        <v>54</v>
      </c>
      <c r="Q7" s="19"/>
      <c r="R7" s="20"/>
      <c r="S7" s="19"/>
      <c r="T7" s="21"/>
      <c r="U7" s="20"/>
      <c r="V7" s="20"/>
      <c r="W7" s="14" t="s">
        <v>38</v>
      </c>
      <c r="X7" s="14" t="s">
        <v>55</v>
      </c>
      <c r="Y7" s="14" t="s">
        <v>40</v>
      </c>
      <c r="Z7" s="6"/>
    </row>
    <row r="8" ht="37.5" customHeight="1">
      <c r="A8" s="7"/>
      <c r="B8" s="17"/>
      <c r="C8" s="17"/>
      <c r="D8" s="17"/>
      <c r="E8" s="17"/>
      <c r="F8" s="18"/>
      <c r="G8" s="17"/>
      <c r="H8" s="9"/>
      <c r="I8" s="8"/>
      <c r="J8" s="17"/>
      <c r="K8" s="17"/>
      <c r="L8" s="10" t="s">
        <v>56</v>
      </c>
      <c r="M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""&amp;L8)"),"Power|Voltage|IP Rating")</f>
        <v>Power|Voltage|IP Rating</v>
      </c>
      <c r="N8" s="12" t="s">
        <v>32</v>
      </c>
      <c r="O8" s="11" t="str">
        <f>IFERROR(__xludf.DUMMYFUNCTION("AI(""Using the labels""&amp;M8&amp;"" and values ""&amp;L8&amp;"" separated by character '|', Create a JSON object"")"),"{""Power"": ""100W"", ""Voltage"": ""12V"", ""IP Rating"": ""IP67""}")</f>
        <v>{"Power": "100W", "Voltage": "12V", "IP Rating": "IP67"}</v>
      </c>
      <c r="P8" s="12" t="s">
        <v>57</v>
      </c>
      <c r="Q8" s="19"/>
      <c r="R8" s="20"/>
      <c r="S8" s="19"/>
      <c r="T8" s="21"/>
      <c r="U8" s="20"/>
      <c r="V8" s="20"/>
      <c r="W8" s="14" t="s">
        <v>38</v>
      </c>
      <c r="X8" s="14" t="s">
        <v>58</v>
      </c>
      <c r="Y8" s="14" t="s">
        <v>40</v>
      </c>
      <c r="Z8" s="6"/>
    </row>
    <row r="9" ht="37.5" customHeight="1">
      <c r="A9" s="7"/>
      <c r="B9" s="17"/>
      <c r="C9" s="17"/>
      <c r="D9" s="17"/>
      <c r="E9" s="17"/>
      <c r="F9" s="18"/>
      <c r="G9" s="17"/>
      <c r="H9" s="9"/>
      <c r="I9" s="8"/>
      <c r="J9" s="17"/>
      <c r="K9" s="17"/>
      <c r="L9" s="10" t="s">
        <v>59</v>
      </c>
      <c r="M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""&amp;L9)"),"Power|Voltage|IP Rating")</f>
        <v>Power|Voltage|IP Rating</v>
      </c>
      <c r="N9" s="12" t="s">
        <v>32</v>
      </c>
      <c r="O9" s="11" t="str">
        <f>IFERROR(__xludf.DUMMYFUNCTION("AI(""Using the labels""&amp;M9&amp;"" and values ""&amp;L9&amp;"" separated by character '|', Create a JSON object"")"),"{""Power"": ""100W"", ""Voltage"": ""24V"", ""IP Rating"": ""IP67""}")</f>
        <v>{"Power": "100W", "Voltage": "24V", "IP Rating": "IP67"}</v>
      </c>
      <c r="P9" s="12" t="s">
        <v>60</v>
      </c>
      <c r="Q9" s="19"/>
      <c r="R9" s="20"/>
      <c r="S9" s="19"/>
      <c r="T9" s="21"/>
      <c r="U9" s="20"/>
      <c r="V9" s="20"/>
      <c r="W9" s="14" t="s">
        <v>38</v>
      </c>
      <c r="X9" s="14" t="s">
        <v>61</v>
      </c>
      <c r="Y9" s="14" t="s">
        <v>40</v>
      </c>
      <c r="Z9" s="6"/>
    </row>
    <row r="10" ht="37.5" customHeight="1">
      <c r="A10" s="7"/>
      <c r="B10" s="8"/>
      <c r="C10" s="8"/>
      <c r="D10" s="8"/>
      <c r="E10" s="8"/>
      <c r="F10" s="9"/>
      <c r="G10" s="8"/>
      <c r="H10" s="9"/>
      <c r="I10" s="8"/>
      <c r="J10" s="17"/>
      <c r="K10" s="17"/>
      <c r="L10" s="10" t="s">
        <v>62</v>
      </c>
      <c r="M1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""&amp;L10)"),"Power|Voltage|IP Rating")</f>
        <v>Power|Voltage|IP Rating</v>
      </c>
      <c r="N10" s="12" t="s">
        <v>32</v>
      </c>
      <c r="O10" s="11" t="str">
        <f>IFERROR(__xludf.DUMMYFUNCTION("AI(""Using the labels""&amp;M10&amp;"" and values ""&amp;L10&amp;"" separated by character '|', Create a JSON object"")"),"{""Power"": ""150W"", ""Voltage"": ""12V"", ""IP Rating"": ""IP67""}")</f>
        <v>{"Power": "150W", "Voltage": "12V", "IP Rating": "IP67"}</v>
      </c>
      <c r="P10" s="12" t="s">
        <v>63</v>
      </c>
      <c r="Q10" s="13"/>
      <c r="R10" s="14"/>
      <c r="S10" s="13"/>
      <c r="T10" s="15"/>
      <c r="U10" s="14"/>
      <c r="V10" s="14"/>
      <c r="W10" s="14" t="s">
        <v>38</v>
      </c>
      <c r="X10" s="14" t="s">
        <v>64</v>
      </c>
      <c r="Y10" s="14" t="s">
        <v>40</v>
      </c>
      <c r="Z10" s="6"/>
    </row>
    <row r="11" ht="37.5" customHeight="1">
      <c r="A11" s="7"/>
      <c r="B11" s="17"/>
      <c r="C11" s="17"/>
      <c r="D11" s="17"/>
      <c r="E11" s="17"/>
      <c r="F11" s="18"/>
      <c r="G11" s="17"/>
      <c r="H11" s="9"/>
      <c r="I11" s="8"/>
      <c r="J11" s="17"/>
      <c r="K11" s="17"/>
      <c r="L11" s="10" t="s">
        <v>65</v>
      </c>
      <c r="M1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""&amp;L11)"),"Power|Voltage|IP Rating")</f>
        <v>Power|Voltage|IP Rating</v>
      </c>
      <c r="N11" s="12" t="s">
        <v>32</v>
      </c>
      <c r="O11" s="11" t="str">
        <f>IFERROR(__xludf.DUMMYFUNCTION("AI(""Using the labels""&amp;M11&amp;"" and values ""&amp;L11&amp;"" separated by character '|', Create a JSON object"")"),"{""Power"": ""150W"", ""Voltage"": ""24V"", ""IP Rating"": ""IP67""}")</f>
        <v>{"Power": "150W", "Voltage": "24V", "IP Rating": "IP67"}</v>
      </c>
      <c r="P11" s="12" t="s">
        <v>66</v>
      </c>
      <c r="Q11" s="19"/>
      <c r="R11" s="20"/>
      <c r="S11" s="19"/>
      <c r="T11" s="21"/>
      <c r="U11" s="20"/>
      <c r="V11" s="20"/>
      <c r="W11" s="14" t="s">
        <v>38</v>
      </c>
      <c r="X11" s="14" t="s">
        <v>67</v>
      </c>
      <c r="Y11" s="14" t="s">
        <v>40</v>
      </c>
      <c r="Z11" s="6"/>
    </row>
    <row r="12" ht="37.5" customHeight="1">
      <c r="A12" s="7"/>
      <c r="B12" s="17"/>
      <c r="C12" s="17"/>
      <c r="D12" s="17"/>
      <c r="E12" s="17"/>
      <c r="F12" s="18"/>
      <c r="G12" s="17"/>
      <c r="H12" s="9"/>
      <c r="I12" s="8"/>
      <c r="J12" s="17"/>
      <c r="K12" s="17"/>
      <c r="L12" s="10" t="s">
        <v>68</v>
      </c>
      <c r="M1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""&amp;L12)"),"Power|Voltage|IP Rating")</f>
        <v>Power|Voltage|IP Rating</v>
      </c>
      <c r="N12" s="12" t="s">
        <v>32</v>
      </c>
      <c r="O12" s="11" t="str">
        <f>IFERROR(__xludf.DUMMYFUNCTION("AI(""Using the labels""&amp;M12&amp;"" and values ""&amp;L12&amp;"" separated by character '|', Create a JSON object"")"),"{""Power"": ""200W"", ""Voltage"": ""12V"", ""IP Rating"": ""IP67""}")</f>
        <v>{"Power": "200W", "Voltage": "12V", "IP Rating": "IP67"}</v>
      </c>
      <c r="P12" s="12" t="s">
        <v>69</v>
      </c>
      <c r="Q12" s="19"/>
      <c r="R12" s="20"/>
      <c r="S12" s="19"/>
      <c r="T12" s="21"/>
      <c r="U12" s="20"/>
      <c r="V12" s="20"/>
      <c r="W12" s="14" t="s">
        <v>38</v>
      </c>
      <c r="X12" s="14" t="s">
        <v>70</v>
      </c>
      <c r="Y12" s="14" t="s">
        <v>40</v>
      </c>
      <c r="Z12" s="6"/>
    </row>
    <row r="13" ht="37.5" customHeight="1">
      <c r="A13" s="7"/>
      <c r="B13" s="17"/>
      <c r="C13" s="17"/>
      <c r="D13" s="17"/>
      <c r="E13" s="17"/>
      <c r="F13" s="18"/>
      <c r="G13" s="17"/>
      <c r="H13" s="9"/>
      <c r="I13" s="8"/>
      <c r="J13" s="17"/>
      <c r="K13" s="17"/>
      <c r="L13" s="10" t="s">
        <v>71</v>
      </c>
      <c r="M1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""&amp;L13)"),"Power|Voltage|IP Rating")</f>
        <v>Power|Voltage|IP Rating</v>
      </c>
      <c r="N13" s="12" t="s">
        <v>32</v>
      </c>
      <c r="O13" s="11" t="str">
        <f>IFERROR(__xludf.DUMMYFUNCTION("AI(""Using the labels""&amp;M13&amp;"" and values ""&amp;L13&amp;"" separated by character '|', Create a JSON object"")"),"{""Power"": ""200W"", ""Voltage"": ""24V"", ""IP Rating"": ""IP67""}")</f>
        <v>{"Power": "200W", "Voltage": "24V", "IP Rating": "IP67"}</v>
      </c>
      <c r="P13" s="12" t="s">
        <v>72</v>
      </c>
      <c r="Q13" s="19"/>
      <c r="R13" s="20"/>
      <c r="S13" s="19"/>
      <c r="T13" s="21"/>
      <c r="U13" s="20"/>
      <c r="V13" s="20"/>
      <c r="W13" s="14" t="s">
        <v>38</v>
      </c>
      <c r="X13" s="14" t="s">
        <v>73</v>
      </c>
      <c r="Y13" s="14" t="s">
        <v>40</v>
      </c>
      <c r="Z13" s="6"/>
    </row>
    <row r="14" ht="37.5" customHeight="1">
      <c r="A14" s="7"/>
      <c r="B14" s="8"/>
      <c r="C14" s="8"/>
      <c r="D14" s="8"/>
      <c r="E14" s="8"/>
      <c r="F14" s="9"/>
      <c r="G14" s="8"/>
      <c r="H14" s="9"/>
      <c r="I14" s="8"/>
      <c r="J14" s="17"/>
      <c r="K14" s="17"/>
      <c r="L14" s="10" t="s">
        <v>74</v>
      </c>
      <c r="M1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""&amp;L14)"),"Power|Voltage|IP Rating")</f>
        <v>Power|Voltage|IP Rating</v>
      </c>
      <c r="N14" s="12" t="s">
        <v>32</v>
      </c>
      <c r="O14" s="11" t="str">
        <f>IFERROR(__xludf.DUMMYFUNCTION("AI(""Using the labels""&amp;M14&amp;"" and values ""&amp;L14&amp;"" separated by character '|', Create a JSON object"")"),"{""Power"": ""300W"", ""Voltage"": ""12V"", ""IP Rating"": ""IP67""}")</f>
        <v>{"Power": "300W", "Voltage": "12V", "IP Rating": "IP67"}</v>
      </c>
      <c r="P14" s="12" t="s">
        <v>75</v>
      </c>
      <c r="Q14" s="13"/>
      <c r="R14" s="14"/>
      <c r="S14" s="13"/>
      <c r="T14" s="15"/>
      <c r="U14" s="14"/>
      <c r="V14" s="14"/>
      <c r="W14" s="14" t="s">
        <v>38</v>
      </c>
      <c r="X14" s="14" t="s">
        <v>76</v>
      </c>
      <c r="Y14" s="14" t="s">
        <v>40</v>
      </c>
      <c r="Z14" s="6"/>
    </row>
    <row r="15" ht="37.5" customHeight="1">
      <c r="A15" s="7"/>
      <c r="B15" s="17"/>
      <c r="C15" s="17"/>
      <c r="D15" s="17"/>
      <c r="E15" s="17"/>
      <c r="F15" s="18"/>
      <c r="G15" s="17"/>
      <c r="H15" s="9"/>
      <c r="I15" s="8"/>
      <c r="J15" s="17"/>
      <c r="K15" s="17"/>
      <c r="L15" s="10" t="s">
        <v>77</v>
      </c>
      <c r="M1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""&amp;L15)"),"Power|Voltage|IP Rating")</f>
        <v>Power|Voltage|IP Rating</v>
      </c>
      <c r="N15" s="12" t="s">
        <v>32</v>
      </c>
      <c r="O15" s="11" t="str">
        <f>IFERROR(__xludf.DUMMYFUNCTION("AI(""Using the labels""&amp;M15&amp;"" and values ""&amp;L15&amp;"" separated by character '|', Create a JSON object"")"),"{""Power"": ""300W"", ""Voltage"": ""24V"", ""IP Rating"": ""IP67""}")</f>
        <v>{"Power": "300W", "Voltage": "24V", "IP Rating": "IP67"}</v>
      </c>
      <c r="P15" s="12" t="s">
        <v>78</v>
      </c>
      <c r="Q15" s="19"/>
      <c r="R15" s="20"/>
      <c r="S15" s="19"/>
      <c r="T15" s="21"/>
      <c r="U15" s="20"/>
      <c r="V15" s="20"/>
      <c r="W15" s="14" t="s">
        <v>38</v>
      </c>
      <c r="X15" s="14" t="s">
        <v>79</v>
      </c>
      <c r="Y15" s="14" t="s">
        <v>40</v>
      </c>
      <c r="Z15" s="6"/>
    </row>
    <row r="16" ht="37.5" customHeight="1">
      <c r="A16" s="7"/>
      <c r="B16" s="17"/>
      <c r="C16" s="17"/>
      <c r="D16" s="17"/>
      <c r="E16" s="17"/>
      <c r="F16" s="18"/>
      <c r="G16" s="17"/>
      <c r="H16" s="18"/>
      <c r="I16" s="17"/>
      <c r="J16" s="17"/>
      <c r="K16" s="17"/>
      <c r="L16" s="10" t="s">
        <v>80</v>
      </c>
      <c r="M1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""&amp;L16)"),"Power|Voltage|IP Rating")</f>
        <v>Power|Voltage|IP Rating</v>
      </c>
      <c r="N16" s="12" t="s">
        <v>32</v>
      </c>
      <c r="O16" s="11" t="str">
        <f>IFERROR(__xludf.DUMMYFUNCTION("AI(""Using the labels""&amp;M16&amp;"" and values ""&amp;L16&amp;"" separated by character '|', Create a JSON object"")"),"{""Power"": ""400W"", ""Voltage"": ""24V"", ""IP Rating"": ""IP67""}")</f>
        <v>{"Power": "400W", "Voltage": "24V", "IP Rating": "IP67"}</v>
      </c>
      <c r="P16" s="12" t="s">
        <v>81</v>
      </c>
      <c r="Q16" s="19"/>
      <c r="R16" s="20"/>
      <c r="S16" s="19"/>
      <c r="T16" s="21"/>
      <c r="U16" s="20"/>
      <c r="V16" s="20"/>
      <c r="W16" s="14" t="s">
        <v>38</v>
      </c>
      <c r="X16" s="14" t="s">
        <v>82</v>
      </c>
      <c r="Y16" s="14" t="s">
        <v>40</v>
      </c>
      <c r="Z16" s="6"/>
    </row>
    <row r="17" ht="37.5" customHeight="1">
      <c r="A17" s="7"/>
      <c r="B17" s="17"/>
      <c r="C17" s="17"/>
      <c r="D17" s="17"/>
      <c r="E17" s="17"/>
      <c r="F17" s="18"/>
      <c r="G17" s="17"/>
      <c r="H17" s="18"/>
      <c r="I17" s="17"/>
      <c r="J17" s="17"/>
      <c r="K17" s="17"/>
      <c r="L17" s="10" t="s">
        <v>83</v>
      </c>
      <c r="M1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""&amp;L17)"),"Power|Voltage|IP Rating")</f>
        <v>Power|Voltage|IP Rating</v>
      </c>
      <c r="N17" s="12" t="s">
        <v>32</v>
      </c>
      <c r="O17" s="11" t="str">
        <f>IFERROR(__xludf.DUMMYFUNCTION("AI(""Using the labels""&amp;M17&amp;"" and values ""&amp;L17&amp;"" separated by character '|', Create a JSON object"")"),"{""Power"": ""500W"", ""Voltage"": ""24V"", ""IP Rating"": ""IP67""}")</f>
        <v>{"Power": "500W", "Voltage": "24V", "IP Rating": "IP67"}</v>
      </c>
      <c r="P17" s="12" t="s">
        <v>84</v>
      </c>
      <c r="Q17" s="19"/>
      <c r="R17" s="20"/>
      <c r="S17" s="19"/>
      <c r="T17" s="21"/>
      <c r="U17" s="20"/>
      <c r="V17" s="20"/>
      <c r="W17" s="14" t="s">
        <v>38</v>
      </c>
      <c r="X17" s="14" t="s">
        <v>85</v>
      </c>
      <c r="Y17" s="14" t="s">
        <v>86</v>
      </c>
      <c r="Z17" s="6"/>
    </row>
    <row r="18" ht="37.5" customHeight="1">
      <c r="A18" s="7" t="s">
        <v>87</v>
      </c>
      <c r="B18" s="8" t="s">
        <v>88</v>
      </c>
      <c r="C18" s="8" t="s">
        <v>27</v>
      </c>
      <c r="D18" s="8" t="s">
        <v>88</v>
      </c>
      <c r="E18" s="8" t="s">
        <v>28</v>
      </c>
      <c r="F18" s="9" t="str">
        <f>IFERROR(__xludf.DUMMYFUNCTION("AI(""Give me a paragraph marketing spiel for this product, no tech specs just marketing fluff "")"),"Transform your outdoor spaces into a breathtaking visual journey with a perfect blend of elegance and modern design. This premium lighting solution offers seamless integration into your pathways, casting a warm, sophisticated glow that effortlessly guides"&amp;" the way while enhancing the natural beauty of your architecture. Crafted for those who appreciate refined detail and discreet luxury, it adds an unparalleled touch of ambiance, warmth, and captivating security to any setting, making it the ultimate choic"&amp;"e for elevated architectural illumination.")</f>
        <v>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v>
      </c>
      <c r="G18" s="8" t="s">
        <v>29</v>
      </c>
      <c r="H18" s="9" t="str">
        <f>IFERROR(__xludf.DUMMYFUNCTION("AI(""Give me a paragraph marketing spiel for this product, no tech specs just marketing fluff under 180 characters "")"),"Elevate your space with elegant design and discreet luxury, creating a sophisticated, seamless glow.")</f>
        <v>Elevate your space with elegant design and discreet luxury, creating a sophisticated, seamless glow.</v>
      </c>
      <c r="I18" s="8" t="s">
        <v>30</v>
      </c>
      <c r="J18" s="17"/>
      <c r="K18" s="17"/>
      <c r="L18" s="10" t="s">
        <v>89</v>
      </c>
      <c r="M1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""&amp;L18)"),"Power|Voltage|IP Rating|AC Phase-Cut|Current Sinking|Current Sourcing|Duty Cycle|Variable Resistance")</f>
        <v>Power|Voltage|IP Rating|AC Phase-Cut|Current Sinking|Current Sourcing|Duty Cycle|Variable Resistance</v>
      </c>
      <c r="N18" s="12" t="s">
        <v>90</v>
      </c>
      <c r="O18" s="11" t="str">
        <f>IFERROR(__xludf.DUMMYFUNCTION("AI(""Using the labels""&amp;M18&amp;"" and values ""&amp;L18&amp;"" separated by character '|', Create a JSON object"")"),"{""Power"": ""30W"", ""Voltage"": ""12V"", ""IP Rating"": ""IP67"", ""AC Phase-Cut"": ""Triac"", ""Current Sinking"": ""0-10V"", ""Current Sourcing"": ""1-10V"", ""Duty Cycle"": ""PWM"", ""Variable Resistance"": ""Potentiometer""}")</f>
        <v>{"Power": "30W", "Voltage": "12V", "IP Rating": "IP67", "AC Phase-Cut": "Triac", "Current Sinking": "0-10V", "Current Sourcing": "1-10V", "Duty Cycle": "PWM", "Variable Resistance": "Potentiometer"}</v>
      </c>
      <c r="P18" s="12" t="s">
        <v>91</v>
      </c>
      <c r="Q18"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P18:P29)"),"{""Power"": [""30W"", ""60W"", ""100W"", ""150W"", ""200W"", ""300W""], ""Voltage"": [""12V"", ""24V""], ""IP Rating"": ""IP67"", ""AC Phase-Cut"": ""Triac"", ""Current Sinking"": ""0-10V"", ""Current Sourcing"": ""1-10V"", ""Duty Cycle"": ""PWM"", ""Vari"&amp;"able Resistance"": ""Potentiometer""}")</f>
        <v>{"Power": ["30W", "60W", "100W", "150W", "200W", "300W"], "Voltage": ["12V", "24V"], "IP Rating": "IP67", "AC Phase-Cut": "Triac", "Current Sinking": "0-10V", "Current Sourcing": "1-10V", "Duty Cycle": "PWM", "Variable Resistance": "Potentiometer"}</v>
      </c>
      <c r="R18" s="14" t="s">
        <v>92</v>
      </c>
      <c r="S18"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P18:P29)"),"{
""Options"": {
""Power"": [
{""name"": ""30W"", ""id"": ""101""},
{""name"": ""60W"", ""id"": ""102""},
{""name"": ""100W"", ""id"": ""103""},
{""name"": ""150W"", ""id"": ""104""},
{""name"": ""200W"", ""id"": ""105""},
{""name"": ""300W"", ""id"": ""1"&amp;"06""}
],
""Voltage"": [
{""name"": ""12V"", ""id"": ""107""},
{""name"": ""24V"", ""id"": ""108""}
],
""IP Rating"": [
{""name"": ""IP67"", ""id"": ""109""}
],
""AC Phase-Cut"": [
{""name"": ""Triac"", ""id"": ""110""}
],
""Current Sinking"": [
{""name"":"&amp;" ""0-10V"", ""id"": ""111""}
],
""Current Sourcing"": [
{""name"": ""1-10V"", ""id"": ""112""}
],
""Duty Cycle"": [
{""name"": ""PWM"", ""id"": ""113""}
],
""Variable Resistance"": [
{""name"": ""Potentiometer"", ""id"": ""114""}
]
},
""Constraints"": {}
"&amp;"}")</f>
        <v>{
"Options": {
"Power": [
{"name": "30W", "id": "101"},
{"name": "60W", "id": "102"},
{"name": "100W", "id": "103"},
{"name": "150W", "id": "104"},
{"name": "200W", "id": "105"},
{"name": "300W", "id": "106"}
],
"Voltage": [
{"name": "12V", "id": "107"},
{"name": "24V", "id": "108"}
],
"IP Rating": [
{"name": "IP67", "id": "109"}
],
"AC Phase-Cut": [
{"name": "Triac", "id": "110"}
],
"Current Sinking": [
{"name": "0-10V", "id": "111"}
],
"Current Sourcing": [
{"name": "1-10V", "id": "112"}
],
"Duty Cycle": [
{"name": "PWM", "id": "113"}
],
"Variable Resistance": [
{"name": "Potentiometer", "id": "114"}
]
},
"Constraints": {}
}</v>
      </c>
      <c r="T18" s="15" t="s">
        <v>93</v>
      </c>
      <c r="U18" s="14" t="s">
        <v>94</v>
      </c>
      <c r="V18" s="14" t="s">
        <v>95</v>
      </c>
      <c r="W18" s="14" t="s">
        <v>38</v>
      </c>
      <c r="X18" s="14" t="s">
        <v>96</v>
      </c>
      <c r="Y18" s="14" t="s">
        <v>40</v>
      </c>
      <c r="Z18" s="6"/>
    </row>
    <row r="19" ht="37.5" customHeight="1">
      <c r="A19" s="7"/>
      <c r="B19" s="17"/>
      <c r="C19" s="17"/>
      <c r="D19" s="17"/>
      <c r="E19" s="17"/>
      <c r="F19" s="18"/>
      <c r="G19" s="17"/>
      <c r="H19" s="18"/>
      <c r="I19" s="17"/>
      <c r="J19" s="17"/>
      <c r="K19" s="17"/>
      <c r="L19" s="10" t="s">
        <v>97</v>
      </c>
      <c r="M1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""&amp;L19)"),"Power|Voltage|IP Rating|AC Phase-Cut|Current Sinking|Current Sourcing|Duty Cycle|Variable Resistance")</f>
        <v>Power|Voltage|IP Rating|AC Phase-Cut|Current Sinking|Current Sourcing|Duty Cycle|Variable Resistance</v>
      </c>
      <c r="N19" s="12" t="s">
        <v>90</v>
      </c>
      <c r="O19" s="11" t="str">
        <f>IFERROR(__xludf.DUMMYFUNCTION("AI(""Using the labels""&amp;M19&amp;"" and values ""&amp;L19&amp;"" separated by character '|', Create a JSON object"")"),"{""Power"": ""30W"", ""Voltage"": ""24V"", ""IP Rating"": ""IP67"", ""AC Phase-Cut"": ""Triac"", ""Current Sinking"": ""0-10V"", ""Current Sourcing"": ""1-10V"", ""Duty Cycle"": ""PWM"", ""Variable Resistance"": ""Potentiometer""}")</f>
        <v>{"Power": "30W", "Voltage": "24V", "IP Rating": "IP67", "AC Phase-Cut": "Triac", "Current Sinking": "0-10V", "Current Sourcing": "1-10V", "Duty Cycle": "PWM", "Variable Resistance": "Potentiometer"}</v>
      </c>
      <c r="P19" s="12" t="s">
        <v>98</v>
      </c>
      <c r="Q19" s="19"/>
      <c r="R19" s="20"/>
      <c r="S19" s="19"/>
      <c r="T19" s="21"/>
      <c r="U19" s="20"/>
      <c r="V19" s="20"/>
      <c r="W19" s="14" t="s">
        <v>38</v>
      </c>
      <c r="X19" s="14" t="s">
        <v>99</v>
      </c>
      <c r="Y19" s="14" t="s">
        <v>40</v>
      </c>
      <c r="Z19" s="6"/>
    </row>
    <row r="20" ht="37.5" customHeight="1">
      <c r="A20" s="7"/>
      <c r="B20" s="17"/>
      <c r="C20" s="17"/>
      <c r="D20" s="17"/>
      <c r="E20" s="17"/>
      <c r="F20" s="18"/>
      <c r="G20" s="17"/>
      <c r="H20" s="18"/>
      <c r="I20" s="17"/>
      <c r="J20" s="17"/>
      <c r="K20" s="17"/>
      <c r="L20" s="10" t="s">
        <v>100</v>
      </c>
      <c r="M2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""&amp;L20)"),"Power|Voltage|IP Rating|AC Phase-Cut|Current Sinking|Current Sourcing|Duty Cycle|Variable Resistance")</f>
        <v>Power|Voltage|IP Rating|AC Phase-Cut|Current Sinking|Current Sourcing|Duty Cycle|Variable Resistance</v>
      </c>
      <c r="N20" s="12" t="s">
        <v>90</v>
      </c>
      <c r="O20" s="11" t="str">
        <f>IFERROR(__xludf.DUMMYFUNCTION("AI(""Using the labels""&amp;M20&amp;"" and values ""&amp;L20&amp;"" separated by character '|', Create a JSON object"")"),"{""Power"": ""60W"", ""Voltage"": ""12V"", ""IP Rating"": ""IP67"", ""AC Phase-Cut"": ""Triac"", ""Current Sinking"": ""0-10V"", ""Current Sourcing"": ""1-10V"", ""Duty Cycle"": ""PWM"", ""Variable Resistance"": ""Potentiometer""}")</f>
        <v>{"Power": "60W", "Voltage": "12V", "IP Rating": "IP67", "AC Phase-Cut": "Triac", "Current Sinking": "0-10V", "Current Sourcing": "1-10V", "Duty Cycle": "PWM", "Variable Resistance": "Potentiometer"}</v>
      </c>
      <c r="P20" s="12" t="s">
        <v>101</v>
      </c>
      <c r="Q20" s="19"/>
      <c r="R20" s="20"/>
      <c r="S20" s="19"/>
      <c r="T20" s="21"/>
      <c r="U20" s="20"/>
      <c r="V20" s="20"/>
      <c r="W20" s="14" t="s">
        <v>38</v>
      </c>
      <c r="X20" s="14" t="s">
        <v>102</v>
      </c>
      <c r="Y20" s="14" t="s">
        <v>40</v>
      </c>
      <c r="Z20" s="6"/>
    </row>
    <row r="21" ht="37.5" customHeight="1">
      <c r="A21" s="7"/>
      <c r="B21" s="17"/>
      <c r="C21" s="17"/>
      <c r="D21" s="17"/>
      <c r="E21" s="17"/>
      <c r="F21" s="18"/>
      <c r="G21" s="17"/>
      <c r="H21" s="18"/>
      <c r="I21" s="17"/>
      <c r="J21" s="17"/>
      <c r="K21" s="17"/>
      <c r="L21" s="10" t="s">
        <v>103</v>
      </c>
      <c r="M2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""&amp;L21)"),"Power|Voltage|IP Rating|AC Phase-Cut|Current Sinking|Current Sourcing|Duty Cycle|Variable Resistance")</f>
        <v>Power|Voltage|IP Rating|AC Phase-Cut|Current Sinking|Current Sourcing|Duty Cycle|Variable Resistance</v>
      </c>
      <c r="N21" s="12" t="s">
        <v>90</v>
      </c>
      <c r="O21" s="11" t="str">
        <f>IFERROR(__xludf.DUMMYFUNCTION("AI(""Using the labels""&amp;M21&amp;"" and values ""&amp;L21&amp;"" separated by character '|', Create a JSON object"")"),"{""Power"": ""60W"", ""Voltage"": ""24V"", ""IP Rating"": ""IP67"", ""AC Phase-Cut"": ""Triac"", ""Current Sinking"": ""0-10V"", ""Current Sourcing"": ""1-10V"", ""Duty Cycle"": ""PWM"", ""Variable Resistance"": ""Potentiometer""}")</f>
        <v>{"Power": "60W", "Voltage": "24V", "IP Rating": "IP67", "AC Phase-Cut": "Triac", "Current Sinking": "0-10V", "Current Sourcing": "1-10V", "Duty Cycle": "PWM", "Variable Resistance": "Potentiometer"}</v>
      </c>
      <c r="P21" s="12" t="s">
        <v>104</v>
      </c>
      <c r="Q21" s="19"/>
      <c r="R21" s="20"/>
      <c r="S21" s="19"/>
      <c r="T21" s="21"/>
      <c r="U21" s="20"/>
      <c r="V21" s="20"/>
      <c r="W21" s="14" t="s">
        <v>38</v>
      </c>
      <c r="X21" s="14" t="s">
        <v>105</v>
      </c>
      <c r="Y21" s="14" t="s">
        <v>40</v>
      </c>
      <c r="Z21" s="6"/>
    </row>
    <row r="22" ht="37.5" customHeight="1">
      <c r="A22" s="7"/>
      <c r="B22" s="17"/>
      <c r="C22" s="17"/>
      <c r="D22" s="17"/>
      <c r="E22" s="17"/>
      <c r="F22" s="18"/>
      <c r="G22" s="17"/>
      <c r="H22" s="18"/>
      <c r="I22" s="17"/>
      <c r="J22" s="17"/>
      <c r="K22" s="17"/>
      <c r="L22" s="10" t="s">
        <v>106</v>
      </c>
      <c r="M2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""&amp;L22)"),"Power|Voltage|IP Rating|AC Phase-Cut|Current Sinking|Current Sourcing|Duty Cycle|Variable Resistance")</f>
        <v>Power|Voltage|IP Rating|AC Phase-Cut|Current Sinking|Current Sourcing|Duty Cycle|Variable Resistance</v>
      </c>
      <c r="N22" s="12" t="s">
        <v>90</v>
      </c>
      <c r="O22" s="11" t="str">
        <f>IFERROR(__xludf.DUMMYFUNCTION("AI(""Using the labels""&amp;M22&amp;"" and values ""&amp;L22&amp;"" separated by character '|', Create a JSON object"")"),"{""Power"": ""100W"", ""Voltage"": ""12V"", ""IP Rating"": ""IP67"", ""AC Phase-Cut"": ""Triac"", ""Current Sinking"": ""0-10V"", ""Current Sourcing"": ""1-10V"", ""Duty Cycle"": ""PWM"", ""Variable Resistance"": ""Potentiometer""}")</f>
        <v>{"Power": "100W", "Voltage": "12V", "IP Rating": "IP67", "AC Phase-Cut": "Triac", "Current Sinking": "0-10V", "Current Sourcing": "1-10V", "Duty Cycle": "PWM", "Variable Resistance": "Potentiometer"}</v>
      </c>
      <c r="P22" s="12" t="s">
        <v>107</v>
      </c>
      <c r="Q22" s="19"/>
      <c r="R22" s="20"/>
      <c r="S22" s="19"/>
      <c r="T22" s="21"/>
      <c r="U22" s="20"/>
      <c r="V22" s="20"/>
      <c r="W22" s="14" t="s">
        <v>38</v>
      </c>
      <c r="X22" s="14" t="s">
        <v>108</v>
      </c>
      <c r="Y22" s="14" t="s">
        <v>40</v>
      </c>
      <c r="Z22" s="6"/>
    </row>
    <row r="23" ht="37.5" customHeight="1">
      <c r="A23" s="7"/>
      <c r="B23" s="17"/>
      <c r="C23" s="17"/>
      <c r="D23" s="17"/>
      <c r="E23" s="17"/>
      <c r="F23" s="18"/>
      <c r="G23" s="17"/>
      <c r="H23" s="18"/>
      <c r="I23" s="17"/>
      <c r="J23" s="17"/>
      <c r="K23" s="17"/>
      <c r="L23" s="10" t="s">
        <v>109</v>
      </c>
      <c r="M2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""&amp;L23)"),"Power|Voltage|IP Rating|AC Phase-Cut|Current Sinking|Current Sourcing|Duty Cycle|Variable Resistance")</f>
        <v>Power|Voltage|IP Rating|AC Phase-Cut|Current Sinking|Current Sourcing|Duty Cycle|Variable Resistance</v>
      </c>
      <c r="N23" s="12" t="s">
        <v>90</v>
      </c>
      <c r="O23" s="11" t="str">
        <f>IFERROR(__xludf.DUMMYFUNCTION("AI(""Using the labels""&amp;M23&amp;"" and values ""&amp;L23&amp;"" separated by character '|', Create a JSON object"")"),"{""Power"": ""100W"", ""Voltage"": ""24V"", ""IP Rating"": ""IP67"", ""AC Phase-Cut"": ""Triac"", ""Current Sinking"": ""0-10V"", ""Current Sourcing"": ""1-10V"", ""Duty Cycle"": ""PWM"", ""Variable Resistance"": ""Potentiometer""}")</f>
        <v>{"Power": "100W", "Voltage": "24V", "IP Rating": "IP67", "AC Phase-Cut": "Triac", "Current Sinking": "0-10V", "Current Sourcing": "1-10V", "Duty Cycle": "PWM", "Variable Resistance": "Potentiometer"}</v>
      </c>
      <c r="P23" s="12" t="s">
        <v>110</v>
      </c>
      <c r="Q23" s="19"/>
      <c r="R23" s="20"/>
      <c r="S23" s="19"/>
      <c r="T23" s="21"/>
      <c r="U23" s="20"/>
      <c r="V23" s="20"/>
      <c r="W23" s="14" t="s">
        <v>38</v>
      </c>
      <c r="X23" s="14" t="s">
        <v>111</v>
      </c>
      <c r="Y23" s="14" t="s">
        <v>40</v>
      </c>
      <c r="Z23" s="6"/>
    </row>
    <row r="24" ht="37.5" customHeight="1">
      <c r="A24" s="7"/>
      <c r="B24" s="17"/>
      <c r="C24" s="17"/>
      <c r="D24" s="17"/>
      <c r="E24" s="17"/>
      <c r="F24" s="18"/>
      <c r="G24" s="17"/>
      <c r="H24" s="18"/>
      <c r="I24" s="17"/>
      <c r="J24" s="17"/>
      <c r="K24" s="17"/>
      <c r="L24" s="10" t="s">
        <v>112</v>
      </c>
      <c r="M2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""&amp;L24)"),"Power|Voltage|IP Rating|AC Phase-Cut|Current Sinking|Current Sourcing|Duty Cycle|Variable Resistance")</f>
        <v>Power|Voltage|IP Rating|AC Phase-Cut|Current Sinking|Current Sourcing|Duty Cycle|Variable Resistance</v>
      </c>
      <c r="N24" s="12" t="s">
        <v>90</v>
      </c>
      <c r="O24" s="11" t="str">
        <f>IFERROR(__xludf.DUMMYFUNCTION("AI(""Using the labels""&amp;M24&amp;"" and values ""&amp;L24&amp;"" separated by character '|', Create a JSON object"")"),"{""Power"": ""150W"", ""Voltage"": ""12V"", ""IP Rating"": ""IP67"", ""AC Phase-Cut"": ""Triac"", ""Current Sinking"": ""0-10V"", ""Current Sourcing"": ""1-10V"", ""Duty Cycle"": ""PWM"", ""Variable Resistance"": ""Potentiometer""}")</f>
        <v>{"Power": "150W", "Voltage": "12V", "IP Rating": "IP67", "AC Phase-Cut": "Triac", "Current Sinking": "0-10V", "Current Sourcing": "1-10V", "Duty Cycle": "PWM", "Variable Resistance": "Potentiometer"}</v>
      </c>
      <c r="P24" s="12" t="s">
        <v>113</v>
      </c>
      <c r="Q24" s="19"/>
      <c r="R24" s="20"/>
      <c r="S24" s="19"/>
      <c r="T24" s="21"/>
      <c r="U24" s="20"/>
      <c r="V24" s="20"/>
      <c r="W24" s="14" t="s">
        <v>38</v>
      </c>
      <c r="X24" s="14" t="s">
        <v>114</v>
      </c>
      <c r="Y24" s="14" t="s">
        <v>40</v>
      </c>
      <c r="Z24" s="6"/>
    </row>
    <row r="25" ht="37.5" customHeight="1">
      <c r="A25" s="7"/>
      <c r="B25" s="17"/>
      <c r="C25" s="17"/>
      <c r="D25" s="17"/>
      <c r="E25" s="17"/>
      <c r="F25" s="18"/>
      <c r="G25" s="17"/>
      <c r="H25" s="18"/>
      <c r="I25" s="17"/>
      <c r="J25" s="17"/>
      <c r="K25" s="17"/>
      <c r="L25" s="10" t="s">
        <v>115</v>
      </c>
      <c r="M2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""&amp;L25)"),"Power|Voltage|IP Rating|AC Phase-Cut|Current Sinking|Current Sourcing|Duty Cycle|Variable Resistance")</f>
        <v>Power|Voltage|IP Rating|AC Phase-Cut|Current Sinking|Current Sourcing|Duty Cycle|Variable Resistance</v>
      </c>
      <c r="N25" s="12" t="s">
        <v>90</v>
      </c>
      <c r="O25" s="11" t="str">
        <f>IFERROR(__xludf.DUMMYFUNCTION("AI(""Using the labels""&amp;M25&amp;"" and values ""&amp;L25&amp;"" separated by character '|', Create a JSON object"")"),"{""Power"": ""150W"", ""Voltage"": ""24V"", ""IP Rating"": ""IP67"", ""AC Phase-Cut"": ""Triac"", ""Current Sinking"": ""0-10V"", ""Current Sourcing"": ""1-10V"", ""Duty Cycle"": ""PWM"", ""Variable Resistance"": ""Potentiometer""}")</f>
        <v>{"Power": "150W", "Voltage": "24V", "IP Rating": "IP67", "AC Phase-Cut": "Triac", "Current Sinking": "0-10V", "Current Sourcing": "1-10V", "Duty Cycle": "PWM", "Variable Resistance": "Potentiometer"}</v>
      </c>
      <c r="P25" s="12" t="s">
        <v>116</v>
      </c>
      <c r="Q25" s="19"/>
      <c r="R25" s="20"/>
      <c r="S25" s="19"/>
      <c r="T25" s="21"/>
      <c r="U25" s="20"/>
      <c r="V25" s="20"/>
      <c r="W25" s="14" t="s">
        <v>38</v>
      </c>
      <c r="X25" s="14" t="s">
        <v>117</v>
      </c>
      <c r="Y25" s="14" t="s">
        <v>40</v>
      </c>
      <c r="Z25" s="6"/>
    </row>
    <row r="26" ht="37.5" customHeight="1">
      <c r="A26" s="7"/>
      <c r="B26" s="17"/>
      <c r="C26" s="17"/>
      <c r="D26" s="17"/>
      <c r="E26" s="17"/>
      <c r="F26" s="18"/>
      <c r="G26" s="17"/>
      <c r="H26" s="18"/>
      <c r="I26" s="17"/>
      <c r="J26" s="17"/>
      <c r="K26" s="17"/>
      <c r="L26" s="10" t="s">
        <v>118</v>
      </c>
      <c r="M2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""&amp;L26)"),"Power|Voltage|IP Rating|AC Phase-Cut|Current Sinking|Current Sourcing|Duty Cycle|Variable Resistance")</f>
        <v>Power|Voltage|IP Rating|AC Phase-Cut|Current Sinking|Current Sourcing|Duty Cycle|Variable Resistance</v>
      </c>
      <c r="N26" s="12" t="s">
        <v>90</v>
      </c>
      <c r="O26" s="11" t="str">
        <f>IFERROR(__xludf.DUMMYFUNCTION("AI(""Using the labels""&amp;M26&amp;"" and values ""&amp;L26&amp;"" separated by character '|', Create a JSON object"")"),"{""Power"": ""200W"", ""Voltage"": ""24V"", ""IP Rating"": ""IP67"", ""AC Phase-Cut"": ""Triac"", ""Current Sinking"": ""0-10V"", ""Current Sourcing"": ""1-10V"", ""Duty Cycle"": ""PWM"", ""Variable Resistance"": ""Potentiometer""}")</f>
        <v>{"Power": "200W", "Voltage": "24V", "IP Rating": "IP67", "AC Phase-Cut": "Triac", "Current Sinking": "0-10V", "Current Sourcing": "1-10V", "Duty Cycle": "PWM", "Variable Resistance": "Potentiometer"}</v>
      </c>
      <c r="P26" s="12" t="s">
        <v>119</v>
      </c>
      <c r="Q26" s="19"/>
      <c r="R26" s="20"/>
      <c r="S26" s="19"/>
      <c r="T26" s="21"/>
      <c r="U26" s="20"/>
      <c r="V26" s="20"/>
      <c r="W26" s="14" t="s">
        <v>38</v>
      </c>
      <c r="X26" s="14" t="s">
        <v>120</v>
      </c>
      <c r="Y26" s="14" t="s">
        <v>40</v>
      </c>
      <c r="Z26" s="6"/>
    </row>
    <row r="27" ht="37.5" customHeight="1">
      <c r="A27" s="7"/>
      <c r="B27" s="17"/>
      <c r="C27" s="17"/>
      <c r="D27" s="17"/>
      <c r="E27" s="17"/>
      <c r="F27" s="18"/>
      <c r="G27" s="17"/>
      <c r="H27" s="18"/>
      <c r="I27" s="17"/>
      <c r="J27" s="17"/>
      <c r="K27" s="17"/>
      <c r="L27" s="10" t="s">
        <v>121</v>
      </c>
      <c r="M2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""&amp;L27)"),"Power|Voltage|IP Rating|AC Phase-Cut|Current Sinking|Current Sourcing|Duty Cycle|Variable Resistance")</f>
        <v>Power|Voltage|IP Rating|AC Phase-Cut|Current Sinking|Current Sourcing|Duty Cycle|Variable Resistance</v>
      </c>
      <c r="N27" s="12" t="s">
        <v>90</v>
      </c>
      <c r="O27" s="11" t="str">
        <f>IFERROR(__xludf.DUMMYFUNCTION("AI(""Using the labels""&amp;M27&amp;"" and values ""&amp;L27&amp;"" separated by character '|', Create a JSON object"")"),"{""Power"": ""200W"", ""Voltage"": ""12V"", ""IP Rating"": ""IP67"", ""AC Phase-Cut"": ""Triac"", ""Current Sinking"": ""0-10V"", ""Current Sourcing"": ""1-10V"", ""Duty Cycle"": ""PWM"", ""Variable Resistance"": ""Potentiometer""}")</f>
        <v>{"Power": "200W", "Voltage": "12V", "IP Rating": "IP67", "AC Phase-Cut": "Triac", "Current Sinking": "0-10V", "Current Sourcing": "1-10V", "Duty Cycle": "PWM", "Variable Resistance": "Potentiometer"}</v>
      </c>
      <c r="P27" s="12" t="s">
        <v>122</v>
      </c>
      <c r="Q27" s="19"/>
      <c r="R27" s="20"/>
      <c r="S27" s="19"/>
      <c r="T27" s="21"/>
      <c r="U27" s="20"/>
      <c r="V27" s="20"/>
      <c r="W27" s="14" t="s">
        <v>38</v>
      </c>
      <c r="X27" s="14" t="s">
        <v>123</v>
      </c>
      <c r="Y27" s="14" t="s">
        <v>40</v>
      </c>
      <c r="Z27" s="6"/>
    </row>
    <row r="28" ht="37.5" customHeight="1">
      <c r="A28" s="7"/>
      <c r="B28" s="17"/>
      <c r="C28" s="17"/>
      <c r="D28" s="17"/>
      <c r="E28" s="17"/>
      <c r="F28" s="18"/>
      <c r="G28" s="17"/>
      <c r="H28" s="18"/>
      <c r="I28" s="17"/>
      <c r="J28" s="17"/>
      <c r="K28" s="17"/>
      <c r="L28" s="10" t="s">
        <v>124</v>
      </c>
      <c r="M2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""&amp;L28)"),"Power|Voltage|IP Rating|AC Phase-Cut|Current Sinking|Current Sourcing|Duty Cycle|Variable Resistance")</f>
        <v>Power|Voltage|IP Rating|AC Phase-Cut|Current Sinking|Current Sourcing|Duty Cycle|Variable Resistance</v>
      </c>
      <c r="N28" s="12" t="s">
        <v>90</v>
      </c>
      <c r="O28" s="11" t="str">
        <f>IFERROR(__xludf.DUMMYFUNCTION("AI(""Using the labels""&amp;M28&amp;"" and values ""&amp;L28&amp;"" separated by character '|', Create a JSON object"")"),"{""Power"": ""300W"", ""Voltage"": ""12V"", ""IP Rating"": ""IP67"", ""AC Phase-Cut"": ""Triac"", ""Current Sinking"": ""0-10V"", ""Current Sourcing"": ""1-10V"", ""Duty Cycle"": ""PWM"", ""Variable Resistance"": ""Potentiometer""}")</f>
        <v>{"Power": "300W", "Voltage": "12V", "IP Rating": "IP67", "AC Phase-Cut": "Triac", "Current Sinking": "0-10V", "Current Sourcing": "1-10V", "Duty Cycle": "PWM", "Variable Resistance": "Potentiometer"}</v>
      </c>
      <c r="P28" s="12" t="s">
        <v>125</v>
      </c>
      <c r="Q28" s="19"/>
      <c r="R28" s="20"/>
      <c r="S28" s="19"/>
      <c r="T28" s="21"/>
      <c r="U28" s="20"/>
      <c r="V28" s="20"/>
      <c r="W28" s="14" t="s">
        <v>38</v>
      </c>
      <c r="X28" s="14" t="s">
        <v>126</v>
      </c>
      <c r="Y28" s="14" t="s">
        <v>40</v>
      </c>
      <c r="Z28" s="6"/>
    </row>
    <row r="29" ht="37.5" customHeight="1">
      <c r="A29" s="7"/>
      <c r="B29" s="17"/>
      <c r="C29" s="17"/>
      <c r="D29" s="17"/>
      <c r="E29" s="17"/>
      <c r="F29" s="18"/>
      <c r="G29" s="17"/>
      <c r="H29" s="18"/>
      <c r="I29" s="17"/>
      <c r="J29" s="17"/>
      <c r="K29" s="17"/>
      <c r="L29" s="10" t="s">
        <v>127</v>
      </c>
      <c r="M2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""&amp;L29)"),"Power|Voltage|IP Rating|AC Phase-Cut|Current Sinking|Current Sourcing|Duty Cycle|Variable Resistance")</f>
        <v>Power|Voltage|IP Rating|AC Phase-Cut|Current Sinking|Current Sourcing|Duty Cycle|Variable Resistance</v>
      </c>
      <c r="N29" s="12" t="s">
        <v>90</v>
      </c>
      <c r="O29" s="11" t="str">
        <f>IFERROR(__xludf.DUMMYFUNCTION("AI(""Using the labels""&amp;M29&amp;"" and values ""&amp;L29&amp;"" separated by character '|', Create a JSON object"")"),"{""Power"": ""300W"", ""Voltage"": ""24V"", ""IP Rating"": ""IP67"", ""AC Phase-Cut"": ""Triac"", ""Current Sinking"": ""0-10V"", ""Current Sourcing"": ""1-10V"", ""Duty Cycle"": ""PWM"", ""Variable Resistance"": ""Potentiometer""}")</f>
        <v>{"Power": "300W", "Voltage": "24V", "IP Rating": "IP67", "AC Phase-Cut": "Triac", "Current Sinking": "0-10V", "Current Sourcing": "1-10V", "Duty Cycle": "PWM", "Variable Resistance": "Potentiometer"}</v>
      </c>
      <c r="P29" s="12" t="s">
        <v>128</v>
      </c>
      <c r="Q29" s="19"/>
      <c r="R29" s="20"/>
      <c r="S29" s="19"/>
      <c r="T29" s="21"/>
      <c r="U29" s="20"/>
      <c r="V29" s="20"/>
      <c r="W29" s="14" t="s">
        <v>38</v>
      </c>
      <c r="X29" s="14" t="s">
        <v>129</v>
      </c>
      <c r="Y29" s="14" t="s">
        <v>40</v>
      </c>
      <c r="Z29" s="6"/>
    </row>
    <row r="30" ht="37.5" customHeight="1">
      <c r="A30" s="7" t="s">
        <v>130</v>
      </c>
      <c r="B30" s="8" t="s">
        <v>131</v>
      </c>
      <c r="C30" s="8" t="s">
        <v>27</v>
      </c>
      <c r="D30" s="8" t="s">
        <v>131</v>
      </c>
      <c r="E30" s="8" t="s">
        <v>28</v>
      </c>
      <c r="F30" s="9" t="str">
        <f>IFERROR(__xludf.DUMMYFUNCTION("AI(""Give me a paragraph marketing spiel for this product, no tech specs just marketing fluff "")"),"Elevate your spaces into a breathtaking visual journey of elegant design and discreet luxury with a sophisticated, seamless glow. This premium dimmable driver offers the perfect blend of modern innovation and refined elegance, effortlessly transforming yo"&amp;"ur environment into a warm, welcoming retreat. Designed for those who appreciate flawless execution and an unparalleled touch of ambiance, it beautifully highlights your architecture to create a captivating and serene atmosphere. Unwind in the stunning, s"&amp;"oft illumination that brings your vision to life and makes every evening feel truly magical.")</f>
        <v>Elevate your spaces into a breathtaking visual journey of elegant design and discreet luxury with a sophisticated, seamless glow. This premium dimmable driver offers the perfect blend of modern innovation and refined elegance, effortlessly transforming your environment into a warm, welcoming retreat. Designed for those who appreciate flawless execution and an unparalleled touch of ambiance, it beautifully highlights your architecture to create a captivating and serene atmosphere. Unwind in the stunning, soft illumination that brings your vision to life and makes every evening feel truly magical.</v>
      </c>
      <c r="G30" s="8" t="s">
        <v>132</v>
      </c>
      <c r="H30" s="9" t="str">
        <f>IFERROR(__xludf.DUMMYFUNCTION("AI(""Give me a paragraph marketing spiel for this product, no tech specs just marketing fluff under 180 characters "")"),"Transform your space with elegant design and discreet luxury. Enjoy a sophisticated, seamless glow that brings your vision to life and makes every moment feel truly magical.")</f>
        <v>Transform your space with elegant design and discreet luxury. Enjoy a sophisticated, seamless glow that brings your vision to life and makes every moment feel truly magical.</v>
      </c>
      <c r="I30" s="8" t="s">
        <v>133</v>
      </c>
      <c r="J30" s="17"/>
      <c r="K30" s="17"/>
      <c r="L30" s="10" t="s">
        <v>50</v>
      </c>
      <c r="M3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""&amp;L30)"),"Power|Voltage|IP Rating")</f>
        <v>Power|Voltage|IP Rating</v>
      </c>
      <c r="N30" s="12" t="s">
        <v>32</v>
      </c>
      <c r="O30" s="11" t="str">
        <f>IFERROR(__xludf.DUMMYFUNCTION("AI(""Using the labels""&amp;M30&amp;"" and values ""&amp;L30&amp;"" separated by character '|', Create a JSON object"")"),"{""Power"": ""60W"", ""Voltage"": ""12V"", ""IP Rating"": ""IP67""}")</f>
        <v>{"Power": "60W", "Voltage": "12V", "IP Rating": "IP67"}</v>
      </c>
      <c r="P30" s="12" t="s">
        <v>51</v>
      </c>
      <c r="Q30"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P30:P40)"),"{""Power"": [""60W"", ""100W"", ""150W"", ""200W"", ""300W"", ""360W""], ""Voltage"": [""12V"", ""24V""], ""IP Rating"": ""IP67""}")</f>
        <v>{"Power": ["60W", "100W", "150W", "200W", "300W", "360W"], "Voltage": ["12V", "24V"], "IP Rating": "IP67"}</v>
      </c>
      <c r="R30" s="14" t="s">
        <v>134</v>
      </c>
      <c r="S30"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P30:P40)"),"{
""Options"": {
""Power"": [
{""name"": ""60W"", ""id"": ""101""},
{""name"": ""100W"", ""id"": ""102""},
{""name"": ""150W"", ""id"": ""103""},
{""name"": ""200W"", ""id"": ""104""},
{""name"": ""300W"", ""id"": ""105""},
{""name"": ""360W"", ""id"": """&amp;"106""}
],
""Voltage"": [
{""name"": ""12V"", ""id"": ""107""},
{""name"": ""24V"", ""id"": ""108""}
],
""IP Rating"": [
{""name"": ""IP67"", ""id"": ""109""}
]
},
""Constraints"": {
""106"": [""107""]
}
}")</f>
        <v>{
"Options": {
"Power": [
{"name": "60W", "id": "101"},
{"name": "100W", "id": "102"},
{"name": "150W", "id": "103"},
{"name": "200W", "id": "104"},
{"name": "300W", "id": "105"},
{"name": "360W", "id": "106"}
],
"Voltage": [
{"name": "12V", "id": "107"},
{"name": "24V", "id": "108"}
],
"IP Rating": [
{"name": "IP67", "id": "109"}
]
},
"Constraints": {
"106": ["107"]
}
}</v>
      </c>
      <c r="T30" s="15" t="s">
        <v>135</v>
      </c>
      <c r="U30" s="14" t="s">
        <v>136</v>
      </c>
      <c r="V30" s="14" t="s">
        <v>137</v>
      </c>
      <c r="W30" s="14" t="s">
        <v>38</v>
      </c>
      <c r="X30" s="14" t="s">
        <v>138</v>
      </c>
      <c r="Y30" s="14" t="s">
        <v>40</v>
      </c>
      <c r="Z30" s="6"/>
    </row>
    <row r="31" ht="37.5" customHeight="1">
      <c r="A31" s="7"/>
      <c r="B31" s="17"/>
      <c r="C31" s="17"/>
      <c r="D31" s="17"/>
      <c r="E31" s="17"/>
      <c r="F31" s="18"/>
      <c r="G31" s="17"/>
      <c r="H31" s="18"/>
      <c r="I31" s="17"/>
      <c r="J31" s="17"/>
      <c r="K31" s="17"/>
      <c r="L31" s="10" t="s">
        <v>53</v>
      </c>
      <c r="M3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""&amp;L31)"),"Power|Voltage|IP Rating")</f>
        <v>Power|Voltage|IP Rating</v>
      </c>
      <c r="N31" s="12" t="s">
        <v>32</v>
      </c>
      <c r="O31" s="11" t="str">
        <f>IFERROR(__xludf.DUMMYFUNCTION("AI(""Using the labels""&amp;M31&amp;"" and values ""&amp;L31&amp;"" separated by character '|', Create a JSON object"")"),"{""Power"": ""60W"", ""Voltage"": ""24V"", ""IP Rating"": ""IP67""}")</f>
        <v>{"Power": "60W", "Voltage": "24V", "IP Rating": "IP67"}</v>
      </c>
      <c r="P31" s="12" t="s">
        <v>54</v>
      </c>
      <c r="Q31" s="19"/>
      <c r="R31" s="20"/>
      <c r="S31" s="19"/>
      <c r="T31" s="21"/>
      <c r="U31" s="20"/>
      <c r="V31" s="20"/>
      <c r="W31" s="14" t="s">
        <v>38</v>
      </c>
      <c r="X31" s="14" t="s">
        <v>139</v>
      </c>
      <c r="Y31" s="14" t="s">
        <v>40</v>
      </c>
      <c r="Z31" s="6"/>
    </row>
    <row r="32" ht="37.5" customHeight="1">
      <c r="A32" s="7"/>
      <c r="B32" s="17"/>
      <c r="C32" s="17"/>
      <c r="D32" s="17"/>
      <c r="E32" s="17"/>
      <c r="F32" s="18"/>
      <c r="G32" s="17"/>
      <c r="H32" s="18"/>
      <c r="I32" s="17"/>
      <c r="J32" s="17"/>
      <c r="K32" s="17"/>
      <c r="L32" s="10" t="s">
        <v>56</v>
      </c>
      <c r="M3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""&amp;L32)"),"Power|Voltage|IP Rating")</f>
        <v>Power|Voltage|IP Rating</v>
      </c>
      <c r="N32" s="12" t="s">
        <v>32</v>
      </c>
      <c r="O32" s="11" t="str">
        <f>IFERROR(__xludf.DUMMYFUNCTION("AI(""Using the labels""&amp;M32&amp;"" and values ""&amp;L32&amp;"" separated by character '|', Create a JSON object"")"),"{""Power"": ""100W"", ""Voltage"": ""12V"", ""IP Rating"": ""IP67""}")</f>
        <v>{"Power": "100W", "Voltage": "12V", "IP Rating": "IP67"}</v>
      </c>
      <c r="P32" s="12" t="s">
        <v>57</v>
      </c>
      <c r="Q32" s="19"/>
      <c r="R32" s="20"/>
      <c r="S32" s="19"/>
      <c r="T32" s="21"/>
      <c r="U32" s="20"/>
      <c r="V32" s="20"/>
      <c r="W32" s="14" t="s">
        <v>38</v>
      </c>
      <c r="X32" s="14" t="s">
        <v>140</v>
      </c>
      <c r="Y32" s="14" t="s">
        <v>40</v>
      </c>
      <c r="Z32" s="6"/>
    </row>
    <row r="33" ht="37.5" customHeight="1">
      <c r="A33" s="7"/>
      <c r="B33" s="17"/>
      <c r="C33" s="17"/>
      <c r="D33" s="17"/>
      <c r="E33" s="17"/>
      <c r="F33" s="18"/>
      <c r="G33" s="17"/>
      <c r="H33" s="18"/>
      <c r="I33" s="17"/>
      <c r="J33" s="17"/>
      <c r="K33" s="17"/>
      <c r="L33" s="10" t="s">
        <v>59</v>
      </c>
      <c r="M3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""&amp;L33)"),"Power|Voltage|IP Rating")</f>
        <v>Power|Voltage|IP Rating</v>
      </c>
      <c r="N33" s="12" t="s">
        <v>32</v>
      </c>
      <c r="O33" s="11" t="str">
        <f>IFERROR(__xludf.DUMMYFUNCTION("AI(""Using the labels""&amp;M33&amp;"" and values ""&amp;L33&amp;"" separated by character '|', Create a JSON object"")"),"{""Power"": ""100W"", ""Voltage"": ""24V"", ""IP Rating"": ""IP67""}")</f>
        <v>{"Power": "100W", "Voltage": "24V", "IP Rating": "IP67"}</v>
      </c>
      <c r="P33" s="12" t="s">
        <v>60</v>
      </c>
      <c r="Q33" s="19"/>
      <c r="R33" s="20"/>
      <c r="S33" s="19"/>
      <c r="T33" s="21"/>
      <c r="U33" s="20"/>
      <c r="V33" s="20"/>
      <c r="W33" s="14" t="s">
        <v>38</v>
      </c>
      <c r="X33" s="14" t="s">
        <v>141</v>
      </c>
      <c r="Y33" s="14" t="s">
        <v>40</v>
      </c>
      <c r="Z33" s="6"/>
    </row>
    <row r="34" ht="37.5" customHeight="1">
      <c r="A34" s="7"/>
      <c r="B34" s="17"/>
      <c r="C34" s="17"/>
      <c r="D34" s="17"/>
      <c r="E34" s="17"/>
      <c r="F34" s="18"/>
      <c r="G34" s="17"/>
      <c r="H34" s="18"/>
      <c r="I34" s="17"/>
      <c r="J34" s="17"/>
      <c r="K34" s="17"/>
      <c r="L34" s="10" t="s">
        <v>62</v>
      </c>
      <c r="M3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""&amp;L34)"),"Power|Voltage|IP Rating")</f>
        <v>Power|Voltage|IP Rating</v>
      </c>
      <c r="N34" s="12" t="s">
        <v>32</v>
      </c>
      <c r="O34" s="11" t="str">
        <f>IFERROR(__xludf.DUMMYFUNCTION("AI(""Using the labels""&amp;M34&amp;"" and values ""&amp;L34&amp;"" separated by character '|', Create a JSON object"")"),"{""Power"": ""150W"", ""Voltage"": ""12V"", ""IP Rating"": ""IP67""}")</f>
        <v>{"Power": "150W", "Voltage": "12V", "IP Rating": "IP67"}</v>
      </c>
      <c r="P34" s="12" t="s">
        <v>63</v>
      </c>
      <c r="Q34" s="19"/>
      <c r="R34" s="20"/>
      <c r="S34" s="19"/>
      <c r="T34" s="21"/>
      <c r="U34" s="20"/>
      <c r="V34" s="20"/>
      <c r="W34" s="14" t="s">
        <v>38</v>
      </c>
      <c r="X34" s="14" t="s">
        <v>142</v>
      </c>
      <c r="Y34" s="14" t="s">
        <v>40</v>
      </c>
      <c r="Z34" s="6"/>
    </row>
    <row r="35" ht="37.5" customHeight="1">
      <c r="A35" s="7"/>
      <c r="B35" s="17"/>
      <c r="C35" s="17"/>
      <c r="D35" s="17"/>
      <c r="E35" s="17"/>
      <c r="F35" s="18"/>
      <c r="G35" s="17"/>
      <c r="H35" s="18"/>
      <c r="I35" s="17"/>
      <c r="J35" s="17"/>
      <c r="K35" s="17"/>
      <c r="L35" s="10" t="s">
        <v>65</v>
      </c>
      <c r="M3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""&amp;L35)"),"Power|Voltage|IP Rating")</f>
        <v>Power|Voltage|IP Rating</v>
      </c>
      <c r="N35" s="12" t="s">
        <v>32</v>
      </c>
      <c r="O35" s="11" t="str">
        <f>IFERROR(__xludf.DUMMYFUNCTION("AI(""Using the labels""&amp;M35&amp;"" and values ""&amp;L35&amp;"" separated by character '|', Create a JSON object"")"),"{""Power"": ""150W"", ""Voltage"": ""24V"", ""IP Rating"": ""IP67""}")</f>
        <v>{"Power": "150W", "Voltage": "24V", "IP Rating": "IP67"}</v>
      </c>
      <c r="P35" s="12" t="s">
        <v>66</v>
      </c>
      <c r="Q35" s="19"/>
      <c r="R35" s="20"/>
      <c r="S35" s="19"/>
      <c r="T35" s="21"/>
      <c r="U35" s="20"/>
      <c r="V35" s="20"/>
      <c r="W35" s="14" t="s">
        <v>38</v>
      </c>
      <c r="X35" s="14" t="s">
        <v>143</v>
      </c>
      <c r="Y35" s="14" t="s">
        <v>40</v>
      </c>
      <c r="Z35" s="6"/>
    </row>
    <row r="36" ht="37.5" customHeight="1">
      <c r="A36" s="7"/>
      <c r="B36" s="17"/>
      <c r="C36" s="17"/>
      <c r="D36" s="17"/>
      <c r="E36" s="17"/>
      <c r="F36" s="18"/>
      <c r="G36" s="17"/>
      <c r="H36" s="18"/>
      <c r="I36" s="17"/>
      <c r="J36" s="17"/>
      <c r="K36" s="17"/>
      <c r="L36" s="10" t="s">
        <v>68</v>
      </c>
      <c r="M3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""&amp;L36)"),"Power|Voltage|IP Rating")</f>
        <v>Power|Voltage|IP Rating</v>
      </c>
      <c r="N36" s="12" t="s">
        <v>32</v>
      </c>
      <c r="O36" s="11" t="str">
        <f>IFERROR(__xludf.DUMMYFUNCTION("AI(""Using the labels""&amp;M36&amp;"" and values ""&amp;L36&amp;"" separated by character '|', Create a JSON object"")"),"{""Power"": ""200W"", ""Voltage"": ""12V"", ""IP Rating"": ""IP67""}")</f>
        <v>{"Power": "200W", "Voltage": "12V", "IP Rating": "IP67"}</v>
      </c>
      <c r="P36" s="12" t="s">
        <v>69</v>
      </c>
      <c r="Q36" s="19"/>
      <c r="R36" s="20"/>
      <c r="S36" s="19"/>
      <c r="T36" s="21"/>
      <c r="U36" s="20"/>
      <c r="V36" s="20"/>
      <c r="W36" s="14" t="s">
        <v>38</v>
      </c>
      <c r="X36" s="14" t="s">
        <v>144</v>
      </c>
      <c r="Y36" s="14" t="s">
        <v>40</v>
      </c>
      <c r="Z36" s="6"/>
    </row>
    <row r="37" ht="37.5" customHeight="1">
      <c r="A37" s="7"/>
      <c r="B37" s="17"/>
      <c r="C37" s="17"/>
      <c r="D37" s="17"/>
      <c r="E37" s="17"/>
      <c r="F37" s="18"/>
      <c r="G37" s="17"/>
      <c r="H37" s="18"/>
      <c r="I37" s="17"/>
      <c r="J37" s="17"/>
      <c r="K37" s="17"/>
      <c r="L37" s="10" t="s">
        <v>71</v>
      </c>
      <c r="M3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""&amp;L37)"),"Power|Voltage|IP Rating")</f>
        <v>Power|Voltage|IP Rating</v>
      </c>
      <c r="N37" s="12" t="s">
        <v>32</v>
      </c>
      <c r="O37" s="11" t="str">
        <f>IFERROR(__xludf.DUMMYFUNCTION("AI(""Using the labels""&amp;M37&amp;"" and values ""&amp;L37&amp;"" separated by character '|', Create a JSON object"")"),"{""Power"": ""200W"", ""Voltage"": ""24V"", ""IP Rating"": ""IP67""}")</f>
        <v>{"Power": "200W", "Voltage": "24V", "IP Rating": "IP67"}</v>
      </c>
      <c r="P37" s="12" t="s">
        <v>72</v>
      </c>
      <c r="Q37" s="19"/>
      <c r="R37" s="20"/>
      <c r="S37" s="19"/>
      <c r="T37" s="21"/>
      <c r="U37" s="20"/>
      <c r="V37" s="20"/>
      <c r="W37" s="14" t="s">
        <v>38</v>
      </c>
      <c r="X37" s="14" t="s">
        <v>145</v>
      </c>
      <c r="Y37" s="14" t="s">
        <v>40</v>
      </c>
      <c r="Z37" s="6"/>
    </row>
    <row r="38" ht="37.5" customHeight="1">
      <c r="A38" s="7"/>
      <c r="B38" s="17"/>
      <c r="C38" s="17"/>
      <c r="D38" s="17"/>
      <c r="E38" s="17"/>
      <c r="F38" s="18"/>
      <c r="G38" s="17"/>
      <c r="H38" s="18"/>
      <c r="I38" s="17"/>
      <c r="J38" s="17"/>
      <c r="K38" s="17"/>
      <c r="L38" s="10" t="s">
        <v>74</v>
      </c>
      <c r="M3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""&amp;L38)"),"Power|Voltage|IP Rating")</f>
        <v>Power|Voltage|IP Rating</v>
      </c>
      <c r="N38" s="12" t="s">
        <v>32</v>
      </c>
      <c r="O38" s="11" t="str">
        <f>IFERROR(__xludf.DUMMYFUNCTION("AI(""Using the labels""&amp;M38&amp;"" and values ""&amp;L38&amp;"" separated by character '|', Create a JSON object"")"),"{""Power"": ""300W"", ""Voltage"": ""12V"", ""IP Rating"": ""IP67""}")</f>
        <v>{"Power": "300W", "Voltage": "12V", "IP Rating": "IP67"}</v>
      </c>
      <c r="P38" s="12" t="s">
        <v>75</v>
      </c>
      <c r="Q38" s="19"/>
      <c r="R38" s="20"/>
      <c r="S38" s="19"/>
      <c r="T38" s="21"/>
      <c r="U38" s="20"/>
      <c r="V38" s="20"/>
      <c r="W38" s="14" t="s">
        <v>38</v>
      </c>
      <c r="X38" s="14" t="s">
        <v>146</v>
      </c>
      <c r="Y38" s="14" t="s">
        <v>40</v>
      </c>
      <c r="Z38" s="6"/>
    </row>
    <row r="39" ht="37.5" customHeight="1">
      <c r="A39" s="7"/>
      <c r="B39" s="17"/>
      <c r="C39" s="17"/>
      <c r="D39" s="17"/>
      <c r="E39" s="17"/>
      <c r="F39" s="18"/>
      <c r="G39" s="17"/>
      <c r="H39" s="18"/>
      <c r="I39" s="17"/>
      <c r="J39" s="17"/>
      <c r="K39" s="17"/>
      <c r="L39" s="10" t="s">
        <v>77</v>
      </c>
      <c r="M3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""&amp;L39)"),"Power|Voltage|IP Rating")</f>
        <v>Power|Voltage|IP Rating</v>
      </c>
      <c r="N39" s="12" t="s">
        <v>32</v>
      </c>
      <c r="O39" s="11" t="str">
        <f>IFERROR(__xludf.DUMMYFUNCTION("AI(""Using the labels""&amp;M39&amp;"" and values ""&amp;L39&amp;"" separated by character '|', Create a JSON object"")"),"{""Power"": ""300W"", ""Voltage"": ""24V"", ""IP Rating"": ""IP67""}")</f>
        <v>{"Power": "300W", "Voltage": "24V", "IP Rating": "IP67"}</v>
      </c>
      <c r="P39" s="12" t="s">
        <v>78</v>
      </c>
      <c r="Q39" s="19"/>
      <c r="R39" s="20"/>
      <c r="S39" s="19"/>
      <c r="T39" s="21"/>
      <c r="U39" s="20"/>
      <c r="V39" s="20"/>
      <c r="W39" s="14" t="s">
        <v>38</v>
      </c>
      <c r="X39" s="14" t="s">
        <v>147</v>
      </c>
      <c r="Y39" s="14" t="s">
        <v>40</v>
      </c>
      <c r="Z39" s="6"/>
    </row>
    <row r="40" ht="37.5" customHeight="1">
      <c r="A40" s="7"/>
      <c r="B40" s="17"/>
      <c r="C40" s="17"/>
      <c r="D40" s="17"/>
      <c r="E40" s="17"/>
      <c r="F40" s="18"/>
      <c r="G40" s="17"/>
      <c r="H40" s="18"/>
      <c r="I40" s="17"/>
      <c r="J40" s="17"/>
      <c r="K40" s="17"/>
      <c r="L40" s="10" t="s">
        <v>148</v>
      </c>
      <c r="M4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""&amp;L40)"),"Power|Voltage|IP Rating")</f>
        <v>Power|Voltage|IP Rating</v>
      </c>
      <c r="N40" s="12" t="s">
        <v>32</v>
      </c>
      <c r="O40" s="11" t="str">
        <f>IFERROR(__xludf.DUMMYFUNCTION("AI(""Using the labels""&amp;M40&amp;"" and values ""&amp;L40&amp;"" separated by character '|', Create a JSON object"")"),"{""Power"": ""360W"", ""Voltage"": ""24V"", ""IP Rating"": ""IP67""}")</f>
        <v>{"Power": "360W", "Voltage": "24V", "IP Rating": "IP67"}</v>
      </c>
      <c r="P40" s="12" t="s">
        <v>149</v>
      </c>
      <c r="Q40" s="19"/>
      <c r="R40" s="20"/>
      <c r="S40" s="19"/>
      <c r="T40" s="21"/>
      <c r="U40" s="20"/>
      <c r="V40" s="20"/>
      <c r="W40" s="14" t="s">
        <v>38</v>
      </c>
      <c r="X40" s="14" t="s">
        <v>150</v>
      </c>
      <c r="Y40" s="14" t="s">
        <v>40</v>
      </c>
      <c r="Z40" s="6"/>
    </row>
    <row r="41" ht="37.5" customHeight="1">
      <c r="A41" s="7" t="s">
        <v>151</v>
      </c>
      <c r="B41" s="8" t="s">
        <v>152</v>
      </c>
      <c r="C41" s="8" t="s">
        <v>27</v>
      </c>
      <c r="D41" s="8" t="s">
        <v>152</v>
      </c>
      <c r="E41" s="8" t="s">
        <v>28</v>
      </c>
      <c r="F41" s="9" t="str">
        <f>IFERROR(__xludf.DUMMYFUNCTION("AI(""Give me a paragraph marketing spiel for this product, no tech specs just marketing fluff "")"),"Transform your spaces into a breathtaking visual journey with a perfect blend of elegance and modern design. This premium lighting solution offers seamless integration into your environment, casting a warm, sophisticated glow that effortlessly enhances th"&amp;"e natural beauty of your architecture. Crafted for those who appreciate refined detail and discreet luxury, it adds an unparalleled touch of ambiance, warmth, and style to any setting, making it the ultimate choice for elevated architectural illumination.")</f>
        <v>Transform your spaces into a breathtaking visual journey with a perfect blend of elegance and modern design. This premium lighting solution offers seamless integration into your environment, casting a warm, sophisticated glow that effortlessly enhances the natural beauty of your architecture. Crafted for those who appreciate refined detail and discreet luxury, it adds an unparalleled touch of ambiance, warmth, and style to any setting, making it the ultimate choice for elevated architectural illumination.</v>
      </c>
      <c r="G41" s="8" t="s">
        <v>153</v>
      </c>
      <c r="H41" s="9" t="str">
        <f>IFERROR(__xludf.DUMMYFUNCTION("AI(""Give me a paragraph marketing spiel for this product, no tech specs just marketing fluff under 180 characters "")"),"Elevate your environment with a perfect blend of elegance and modern design, casting a warm, sophisticated glow that adds an unparalleled touch of ambiance and luxury.")</f>
        <v>Elevate your environment with a perfect blend of elegance and modern design, casting a warm, sophisticated glow that adds an unparalleled touch of ambiance and luxury.</v>
      </c>
      <c r="I41" s="8" t="s">
        <v>154</v>
      </c>
      <c r="J41" s="17"/>
      <c r="K41" s="17"/>
      <c r="L41" s="10" t="s">
        <v>155</v>
      </c>
      <c r="M4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""&amp;L41)"),"Voltage|Power|IP Rating")</f>
        <v>Voltage|Power|IP Rating</v>
      </c>
      <c r="N41" s="12" t="s">
        <v>156</v>
      </c>
      <c r="O41" s="11" t="str">
        <f>IFERROR(__xludf.DUMMYFUNCTION("AI(""Using the labels""&amp;M41&amp;"" and values ""&amp;L41&amp;"" separated by character '|', Create a JSON object"")"),"{""Voltage"": ""12V/24V"", ""Power"": ""20W"", ""IP Rating"": ""IP20""}")</f>
        <v>{"Voltage": "12V/24V", "Power": "20W", "IP Rating": "IP20"}</v>
      </c>
      <c r="P41" s="12" t="s">
        <v>157</v>
      </c>
      <c r="Q41"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P41:P45)"),"{""Voltage"": ""12V/24V"", ""Power"": [""20W"", ""40W"", ""60W"", ""80W"", ""100W""], ""IP Rating"": ""IP20""}")</f>
        <v>{"Voltage": "12V/24V", "Power": ["20W", "40W", "60W", "80W", "100W"], "IP Rating": "IP20"}</v>
      </c>
      <c r="R41" s="14" t="s">
        <v>158</v>
      </c>
      <c r="S41"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P41:P45)"),"{
""Options"": {
""Voltage"": [
{""name"": ""12V/24V"", ""id"": ""101""}
],
""Power"": [
{""name"": ""20W"", ""id"": ""102""},
{""name"": ""40W"", ""id"": ""103""},
{""name"": ""60W"", ""id"": ""104""},
{""name"": ""80W"", ""id"": ""105""},
{""name"": ""1"&amp;"00W"", ""id"": ""106""}
],
""IP Rating"": [
{""name"": ""IP20"", ""id"": ""107""}
]
},
""Constraints"": {}
}")</f>
        <v>{
"Options": {
"Voltage": [
{"name": "12V/24V", "id": "101"}
],
"Power": [
{"name": "20W", "id": "102"},
{"name": "40W", "id": "103"},
{"name": "60W", "id": "104"},
{"name": "80W", "id": "105"},
{"name": "100W", "id": "106"}
],
"IP Rating": [
{"name": "IP20", "id": "107"}
]
},
"Constraints": {}
}</v>
      </c>
      <c r="T41" s="15" t="s">
        <v>159</v>
      </c>
      <c r="U41" s="14" t="s">
        <v>160</v>
      </c>
      <c r="V41" s="14" t="s">
        <v>95</v>
      </c>
      <c r="W41" s="14" t="s">
        <v>38</v>
      </c>
      <c r="X41" s="14" t="s">
        <v>161</v>
      </c>
      <c r="Y41" s="14" t="s">
        <v>40</v>
      </c>
      <c r="Z41" s="6"/>
    </row>
    <row r="42" ht="37.5" customHeight="1">
      <c r="A42" s="7"/>
      <c r="B42" s="17"/>
      <c r="C42" s="17"/>
      <c r="D42" s="17"/>
      <c r="E42" s="17"/>
      <c r="F42" s="18"/>
      <c r="G42" s="17"/>
      <c r="H42" s="18"/>
      <c r="I42" s="17"/>
      <c r="J42" s="17"/>
      <c r="K42" s="17"/>
      <c r="L42" s="10" t="s">
        <v>162</v>
      </c>
      <c r="M4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""&amp;L42)"),"Voltage|Power|IP Rating")</f>
        <v>Voltage|Power|IP Rating</v>
      </c>
      <c r="N42" s="12" t="s">
        <v>156</v>
      </c>
      <c r="O42" s="11" t="str">
        <f>IFERROR(__xludf.DUMMYFUNCTION("AI(""Using the labels""&amp;M42&amp;"" and values ""&amp;L42&amp;"" separated by character '|', Create a JSON object"")"),"{""Voltage"": ""12V/24V"", ""Power"": ""40W"", ""IP Rating"": ""IP20""}")</f>
        <v>{"Voltage": "12V/24V", "Power": "40W", "IP Rating": "IP20"}</v>
      </c>
      <c r="P42" s="12" t="s">
        <v>163</v>
      </c>
      <c r="Q42" s="19"/>
      <c r="R42" s="20"/>
      <c r="S42" s="19"/>
      <c r="T42" s="21"/>
      <c r="U42" s="20"/>
      <c r="V42" s="20"/>
      <c r="W42" s="14" t="s">
        <v>38</v>
      </c>
      <c r="X42" s="14" t="s">
        <v>164</v>
      </c>
      <c r="Y42" s="14" t="s">
        <v>40</v>
      </c>
      <c r="Z42" s="6"/>
    </row>
    <row r="43" ht="37.5" customHeight="1">
      <c r="A43" s="7"/>
      <c r="B43" s="17"/>
      <c r="C43" s="17"/>
      <c r="D43" s="17"/>
      <c r="E43" s="17"/>
      <c r="F43" s="18"/>
      <c r="G43" s="17"/>
      <c r="H43" s="18"/>
      <c r="I43" s="17"/>
      <c r="J43" s="17"/>
      <c r="K43" s="17"/>
      <c r="L43" s="10" t="s">
        <v>165</v>
      </c>
      <c r="M4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""&amp;L43)"),"Voltage|Power|IP Rating")</f>
        <v>Voltage|Power|IP Rating</v>
      </c>
      <c r="N43" s="12" t="s">
        <v>156</v>
      </c>
      <c r="O43" s="11" t="str">
        <f>IFERROR(__xludf.DUMMYFUNCTION("AI(""Using the labels""&amp;M43&amp;"" and values ""&amp;L43&amp;"" separated by character '|', Create a JSON object"")"),"{""Voltage"": ""12V/24V"", ""Power"": ""60W"", ""IP Rating"": ""IP20""}")</f>
        <v>{"Voltage": "12V/24V", "Power": "60W", "IP Rating": "IP20"}</v>
      </c>
      <c r="P43" s="12" t="s">
        <v>166</v>
      </c>
      <c r="Q43" s="19"/>
      <c r="R43" s="20"/>
      <c r="S43" s="19"/>
      <c r="T43" s="21"/>
      <c r="U43" s="20"/>
      <c r="V43" s="20"/>
      <c r="W43" s="14" t="s">
        <v>38</v>
      </c>
      <c r="X43" s="14" t="s">
        <v>167</v>
      </c>
      <c r="Y43" s="14" t="s">
        <v>40</v>
      </c>
      <c r="Z43" s="6"/>
    </row>
    <row r="44" ht="37.5" customHeight="1">
      <c r="A44" s="7"/>
      <c r="B44" s="17"/>
      <c r="C44" s="17"/>
      <c r="D44" s="17"/>
      <c r="E44" s="17"/>
      <c r="F44" s="18"/>
      <c r="G44" s="17"/>
      <c r="H44" s="18"/>
      <c r="I44" s="17"/>
      <c r="J44" s="17"/>
      <c r="K44" s="17"/>
      <c r="L44" s="10" t="s">
        <v>168</v>
      </c>
      <c r="M4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""&amp;L44)"),"Voltage|Power|IP Rating")</f>
        <v>Voltage|Power|IP Rating</v>
      </c>
      <c r="N44" s="12" t="s">
        <v>156</v>
      </c>
      <c r="O44" s="11" t="str">
        <f>IFERROR(__xludf.DUMMYFUNCTION("AI(""Using the labels""&amp;M44&amp;"" and values ""&amp;L44&amp;"" separated by character '|', Create a JSON object"")"),"{""Voltage"": ""12V/24V"", ""Power"": ""80W"", ""IP Rating"": ""IP20""}")</f>
        <v>{"Voltage": "12V/24V", "Power": "80W", "IP Rating": "IP20"}</v>
      </c>
      <c r="P44" s="12" t="s">
        <v>169</v>
      </c>
      <c r="Q44" s="19"/>
      <c r="R44" s="20"/>
      <c r="S44" s="19"/>
      <c r="T44" s="21"/>
      <c r="U44" s="20"/>
      <c r="V44" s="20"/>
      <c r="W44" s="14" t="s">
        <v>38</v>
      </c>
      <c r="X44" s="14" t="s">
        <v>170</v>
      </c>
      <c r="Y44" s="14" t="s">
        <v>40</v>
      </c>
      <c r="Z44" s="6"/>
    </row>
    <row r="45" ht="37.5" customHeight="1">
      <c r="A45" s="7"/>
      <c r="B45" s="17"/>
      <c r="C45" s="17"/>
      <c r="D45" s="17"/>
      <c r="E45" s="17"/>
      <c r="F45" s="18"/>
      <c r="G45" s="17"/>
      <c r="H45" s="18"/>
      <c r="I45" s="17"/>
      <c r="J45" s="17"/>
      <c r="K45" s="17"/>
      <c r="L45" s="10" t="s">
        <v>171</v>
      </c>
      <c r="M4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""&amp;L45)"),"Voltage|Power|IP Rating")</f>
        <v>Voltage|Power|IP Rating</v>
      </c>
      <c r="N45" s="12" t="s">
        <v>156</v>
      </c>
      <c r="O45" s="11" t="str">
        <f>IFERROR(__xludf.DUMMYFUNCTION("AI(""Using the labels""&amp;M45&amp;"" and values ""&amp;L45&amp;"" separated by character '|', Create a JSON object"")"),"{""Voltage"": ""12V/24V"", ""Power"": ""100W"", ""IP Rating"": ""IP20""}")</f>
        <v>{"Voltage": "12V/24V", "Power": "100W", "IP Rating": "IP20"}</v>
      </c>
      <c r="P45" s="12" t="s">
        <v>172</v>
      </c>
      <c r="Q45" s="19"/>
      <c r="R45" s="20"/>
      <c r="S45" s="19"/>
      <c r="T45" s="21"/>
      <c r="U45" s="20"/>
      <c r="V45" s="20"/>
      <c r="W45" s="14" t="s">
        <v>38</v>
      </c>
      <c r="X45" s="14" t="s">
        <v>173</v>
      </c>
      <c r="Y45" s="14" t="s">
        <v>40</v>
      </c>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sheetData>
  <drawing r:id="rId1"/>
  <tableParts count="1">
    <tablePart r:id="rId3"/>
  </tableParts>
</worksheet>
</file>