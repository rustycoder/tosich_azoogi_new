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tima" sheetId="1" r:id="rId5"/>
  </sheets>
  <definedNames/>
  <calcPr/>
</workbook>
</file>

<file path=xl/sharedStrings.xml><?xml version="1.0" encoding="utf-8"?>
<sst xmlns="http://schemas.openxmlformats.org/spreadsheetml/2006/main" count="378" uniqueCount="226">
  <si>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</si>
  <si>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</si>
  <si>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</si>
  <si>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</si>
  <si>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</si>
  <si>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</si>
  <si>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</si>
  <si>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</si>
  <si>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</si>
  <si>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</si>
  <si>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</si>
  <si>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</si>
  <si>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</si>
  <si>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</si>
  <si>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</si>
  <si>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</si>
  <si>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</si>
  <si>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</si>
  <si>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</si>
  <si>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</si>
  <si>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</si>
  <si>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</si>
  <si>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</si>
  <si>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</si>
  <si>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</si>
  <si>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</si>
  <si>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</si>
  <si>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</si>
  <si>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</si>
  <si>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</si>
  <si>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ADR001</t>
  </si>
  <si>
    <t>Non-Dimmable Driver</t>
  </si>
  <si>
    <t>simple</t>
  </si>
  <si>
    <t>draft</t>
  </si>
  <si>
    <t>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t>
  </si>
  <si>
    <t>Elevate your space with elegant design and discreet luxury, creating a sophisticated, seamless glow.</t>
  </si>
  <si>
    <t>20W | 12V | IP67</t>
  </si>
  <si>
    <t>Power|Voltage|IP Rating</t>
  </si>
  <si>
    <t>{"SKU": "ADR001", "Power": "20W", "Voltage": "12V", "IP Rating": "IP67"}</t>
  </si>
  <si>
    <t>{"SKU": ["ADR001", "ADR002", "ADR003", "ADR004", "ADR005", "ADR006", "ADR007", "ADR008", "ADR009", "ADR010", "ADR011", "ADR012", "ADR015", "ADR016", "ADR-400-24V", "ADR-500-24V"], "Power": ["20W", "40W", "60W", "100W", "150W", "200W", "300W", "400W", "500W"], "Voltage": ["12V", "24V"], "IP Rating": "IP67"}</t>
  </si>
  <si>
    <t>{
"Options": {
"Power": [
{"name": "20W", "id": "101"},
{"name": "40W", "id": "102"},
{"name": "60W", "id": "103"},
{"name": "100W", "id": "104"},
{"name": "150W", "id": "105"},
{"name": "200W", "id": "106"},
{"name": "300W", "id": "107"},
{"name": "400W", "id": "108"},
{"name": "500W", "id": "109"}
],
"Voltage": [
{"name": "12V", "id": "110"},
{"name": "24V", "id": "111"}
],
"IP Rating": [
{"name": "IP67", "id": "112"}
]
},
"Constraints": {
"108": ["110"],
"109": ["110"]
},
"sku_mappings": [
{ "sku": "ADR001", "combination": ["101", "110", "112"] },
{ "sku": "ADR002", "combination": ["101", "111", "112"] },
{ "sku": "ADR003", "combination": ["102", "110", "112"] },
{ "sku": "ADR004", "combination": ["102", "111", "112"] },
{ "sku": "ADR005", "combination": ["103", "110", "112"] },
{ "sku": "ADR006", "combination": ["103", "111", "112"] },
{ "sku": "ADR007", "combination": ["104", "110", "112"] },
{ "sku": "ADR008", "combination": ["104", "111", "112"] },
{ "sku": "ADR009", "combination": ["105", "110", "112"] },
{ "sku": "ADR010", "combination": ["105", "111", "112"] },
{ "sku": "ADR011", "combination": ["106", "110", "112"] },
{ "sku": "ADR012", "combination": ["106", "111", "112"] },
{ "sku": "ADR015", "combination": ["107", "110", "112"] },
{ "sku": "ADR016", "combination": ["107", "111", "112"] },
{ "sku": "ADR-400-24V", "combination": ["108", "111", "112"] },
{ "sku": "ADR-500-24V", "combination": ["109", "111", "112"] }
]
}</t>
  </si>
  <si>
    <t>CHINA - OTTIMA TECHNOLOGY</t>
  </si>
  <si>
    <t>OTM-W20-12</t>
  </si>
  <si>
    <t>Yes</t>
  </si>
  <si>
    <t>non-dimmable driver, 20W LED driver, 12V power supply, IP67 waterproof driver, outdoor lighting power, architectural LED driver</t>
  </si>
  <si>
    <t>ADR002</t>
  </si>
  <si>
    <t>20W | 24V | IP67</t>
  </si>
  <si>
    <t>{"SKU": "ADR002", "Power": "20W", "Voltage": "24V", "IP Rating": "IP67"}</t>
  </si>
  <si>
    <t>OTM-W20-24</t>
  </si>
  <si>
    <t>ADR003</t>
  </si>
  <si>
    <t>40W | 12V | IP67</t>
  </si>
  <si>
    <t>{"SKU": "ADR003", "Power": "40W", "Voltage": "12V", "IP Rating": "IP67"}</t>
  </si>
  <si>
    <t>OTM-W40-12</t>
  </si>
  <si>
    <t>ADR004</t>
  </si>
  <si>
    <t>40W | 24V | IP67</t>
  </si>
  <si>
    <t>{"SKU": "ADR004", "Power": "40W", "Voltage": "24V", "IP Rating": "IP67"}</t>
  </si>
  <si>
    <t>OTM-W40-24</t>
  </si>
  <si>
    <t>ADR005</t>
  </si>
  <si>
    <t>60W | 12V | IP67</t>
  </si>
  <si>
    <t>{"SKU": "ADR005", "Power": "60W", "Voltage": "12V", "IP Rating": "IP67"}</t>
  </si>
  <si>
    <t>OTM-W60-12</t>
  </si>
  <si>
    <t>ADR006</t>
  </si>
  <si>
    <t>60W | 24V | IP67</t>
  </si>
  <si>
    <t>{"SKU": "ADR006", "Power": "60W", "Voltage": "24V", "IP Rating": "IP67"}</t>
  </si>
  <si>
    <t>OTM-W60-24</t>
  </si>
  <si>
    <t>ADR007</t>
  </si>
  <si>
    <t>100W | 12V | IP67</t>
  </si>
  <si>
    <t>{"SKU": "ADR007", "Power": "100W", "Voltage": "12V", "IP Rating": "IP67"}</t>
  </si>
  <si>
    <t>OTM-W100-12</t>
  </si>
  <si>
    <t>ADR008</t>
  </si>
  <si>
    <t>100W | 24V | IP67</t>
  </si>
  <si>
    <t>{"SKU": "ADR008", "Power": "100W", "Voltage": "24V", "IP Rating": "IP67"}</t>
  </si>
  <si>
    <t>OTM-W100-24</t>
  </si>
  <si>
    <t>ADR009</t>
  </si>
  <si>
    <t>150W | 12V | IP67</t>
  </si>
  <si>
    <t>{"SKU": "ADR009", "Power": "150W", "Voltage": "12V", "IP Rating": "IP67"}</t>
  </si>
  <si>
    <t>OTM-W150-12</t>
  </si>
  <si>
    <t>ADR010</t>
  </si>
  <si>
    <t>150W | 24V | IP67</t>
  </si>
  <si>
    <t>{"SKU": "ADR010", "Power": "150W", "Voltage": "24V", "IP Rating": "IP67"}</t>
  </si>
  <si>
    <t>OTM-W150-24</t>
  </si>
  <si>
    <t>ADR011</t>
  </si>
  <si>
    <t>200W | 12V | IP67</t>
  </si>
  <si>
    <t>{"SKU": "ADR011", "Power": "200W", "Voltage": "12V", "IP Rating": "IP67"}</t>
  </si>
  <si>
    <t>OTM-W200-12</t>
  </si>
  <si>
    <t>ADR012</t>
  </si>
  <si>
    <t>200W | 24V | IP67</t>
  </si>
  <si>
    <t>{"SKU": "ADR012", "Power": "200W", "Voltage": "24V", "IP Rating": "IP67"}</t>
  </si>
  <si>
    <t>OTM-W200-24</t>
  </si>
  <si>
    <t>ADR015</t>
  </si>
  <si>
    <t>300W | 12V | IP67</t>
  </si>
  <si>
    <t>{"SKU": "ADR015", "Power": "300W", "Voltage": "12V", "IP Rating": "IP67"}</t>
  </si>
  <si>
    <t>OTM-W300-12</t>
  </si>
  <si>
    <t>ADR016</t>
  </si>
  <si>
    <t>300W | 24V | IP67</t>
  </si>
  <si>
    <t>{"SKU": "ADR016", "Power": "300W", "Voltage": "24V", "IP Rating": "IP67"}</t>
  </si>
  <si>
    <t>OTM-W300-24</t>
  </si>
  <si>
    <t>ADR-400-24V</t>
  </si>
  <si>
    <t>400W | 24V | IP67</t>
  </si>
  <si>
    <t>{"SKU": "ADR-400-24V", "Power": "400W", "Voltage": "24V", "IP Rating": "IP67"}</t>
  </si>
  <si>
    <t>OTM-W400-24</t>
  </si>
  <si>
    <t>ADR-500-24V</t>
  </si>
  <si>
    <t>500W | 24V | IP67</t>
  </si>
  <si>
    <t>{"SKU": "ADR-500-24V", "Power": "500W", "Voltage": "24V", "IP Rating": "IP67"}</t>
  </si>
  <si>
    <t>OTM-W500-24</t>
  </si>
  <si>
    <t>No</t>
  </si>
  <si>
    <t>ADR003D</t>
  </si>
  <si>
    <t>5-in-1 Dimming Driver</t>
  </si>
  <si>
    <t>30W | 12V | IP67 | Triac | 0-10V | 1-10V | PWM | Potentiometer</t>
  </si>
  <si>
    <t>Power|Voltage|IP Rating|AC Phase-Cut|Current Sinking|Current Sourcing|Duty Cycle|Variable Resistance</t>
  </si>
  <si>
    <t>{"SKU": "ADR003D", "Power": "30W", "Voltage": "12V", "IP Rating": "IP67", "AC Phase-Cut": "Triac", "Current Sinking": "0-10V", "Current Sourcing": "1-10V", "Duty Cycle": "PWM", "Variable Resistance": "Potentiometer"}</t>
  </si>
  <si>
    <t>{"SKU": ["ADR003D", "ADR004D", "ADR005D", "ADR006D", "ADR007D", "ADR008D", "ADR009D", "ADR010D", "ADR011D", "ADR012D", "ADR015D", "ADR016D"], "Power": ["30W", "60W", "100W", "150W", "200W", "300W"], "Voltage": ["12V", "24V"], "IP Rating": "IP67", "AC Phase-Cut": "Triac", "Current Sinking": "0-10V", "Current Sourcing": "1-10V", "Duty Cycle": "PWM", "Variable Resistance": "Potentiometer"}</t>
  </si>
  <si>
    <t>{
"Options": {
"Power": [
{"name": "30W", "id": "101"},
{"name": "60W", "id": "102"},
{"name": "100W", "id": "103"},
{"name": "150W", "id": "104"},
{"name": "200W", "id": "105"},
{"name": "300W", "id": "106"}
],
"Voltage": [
{"name": "12V", "id": "107"},
{"name": "24V", "id": "108"}
],
"IP Rating": [
{"name": "IP67", "id": "109"}
],
"AC Phase-Cut": [
{"name": "Triac", "id": "110"}
],
"Current Sinking": [
{"name": "0-10V", "id": "111"}
],
"Current Sourcing": [
{"name": "1-10V", "id": "112"}
],
"Duty Cycle": [
{"name": "PWM", "id": "113"}
],
"Variable Resistance": [
{"name": "Potentiometer", "id": "114"}
]
},
"Constraints": {},
"sku_mappings": [
{ "sku": "ADR003D", "combination": ["101", "107", "109", "110", "111", "112", "113", "114"] },
{ "sku": "ADR004D", "combination": ["101", "108", "109", "110", "111", "112", "113", "114"] },
{ "sku": "ADR005D", "combination": ["102", "107", "109", "110", "111", "112", "113", "114"] },
{ "sku": "ADR006D", "combination": ["102", "108", "109", "110", "111", "112", "113", "114"] },
{ "sku": "ADR007D", "combination": ["103", "107", "109", "110", "111", "112", "113", "114"] },
{ "sku": "ADR008D", "combination": ["103", "108", "109", "110", "111", "112", "113", "114"] },
{ "sku": "ADR009D", "combination": ["104", "107", "109", "110", "111", "112", "113", "114"] },
{ "sku": "ADR010D", "combination": ["104", "108", "109", "110", "111", "112", "113", "114"] },
{ "sku": "ADR011D", "combination": ["105", "108", "109", "110", "111", "112", "113", "114"] },
{ "sku": "ADR012D", "combination": ["105", "107", "109", "110", "111", "112", "113", "114"] },
{ "sku": "ADR015D", "combination": ["106", "107", "109", "110", "111", "112", "113", "114"] },
{ "sku": "ADR016D", "combination": ["106", "108", "109", "110", "111", "112", "113", "114"] }
]
}</t>
  </si>
  <si>
    <t>OTM-TD30-12</t>
  </si>
  <si>
    <t>Dimming Driver, LED Driver, 5-in-1 Dimmer, IP67 Waterproof, 12V Power Supply, Triac Dimmer</t>
  </si>
  <si>
    <t>ADR004D</t>
  </si>
  <si>
    <t>30W | 24V | IP67 | Triac | 0-10V | 1-10V | PWM | Potentiometer</t>
  </si>
  <si>
    <t>{"SKU": "ADR004D", "Power": "30W", "Voltage": "24V", "IP Rating": "IP67", "AC Phase-Cut": "Triac", "Current Sinking": "0-10V", "Current Sourcing": "1-10V", "Duty Cycle": "PWM", "Variable Resistance": "Potentiometer"}</t>
  </si>
  <si>
    <t>OTM-TD30-24</t>
  </si>
  <si>
    <t>ADR005D</t>
  </si>
  <si>
    <t>60W | 12V | IP67 | Triac | 0-10V | 1-10V | PWM | Potentiometer</t>
  </si>
  <si>
    <t>{"SKU": "ADR005D", "Power": "60W", "Voltage": "12V", "IP Rating": "IP67", "AC Phase-Cut": "Triac", "Current Sinking": "0-10V", "Current Sourcing": "1-10V", "Duty Cycle": "PWM", "Variable Resistance": "Potentiometer"}</t>
  </si>
  <si>
    <t>OTM-TD60-12</t>
  </si>
  <si>
    <t>ADR006D</t>
  </si>
  <si>
    <t>60W | 24V | IP67 | Triac | 0-10V | 1-10V | PWM | Potentiometer</t>
  </si>
  <si>
    <t>{"SKU": "ADR006D", "Power": "60W", "Voltage": "24V", "IP Rating": "IP67", "AC Phase-Cut": "Triac", "Current Sinking": "0-10V", "Current Sourcing": "1-10V", "Duty Cycle": "PWM", "Variable Resistance": "Potentiometer"}</t>
  </si>
  <si>
    <t>OTM-TD60-24</t>
  </si>
  <si>
    <t>ADR007D</t>
  </si>
  <si>
    <t>100W | 12V | IP67 | Triac | 0-10V | 1-10V | PWM | Potentiometer</t>
  </si>
  <si>
    <t>{"SKU": "ADR007D", "Power": "100W", "Voltage": "12V", "IP Rating": "IP67", "AC Phase-Cut": "Triac", "Current Sinking": "0-10V", "Current Sourcing": "1-10V", "Duty Cycle": "PWM", "Variable Resistance": "Potentiometer"}</t>
  </si>
  <si>
    <t>OTM-TD100-12</t>
  </si>
  <si>
    <t>ADR008D</t>
  </si>
  <si>
    <t>100W | 24V | IP67 | Triac | 0-10V | 1-10V | PWM | Potentiometer</t>
  </si>
  <si>
    <t>{"SKU": "ADR008D", "Power": "100W", "Voltage": "24V", "IP Rating": "IP67", "AC Phase-Cut": "Triac", "Current Sinking": "0-10V", "Current Sourcing": "1-10V", "Duty Cycle": "PWM", "Variable Resistance": "Potentiometer"}</t>
  </si>
  <si>
    <t>OTM-TD100-24</t>
  </si>
  <si>
    <t>ADR009D</t>
  </si>
  <si>
    <t>150W | 12V | IP67 | Triac | 0-10V | 1-10V | PWM | Potentiometer</t>
  </si>
  <si>
    <t>{"SKU": "ADR009D", "Power": "150W", "Voltage": "12V", "IP Rating": "IP67", "AC Phase-Cut": "Triac", "Current Sinking": "0-10V", "Current Sourcing": "1-10V", "Duty Cycle": "PWM", "Variable Resistance": "Potentiometer"}</t>
  </si>
  <si>
    <t>OTM-TD150-12</t>
  </si>
  <si>
    <t>ADR010D</t>
  </si>
  <si>
    <t>150W | 24V | IP67 | Triac | 0-10V | 1-10V | PWM | Potentiometer</t>
  </si>
  <si>
    <t>{"SKU": "ADR010D", "Power": "150W", "Voltage": "24V", "IP Rating": "IP67", "AC Phase-Cut": "Triac", "Current Sinking": "0-10V", "Current Sourcing": "1-10V", "Duty Cycle": "PWM", "Variable Resistance": "Potentiometer"}</t>
  </si>
  <si>
    <t>OTM-TD150-24</t>
  </si>
  <si>
    <t>ADR011D</t>
  </si>
  <si>
    <t>200W | 24V | IP67 | Triac | 0-10V | 1-10V | PWM | Potentiometer</t>
  </si>
  <si>
    <t>{"SKU": "ADR011D", "Power": "200W", "Voltage": "24V", "IP Rating": "IP67", "AC Phase-Cut": "Triac", "Current Sinking": "0-10V", "Current Sourcing": "1-10V", "Duty Cycle": "PWM", "Variable Resistance": "Potentiometer"}</t>
  </si>
  <si>
    <t>OTM-TD200-12</t>
  </si>
  <si>
    <t>ADR012D</t>
  </si>
  <si>
    <t>200W | 12V | IP67 | Triac | 0-10V | 1-10V | PWM | Potentiometer</t>
  </si>
  <si>
    <t>{"SKU": "ADR012D", "Power": "200W", "Voltage": "12V", "IP Rating": "IP67", "AC Phase-Cut": "Triac", "Current Sinking": "0-10V", "Current Sourcing": "1-10V", "Duty Cycle": "PWM", "Variable Resistance": "Potentiometer"}</t>
  </si>
  <si>
    <t>OTM-TD200-24</t>
  </si>
  <si>
    <t>ADR015D</t>
  </si>
  <si>
    <t>300W | 12V | IP67 | Triac | 0-10V | 1-10V | PWM | Potentiometer</t>
  </si>
  <si>
    <t>{"SKU": "ADR015D", "Power": "300W", "Voltage": "12V", "IP Rating": "IP67", "AC Phase-Cut": "Triac", "Current Sinking": "0-10V", "Current Sourcing": "1-10V", "Duty Cycle": "PWM", "Variable Resistance": "Potentiometer"}</t>
  </si>
  <si>
    <t>OTM-TD300-12</t>
  </si>
  <si>
    <t>ADR016D</t>
  </si>
  <si>
    <t>300W | 24V | IP67 | Triac | 0-10V | 1-10V | PWM | Potentiometer</t>
  </si>
  <si>
    <t>{"SKU": "ADR016D", "Power": "300W", "Voltage": "24V", "IP Rating": "IP67", "AC Phase-Cut": "Triac", "Current Sinking": "0-10V", "Current Sourcing": "1-10V", "Duty Cycle": "PWM", "Variable Resistance": "Potentiometer"}</t>
  </si>
  <si>
    <t>OTM-TD300-24</t>
  </si>
  <si>
    <t>ADR005DA</t>
  </si>
  <si>
    <t>DALI-2 &amp; PUSH 2 in 1 Dimmable Driver</t>
  </si>
  <si>
    <t>Elevate your spaces into a breathtaking visual journey of elegant design and discreet luxury with a sophisticated, seamless glow. This premium dimmable driver offers the perfect blend of modern innovation and refined elegance, effortlessly transforming your environment into a warm, welcoming retreat. Designed for those who appreciate flawless execution and an unparalleled touch of ambiance, it beautifully highlights your architecture to create a captivating and serene atmosphere. Unwind in the stunning, soft illumination that brings your vision to life and makes every evening feel truly magical.</t>
  </si>
  <si>
    <t>Transform your space with elegant design and discreet luxury. Enjoy a sophisticated, seamless glow that brings your vision to life and makes every moment feel truly magical.</t>
  </si>
  <si>
    <t>{"SKU": "ADR005DA", "Power": "60W", "Voltage": "12V", "IP Rating": "IP67"}</t>
  </si>
  <si>
    <t>{"SKU": ["ADR005DA", "ADR006DA", "ADR007DA", "ADR008DA", "ADR009DA", "ADR010DA", "ADR011DA", "ADR012DA", "ADR015DA", "ADR016DA", "ADR-360-24-DALI"], "Power": ["60W", "100W", "150W", "200W", "300W", "360W"], "Voltage": ["12V", "24V"], "IP Rating": "IP67"}</t>
  </si>
  <si>
    <t>{
"Options": {
"Power": [
{"name": "60W", "id": "101"},
{"name": "100W", "id": "102"},
{"name": "150W", "id": "103"},
{"name": "200W", "id": "104"},
{"name": "300W", "id": "105"},
{"name": "360W", "id": "106"}
],
"Voltage": [
{"name": "12V", "id": "107"},
{"name": "24V", "id": "108"}
],
"IP Rating": [
{"name": "IP67", "id": "109"}
]
},
"Constraints": {
"106": ["107"]
},
"sku_mappings": [
{ "sku": "ADR005DA", "combination": ["101", "107", "109"] },
{ "sku": "ADR006DA", "combination": ["101", "108", "109"] },
{ "sku": "ADR007DA", "combination": ["102", "107", "109"] },
{ "sku": "ADR008DA", "combination": ["102", "108", "109"] },
{ "sku": "ADR009DA", "combination": ["103", "107", "109"] },
{ "sku": "ADR010DA", "combination": ["103", "108", "109"] },
{ "sku": "ADR011DA", "combination": ["104", "107", "109"] },
{ "sku": "ADR012DA", "combination": ["104", "108", "109"] },
{ "sku": "ADR015DA", "combination": ["105", "107", "109"] },
{ "sku": "ADR016DA", "combination": ["105", "108", "109"] },
{ "sku": "ADR-360-24-DALI", "combination": ["106", "108", "109"] }
]
}</t>
  </si>
  <si>
    <t>OTM-DD60-12</t>
  </si>
  <si>
    <t>DALI-2 dimmable driver, PUSH dimmable driver, 60W LED driver, 12V power supply, IP67 waterproof driver, 2-in-1 LED driver</t>
  </si>
  <si>
    <t>ADR006DA</t>
  </si>
  <si>
    <t>{"SKU": "ADR006DA", "Power": "60W", "Voltage": "24V", "IP Rating": "IP67"}</t>
  </si>
  <si>
    <t>OTM-DD60-24</t>
  </si>
  <si>
    <t>ADR007DA</t>
  </si>
  <si>
    <t>{"SKU": "ADR007DA", "Power": "100W", "Voltage": "12V", "IP Rating": "IP67"}</t>
  </si>
  <si>
    <t>OTM-DD100-12</t>
  </si>
  <si>
    <t>ADR008DA</t>
  </si>
  <si>
    <t>{"SKU": "ADR008DA", "Power": "100W", "Voltage": "24V", "IP Rating": "IP67"}</t>
  </si>
  <si>
    <t>OTM-DD100-24</t>
  </si>
  <si>
    <t>ADR009DA</t>
  </si>
  <si>
    <t>{"SKU": "ADR009DA", "Power": "150W", "Voltage": "12V", "IP Rating": "IP67"}</t>
  </si>
  <si>
    <t>OTM-DD150-12</t>
  </si>
  <si>
    <t>ADR010DA</t>
  </si>
  <si>
    <t>{"SKU": "ADR010DA", "Power": "150W", "Voltage": "24V", "IP Rating": "IP67"}</t>
  </si>
  <si>
    <t>OTM-DD150-24</t>
  </si>
  <si>
    <t>ADR011DA</t>
  </si>
  <si>
    <t>{"SKU": "ADR011DA", "Power": "200W", "Voltage": "12V", "IP Rating": "IP67"}</t>
  </si>
  <si>
    <t>OTM-DD200-12</t>
  </si>
  <si>
    <t>ADR012DA</t>
  </si>
  <si>
    <t>{"SKU": "ADR012DA", "Power": "200W", "Voltage": "24V", "IP Rating": "IP67"}</t>
  </si>
  <si>
    <t>OTM-DD200-24</t>
  </si>
  <si>
    <t>ADR015DA</t>
  </si>
  <si>
    <t>{"SKU": "ADR015DA", "Power": "300W", "Voltage": "12V", "IP Rating": "IP67"}</t>
  </si>
  <si>
    <t>OTM-DD300-12</t>
  </si>
  <si>
    <t>ADR016DA</t>
  </si>
  <si>
    <t>{"SKU": "ADR016DA", "Power": "300W", "Voltage": "24V", "IP Rating": "IP67"}</t>
  </si>
  <si>
    <t>OTM-DD300-24</t>
  </si>
  <si>
    <t>ADR-360-24-DALI</t>
  </si>
  <si>
    <t>360W | 24V | IP67</t>
  </si>
  <si>
    <t>{"SKU": "ADR-360-24-DALI", "Power": "360W", "Voltage": "24V", "IP Rating": "IP67"}</t>
  </si>
  <si>
    <t>OTM-DD350-24</t>
  </si>
  <si>
    <t>ADR-S12V24V-20W</t>
  </si>
  <si>
    <t>Switchable Driver</t>
  </si>
  <si>
    <t>Transform your spaces into a breathtaking visual journey with a perfect blend of elegance and modern design. This premium lighting solution offers seamless integration into your environment, casting a warm, sophisticated glow that effortlessly enhances the natural beauty of your architecture. Crafted for those who appreciate refined detail and discreet luxury, it adds an unparalleled touch of ambiance, warmth, and style to any setting, making it the ultimate choice for elevated architectural illumination.</t>
  </si>
  <si>
    <t>Elevate your environment with a perfect blend of elegance and modern design, casting a warm, sophisticated glow that adds an unparalleled touch of ambiance and luxury.</t>
  </si>
  <si>
    <t>12V/24V | 20W | IP20</t>
  </si>
  <si>
    <t>Voltage|Power|IP Rating</t>
  </si>
  <si>
    <t>{"SKU": "ADR-S12V24V-20W", "Voltage": "12V/24V", "Power": "20W", "IP Rating": "IP20"}</t>
  </si>
  <si>
    <t>{"SKU": ["ADR-S12V24V-20W", "ADR-S12V24V-40W", "ADR-S12V24V-60W", "ADR-S12V24V-80W", "ADR-S12V24V-100W"], "Voltage": "12V/24V", "Power": ["20W", "40W", "60W", "80W", "100W"], "IP Rating": "IP20"}</t>
  </si>
  <si>
    <t>{
"Options": {
"Voltage": [
{"name": "12V/24V", "id": "101"}
],
"Power": [
{"name": "20W", "id": "102"},
{"name": "40W", "id": "103"},
{"name": "60W", "id": "104"},
{"name": "80W", "id": "105"},
{"name": "100W", "id": "106"}
],
"IP Rating": [
{"name": "IP20", "id": "107"}
]
},
"Constraints": {},
"sku_mappings": [
{ "sku": "ADR-S12V24V-20W", "combination": ["101", "102", "107"] },
{ "sku": "ADR-S12V24V-40W", "combination": ["101", "103", "107"] },
{ "sku": "ADR-S12V24V-60W", "combination": ["101", "104", "107"] },
{ "sku": "ADR-S12V24V-80W", "combination": ["101", "105", "107"] },
{ "sku": "ADR-S12V24V-100W", "combination": ["101", "106", "107"] }
]
}</t>
  </si>
  <si>
    <t>OTM-E20-VC</t>
  </si>
  <si>
    <t>switchable driver, 20W LED driver, 12V 24V power supply, IP20 LED driver, dual voltage power supply, architectural LED driver</t>
  </si>
  <si>
    <t>ADR-S12V24V-40W</t>
  </si>
  <si>
    <t>12V/24V | 40W | IP20</t>
  </si>
  <si>
    <t>{"SKU": "ADR-S12V24V-40W", "Voltage": "12V/24V", "Power": "40W", "IP Rating": "IP20"}</t>
  </si>
  <si>
    <t>OTM-E40-VC</t>
  </si>
  <si>
    <t>ADR-S12V24V-60W</t>
  </si>
  <si>
    <t>12V/24V | 60W | IP20</t>
  </si>
  <si>
    <t>{"SKU": "ADR-S12V24V-60W", "Voltage": "12V/24V", "Power": "60W", "IP Rating": "IP20"}</t>
  </si>
  <si>
    <t>OTM-E60-VC</t>
  </si>
  <si>
    <t>ADR-S12V24V-80W</t>
  </si>
  <si>
    <t>12V/24V | 80W | IP20</t>
  </si>
  <si>
    <t>{"SKU": "ADR-S12V24V-80W", "Voltage": "12V/24V", "Power": "80W", "IP Rating": "IP20"}</t>
  </si>
  <si>
    <t>OTM-E80-VC</t>
  </si>
  <si>
    <t>ADR-S12V24V-100W</t>
  </si>
  <si>
    <t>12V/24V | 100W | IP20</t>
  </si>
  <si>
    <t>{"SKU": "ADR-S12V24V-100W", "Voltage": "12V/24V", "Power": "100W", "IP Rating": "IP20"}</t>
  </si>
  <si>
    <t>OTM-E1000-VC</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</si>
</sst>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DM Sans"/>
    </font>
    <font>
      <b/>
      <sz val="10.0"/>
      <color rgb="FFFFFFFF"/>
      <name val="DM Sans"/>
    </font>
    <font>
      <b/>
      <sz val="10.0"/>
      <color rgb="FF434343"/>
      <name val="DM Sans"/>
    </font>
    <font>
      <b/>
      <color theme="1"/>
      <name val="DM Sans"/>
    </font>
    <font>
      <sz val="10.0"/>
      <color theme="1"/>
      <name val="DM Sans"/>
    </font>
    <font>
      <sz val="10.0"/>
      <color rgb="FF434343"/>
      <name val="DM Sans"/>
    </font>
    <font>
      <color rgb="FF434343"/>
      <name val="DM Sans"/>
    </font>
    <font>
      <color theme="1"/>
      <name val="DM Sans"/>
    </font>
    <font>
      <color theme="1"/>
      <name val="Arial"/>
      <scheme val="minor"/>
    </font>
  </fonts>
  <fills count="10">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vertical="center"/>
    </xf>
    <xf borderId="1" fillId="4"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shrinkToFit="0" vertical="bottom" wrapText="1"/>
    </xf>
    <xf borderId="1" fillId="2" fontId="4" numFmtId="0" xfId="0" applyAlignment="1" applyBorder="1" applyFill="1" applyFont="1">
      <alignment horizontal="center" shrinkToFit="0" vertical="bottom"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6" fontId="5" numFmtId="0" xfId="0" applyAlignment="1" applyBorder="1" applyFill="1" applyFont="1">
      <alignment readingOrder="0" shrinkToFit="0" vertical="center" wrapText="1"/>
    </xf>
    <xf borderId="1" fillId="7" fontId="5" numFmtId="0" xfId="0" applyAlignment="1" applyBorder="1" applyFill="1" applyFont="1">
      <alignment readingOrder="0" shrinkToFit="0" vertical="center" wrapText="1"/>
    </xf>
    <xf borderId="1" fillId="6" fontId="6" numFmtId="0" xfId="0" applyAlignment="1" applyBorder="1" applyFill="1" applyFont="1">
      <alignment shrinkToFit="0" vertical="center" wrapText="1"/>
    </xf>
    <xf borderId="1" fillId="8" fontId="6" numFmtId="0" xfId="0" applyAlignment="1" applyBorder="1" applyFill="1" applyFont="1">
      <alignment shrinkToFit="0" vertical="center" wrapText="1"/>
    </xf>
    <xf borderId="1" fillId="6" fontId="6" numFmtId="0" xfId="0" applyAlignment="1" applyBorder="1" applyFill="1" applyFont="1">
      <alignment readingOrder="0" shrinkToFit="0" vertical="center" wrapText="1"/>
    </xf>
    <xf borderId="1" fillId="6"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9" fontId="7" numFmtId="0" xfId="0" applyAlignment="1" applyBorder="1" applyFill="1" applyFont="1">
      <alignment shrinkToFit="0" vertical="bottom" wrapText="1"/>
    </xf>
    <xf borderId="1" fillId="0" fontId="5" numFmtId="0" xfId="0" applyAlignment="1" applyBorder="1" applyFont="1">
      <alignment shrinkToFit="0" vertical="center" wrapText="1"/>
    </xf>
    <xf borderId="1" fillId="9" fontId="8" numFmtId="0" xfId="0" applyAlignment="1" applyBorder="1" applyFill="1" applyFont="1">
      <alignment shrinkToFit="0" wrapText="1"/>
    </xf>
    <xf borderId="1" fillId="8" fontId="9"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6" fontId="5" numFmtId="0" xfId="0" applyAlignment="1" applyBorder="1" applyFill="1" applyFont="1">
      <alignment readingOrder="0" shrinkToFit="0" vertical="center" wrapText="1"/>
    </xf>
    <xf borderId="1" fillId="6" fontId="6" numFmtId="0" xfId="0" applyAlignment="1" applyBorder="1" applyFill="1" applyFont="1">
      <alignment readingOrder="0" shrinkToFit="0" vertical="center" wrapText="1"/>
    </xf>
    <xf borderId="1" fillId="6"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Ottima-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AA45"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Ottim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13"/>
    <col customWidth="1" min="2" max="2" width="22.63"/>
    <col customWidth="1" min="3" max="3" width="11.75"/>
    <col customWidth="1" min="4" max="4" width="23.5"/>
    <col customWidth="1" min="5" max="5" width="6.38"/>
    <col customWidth="1" min="6" max="9" width="31.38"/>
    <col customWidth="1" min="10" max="11" width="28.75"/>
    <col customWidth="1" min="12" max="12" width="19.13"/>
    <col customWidth="1" min="13" max="13" width="69.88"/>
    <col customWidth="1" min="14" max="14" width="91.13"/>
    <col customWidth="1" min="15" max="15" width="34.75"/>
    <col customWidth="1" min="16" max="16" width="93.38"/>
    <col customWidth="1" min="17" max="24" width="50.13"/>
    <col customWidth="1" min="25" max="25" width="18.88"/>
    <col customWidth="1" min="26" max="27" width="12.63"/>
  </cols>
  <sheetData>
    <row r="1">
      <c r="A1" s="1" t="s">
        <v>0</v>
      </c>
      <c r="B1" s="1" t="s">
        <v>1</v>
      </c>
      <c r="C1" s="1" t="s">
        <v>2</v>
      </c>
      <c r="D1" s="1" t="s">
        <v>3</v>
      </c>
      <c r="E1" s="1" t="s">
        <v>4</v>
      </c>
      <c r="F1" s="2" t="s">
        <v>5</v>
      </c>
      <c r="G1" s="1" t="s">
        <v>6</v>
      </c>
      <c r="H1" s="2" t="s">
        <v>7</v>
      </c>
      <c r="I1" s="1" t="s">
        <v>8</v>
      </c>
      <c r="J1" s="1" t="s">
        <v>9</v>
      </c>
      <c r="K1" s="1" t="s">
        <v>10</v>
      </c>
      <c r="L1" s="3" t="s">
        <v>11</v>
      </c>
      <c r="M1" s="4" t="s">
        <v>12</v>
      </c>
      <c r="N1" s="2" t="s">
        <v>13</v>
      </c>
      <c r="O1" s="5" t="s">
        <v>14</v>
      </c>
      <c r="P1" s="2" t="s">
        <v>15</v>
      </c>
      <c r="Q1" s="6" t="s">
        <v>16</v>
      </c>
      <c r="R1" s="2" t="s">
        <v>17</v>
      </c>
      <c r="S1" s="1" t="s">
        <v>18</v>
      </c>
      <c r="T1" s="2" t="s">
        <v>19</v>
      </c>
      <c r="U1" s="6" t="s">
        <v>20</v>
      </c>
      <c r="V1" s="1" t="s">
        <v>21</v>
      </c>
      <c r="W1" s="1" t="s">
        <v>22</v>
      </c>
      <c r="X1" s="7" t="s">
        <v>23</v>
      </c>
      <c r="Y1" s="1" t="s">
        <v>24</v>
      </c>
      <c r="Z1" s="1" t="s">
        <v>25</v>
      </c>
      <c r="AA1" s="1" t="s">
        <v>26</v>
      </c>
      <c r="AB1" s="1" t="s">
        <v>27</v>
      </c>
      <c r="AC1" s="8" t="s">
        <v>28</v>
      </c>
      <c r="AD1" s="9" t="s">
        <v>29</v>
      </c>
    </row>
    <row r="2" ht="37.5" customHeight="1">
      <c r="A2" s="10" t="s">
        <v>30</v>
      </c>
      <c r="B2" s="10" t="s">
        <v>31</v>
      </c>
      <c r="C2" s="11" t="s">
        <v>32</v>
      </c>
      <c r="D2" s="10" t="s">
        <v>31</v>
      </c>
      <c r="E2" s="11" t="s">
        <v>33</v>
      </c>
      <c r="F2" s="12"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2" s="11" t="s">
        <v>34</v>
      </c>
      <c r="H2" s="12" t="str">
        <f>IFERROR(__xludf.DUMMYFUNCTION("AI(""Give me a paragraph marketing spiel for this product, no tech specs just marketing fluff under 180 characters "")"),"Elevate your space with elegant design and discreet luxury, creating a sophisticated, seamless glow.")</f>
        <v>Elevate your space with elegant design and discreet luxury, creating a sophisticated, seamless glow.</v>
      </c>
      <c r="I2" s="11" t="s">
        <v>35</v>
      </c>
      <c r="J2" s="11"/>
      <c r="K2" s="11"/>
      <c r="L2" s="13" t="s">
        <v>30</v>
      </c>
      <c r="M2" s="13" t="s">
        <v>36</v>
      </c>
      <c r="N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""&amp;M2)"),"Power|Voltage|IP Rating")</f>
        <v>Power|Voltage|IP Rating</v>
      </c>
      <c r="O2" s="15" t="s">
        <v>37</v>
      </c>
      <c r="P2" s="14" t="str">
        <f>IFERROR(__xludf.DUMMYFUNCTION("AI(""Using the labels""&amp;N2&amp;"" and values ""&amp;M2&amp;"" separated by character '|' and Using ""&amp;L2&amp;"" and key as 'SKU', Create a JSON object"")"),"{""SKU"": ""ADR001"", ""Power"": ""20W"", ""Voltage"": ""12V"", ""IP Rating"": ""IP67""}")</f>
        <v>{"SKU": "ADR001", "Power": "20W", "Voltage": "12V", "IP Rating": "IP67"}</v>
      </c>
      <c r="Q2" s="15" t="s">
        <v>38</v>
      </c>
      <c r="R2"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Q2:Q17)"),"{""SKU"": [""ADR001"", ""ADR002"", ""ADR003"", ""ADR004"", ""ADR005"", ""ADR006"", ""ADR007"", ""ADR008"", ""ADR009"", ""ADR010"", ""ADR011"", ""ADR012"", ""ADR015"", ""ADR016"", ""ADR-400-24V"", ""ADR-500-24V""], ""Power"": [""20W"", ""40W"", ""60W"", """&amp;"100W"", ""150W"", ""200W"", ""300W"", ""400W"", ""500W""], ""Voltage"": [""12V"", ""24V""], ""IP Rating"": ""IP67""}")</f>
        <v>{"SKU": ["ADR001", "ADR002", "ADR003", "ADR004", "ADR005", "ADR006", "ADR007", "ADR008", "ADR009", "ADR010", "ADR011", "ADR012", "ADR015", "ADR016", "ADR-400-24V", "ADR-500-24V"], "Power": ["20W", "40W", "60W", "100W", "150W", "200W", "300W", "400W", "500W"], "Voltage": ["12V", "24V"], "IP Rating": "IP67"}</v>
      </c>
      <c r="S2" s="17" t="s">
        <v>39</v>
      </c>
      <c r="T2"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Q2:Q17)"),"{
""Options"": {
""Power"": [
{""name"": ""20W"", ""id"": ""101""},
{""name"": ""40W"", ""id"": ""102""},
{""name"": ""60W"", ""id"": ""103""},
{""name"": ""100W"", ""id"": ""104""},
{""name"": ""150W"", ""id"": ""105""},
{""name"": ""200W"", ""id"": ""10"&amp;"6""},
{""name"": ""300W"", ""id"": ""107""},
{""name"": ""400W"", ""id"": ""108""},
{""name"": ""500W"", ""id"": ""109""}
],
""Voltage"": [
{""name"": ""12V"", ""id"": ""110""},
{""name"": ""24V"", ""id"": ""111""}
],
""IP Rating"": [
{""name"": ""IP67"","&amp;" ""id"": ""112""}
]
},
""Constraints"": {
""108"": [""110""],
""109"": [""110""]
},
""sku_mappings"": [
{ ""sku"": ""ADR001"", ""combination"": [""101"", ""110"", ""112""] },
{ ""sku"": ""ADR002"", ""combination"": [""101"", ""111"", ""112""] },
{ ""sku"""&amp;": ""ADR003"", ""combination"": [""102"", ""110"", ""112""] },
{ ""sku"": ""ADR004"", ""combination"": [""102"", ""111"", ""112""] },
{ ""sku"": ""ADR005"", ""combination"": [""103"", ""110"", ""112""] },
{ ""sku"": ""ADR006"", ""combination"": [""103"", "&amp;"""111"", ""112""] },
{ ""sku"": ""ADR007"", ""combination"": [""104"", ""110"", ""112""] },
{ ""sku"": ""ADR008"", ""combination"": [""104"", ""111"", ""112""] },
{ ""sku"": ""ADR009"", ""combination"": [""105"", ""110"", ""112""] },
{ ""sku"": ""ADR010"""&amp;", ""combination"": [""105"", ""111"", ""112""] },
{ ""sku"": ""ADR011"", ""combination"": [""106"", ""110"", ""112""] },
{ ""sku"": ""ADR012"", ""combination"": [""106"", ""111"", ""112""] },
{ ""sku"": ""ADR015"", ""combination"": [""107"", ""110"", ""11"&amp;"2""] },
{ ""sku"": ""ADR016"", ""combination"": [""107"", ""111"", ""112""] },
{ ""sku"": ""ADR-400-24V"", ""combination"": [""108"", ""111"", ""112""] },
{ ""sku"": ""ADR-500-24V"", ""combination"": [""109"", ""111"", ""112""] }
]
}")</f>
        <v>{
"Options": {
"Power": [
{"name": "20W", "id": "101"},
{"name": "40W", "id": "102"},
{"name": "60W", "id": "103"},
{"name": "100W", "id": "104"},
{"name": "150W", "id": "105"},
{"name": "200W", "id": "106"},
{"name": "300W", "id": "107"},
{"name": "400W", "id": "108"},
{"name": "500W", "id": "109"}
],
"Voltage": [
{"name": "12V", "id": "110"},
{"name": "24V", "id": "111"}
],
"IP Rating": [
{"name": "IP67", "id": "112"}
]
},
"Constraints": {
"108": ["110"],
"109": ["110"]
},
"sku_mappings": [
{ "sku": "ADR001", "combination": ["101", "110", "112"] },
{ "sku": "ADR002", "combination": ["101", "111", "112"] },
{ "sku": "ADR003", "combination": ["102", "110", "112"] },
{ "sku": "ADR004", "combination": ["102", "111", "112"] },
{ "sku": "ADR005", "combination": ["103", "110", "112"] },
{ "sku": "ADR006", "combination": ["103", "111", "112"] },
{ "sku": "ADR007", "combination": ["104", "110", "112"] },
{ "sku": "ADR008", "combination": ["104", "111", "112"] },
{ "sku": "ADR009", "combination": ["105", "110", "112"] },
{ "sku": "ADR010", "combination": ["105", "111", "112"] },
{ "sku": "ADR011", "combination": ["106", "110", "112"] },
{ "sku": "ADR012", "combination": ["106", "111", "112"] },
{ "sku": "ADR015", "combination": ["107", "110", "112"] },
{ "sku": "ADR016", "combination": ["107", "111", "112"] },
{ "sku": "ADR-400-24V", "combination": ["108", "111", "112"] },
{ "sku": "ADR-500-24V", "combination": ["109", "111", "112"] }
]
}</v>
      </c>
      <c r="U2" s="18" t="s">
        <v>40</v>
      </c>
      <c r="V2" s="19" t="str">
        <f>IFERROR(__xludf.DUMMYFUNCTION("AI(""Extract options object from the json"", U2)"),"{""Power"": [{""name"": ""20W"", ""id"": ""101""}, {""name"": ""40W"", ""id"": ""102""}, {""name"": ""60W"", ""id"": ""103""}, {""name"": ""100W"", ""id"": ""104""}, {""name"": ""150W"", ""id"": ""105""}, {""name"": ""200W"", ""id"": ""106""}, {""name"": "&amp;"""300W"", ""id"": ""107""}, {""name"": ""400W"", ""id"": ""108""}, {""name"": ""500W"", ""id"": ""109""}], ""Voltage"": [{""name"": ""12V"", ""id"": ""110""}, {""name"": ""24V"", ""id"": ""111""}], ""IP Rating"": [{""name"": ""IP67"", ""id"": ""112""}]}")</f>
        <v>{"Power": [{"name": "20W", "id": "101"}, {"name": "40W", "id": "102"}, {"name": "60W", "id": "103"}, {"name": "100W", "id": "104"}, {"name": "150W", "id": "105"}, {"name": "200W", "id": "106"}, {"name": "300W", "id": "107"}, {"name": "400W", "id": "108"}, {"name": "500W", "id": "109"}], "Voltage": [{"name": "12V", "id": "110"}, {"name": "24V", "id": "111"}], "IP Rating": [{"name": "IP67", "id": "112"}]}</v>
      </c>
      <c r="W2" s="19" t="str">
        <f>IFERROR(__xludf.DUMMYFUNCTION("AI(""Extract constraints object from the json"", U2)"),"{ ""108"": [""110""], ""109"": [""110""] }")</f>
        <v>{ "108": ["110"], "109": ["110"] }</v>
      </c>
      <c r="X2" s="19" t="str">
        <f>IFERROR(__xludf.DUMMYFUNCTION("AI(""Extract sku_mappings object from the json"", U2)"),"[
{ ""sku"": ""ADR001"", ""combination"": [""101"", ""110"", ""112""] },
{ ""sku"": ""ADR002"", ""combination"": [""101"", ""111"", ""112""] },
{ ""sku"": ""ADR003"", ""combination"": [""102"", ""110"", ""112""] },
{ ""sku"": ""ADR004"", ""combination"": "&amp;"[""102"", ""111"", ""112""] },
{ ""sku"": ""ADR005"", ""combination"": [""103"", ""110"", ""112""] },
{ ""sku"": ""ADR006"", ""combination"": [""103"", ""111"", ""112""] },
{ ""sku"": ""ADR007"", ""combination"": [""104"", ""110"", ""112""] },
{ ""sku"": "&amp;"""ADR008"", ""combination"": [""104"", ""111"", ""112""] },
{ ""sku"": ""ADR009"", ""combination"": [""105"", ""110"", ""112""] },
{ ""sku"": ""ADR010"", ""combination"": [""105"", ""111"", ""112""] },
{ ""sku"": ""ADR011"", ""combination"": [""106"", ""1"&amp;"10"", ""112""] },
{ ""sku"": ""ADR012"", ""combination"": [""106"", ""111"", ""112""] },
{ ""sku"": ""ADR015"", ""combination"": [""107"", ""110"", ""112""] },
{ ""sku"": ""ADR016"", ""combination"": [""107"", ""111"", ""112""] },
{ ""sku"": ""ADR-400-24V"&amp;""", ""combination"": [""108"", ""111"", ""112""] },
{ ""sku"": ""ADR-500-24V"", ""combination"": [""109"", ""111"", ""112""] }
]")</f>
        <v>[
{ "sku": "ADR001", "combination": ["101", "110", "112"] },
{ "sku": "ADR002", "combination": ["101", "111", "112"] },
{ "sku": "ADR003", "combination": ["102", "110", "112"] },
{ "sku": "ADR004", "combination": ["102", "111", "112"] },
{ "sku": "ADR005", "combination": ["103", "110", "112"] },
{ "sku": "ADR006", "combination": ["103", "111", "112"] },
{ "sku": "ADR007", "combination": ["104", "110", "112"] },
{ "sku": "ADR008", "combination": ["104", "111", "112"] },
{ "sku": "ADR009", "combination": ["105", "110", "112"] },
{ "sku": "ADR010", "combination": ["105", "111", "112"] },
{ "sku": "ADR011", "combination": ["106", "110", "112"] },
{ "sku": "ADR012", "combination": ["106", "111", "112"] },
{ "sku": "ADR015", "combination": ["107", "110", "112"] },
{ "sku": "ADR016", "combination": ["107", "111", "112"] },
{ "sku": "ADR-400-24V", "combination": ["108", "111", "112"] },
{ "sku": "ADR-500-24V", "combination": ["109", "111", "112"] }
]</v>
      </c>
      <c r="Y2" s="17" t="s">
        <v>41</v>
      </c>
      <c r="Z2" s="17" t="s">
        <v>42</v>
      </c>
      <c r="AA2" s="17" t="s">
        <v>43</v>
      </c>
      <c r="AB2" s="20"/>
      <c r="AC2" s="21" t="str">
        <f>IFERROR(__xludf.DUMMYFUNCTION("AI(""Generate 6 powerful unique keywords for the product in this row"")"),"non-dimmable driver, 20W LED driver, 12V power supply, IP67 waterproof driver, outdoor lighting power, architectural LED driver")</f>
        <v>non-dimmable driver, 20W LED driver, 12V power supply, IP67 waterproof driver, outdoor lighting power, architectural LED driver</v>
      </c>
      <c r="AD2" s="20" t="s">
        <v>44</v>
      </c>
    </row>
    <row r="3" ht="37.5" customHeight="1">
      <c r="A3" s="10"/>
      <c r="B3" s="10"/>
      <c r="C3" s="11"/>
      <c r="D3" s="11"/>
      <c r="E3" s="11"/>
      <c r="F3" s="12"/>
      <c r="G3" s="11"/>
      <c r="H3" s="12"/>
      <c r="I3" s="11"/>
      <c r="J3" s="11"/>
      <c r="K3" s="11"/>
      <c r="L3" s="13" t="s">
        <v>45</v>
      </c>
      <c r="M3" s="13" t="s">
        <v>46</v>
      </c>
      <c r="N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""&amp;M3)"),"Power|Voltage|IP Rating")</f>
        <v>Power|Voltage|IP Rating</v>
      </c>
      <c r="O3" s="15" t="s">
        <v>37</v>
      </c>
      <c r="P3" s="14" t="str">
        <f>IFERROR(__xludf.DUMMYFUNCTION("AI(""Using the labels""&amp;N3&amp;"" and values ""&amp;M3&amp;"" separated by character '|' and Using ""&amp;L3&amp;"" and key as 'SKU', Create a JSON object"")"),"{""SKU"": ""ADR002"", ""Power"": ""20W"", ""Voltage"": ""24V"", ""IP Rating"": ""IP67""}")</f>
        <v>{"SKU": "ADR002", "Power": "20W", "Voltage": "24V", "IP Rating": "IP67"}</v>
      </c>
      <c r="Q3" s="15" t="s">
        <v>47</v>
      </c>
      <c r="R3" s="16"/>
      <c r="S3" s="17"/>
      <c r="T3" s="16"/>
      <c r="U3" s="22"/>
      <c r="V3" s="17"/>
      <c r="W3" s="17"/>
      <c r="X3" s="17"/>
      <c r="Y3" s="17" t="s">
        <v>41</v>
      </c>
      <c r="Z3" s="17" t="s">
        <v>48</v>
      </c>
      <c r="AA3" s="17" t="s">
        <v>43</v>
      </c>
      <c r="AB3" s="20"/>
      <c r="AC3" s="20"/>
      <c r="AD3" s="20"/>
    </row>
    <row r="4" ht="37.5" customHeight="1">
      <c r="A4" s="10"/>
      <c r="B4" s="10"/>
      <c r="C4" s="11"/>
      <c r="D4" s="11"/>
      <c r="E4" s="11"/>
      <c r="F4" s="12"/>
      <c r="G4" s="11"/>
      <c r="H4" s="12"/>
      <c r="I4" s="11"/>
      <c r="J4" s="11"/>
      <c r="K4" s="11"/>
      <c r="L4" s="13" t="s">
        <v>49</v>
      </c>
      <c r="M4" s="13" t="s">
        <v>50</v>
      </c>
      <c r="N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""&amp;M4)"),"Power|Voltage|IP Rating")</f>
        <v>Power|Voltage|IP Rating</v>
      </c>
      <c r="O4" s="15" t="s">
        <v>37</v>
      </c>
      <c r="P4" s="14" t="str">
        <f>IFERROR(__xludf.DUMMYFUNCTION("AI(""Using the labels""&amp;N4&amp;"" and values ""&amp;M4&amp;"" separated by character '|' and Using ""&amp;L4&amp;"" and key as 'SKU', Create a JSON object"")"),"{""SKU"": ""ADR003"", ""Power"": ""40W"", ""Voltage"": ""12V"", ""IP Rating"": ""IP67""}")</f>
        <v>{"SKU": "ADR003", "Power": "40W", "Voltage": "12V", "IP Rating": "IP67"}</v>
      </c>
      <c r="Q4" s="15" t="s">
        <v>51</v>
      </c>
      <c r="R4" s="16"/>
      <c r="S4" s="17"/>
      <c r="T4" s="16"/>
      <c r="U4" s="18"/>
      <c r="V4" s="17"/>
      <c r="W4" s="17"/>
      <c r="X4" s="17"/>
      <c r="Y4" s="17" t="s">
        <v>41</v>
      </c>
      <c r="Z4" s="17" t="s">
        <v>52</v>
      </c>
      <c r="AA4" s="17" t="s">
        <v>43</v>
      </c>
      <c r="AB4" s="20"/>
      <c r="AC4" s="20"/>
      <c r="AD4" s="20"/>
    </row>
    <row r="5" ht="37.5" customHeight="1">
      <c r="A5" s="10"/>
      <c r="B5" s="10"/>
      <c r="C5" s="11"/>
      <c r="D5" s="11"/>
      <c r="E5" s="11"/>
      <c r="F5" s="12"/>
      <c r="G5" s="11"/>
      <c r="H5" s="12"/>
      <c r="I5" s="11"/>
      <c r="J5" s="11"/>
      <c r="K5" s="11"/>
      <c r="L5" s="13" t="s">
        <v>53</v>
      </c>
      <c r="M5" s="13" t="s">
        <v>54</v>
      </c>
      <c r="N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""&amp;M5)"),"Power|Voltage|IP Rating")</f>
        <v>Power|Voltage|IP Rating</v>
      </c>
      <c r="O5" s="15" t="s">
        <v>37</v>
      </c>
      <c r="P5" s="14" t="str">
        <f>IFERROR(__xludf.DUMMYFUNCTION("AI(""Using the labels""&amp;N5&amp;"" and values ""&amp;M5&amp;"" separated by character '|' and Using ""&amp;L5&amp;"" and key as 'SKU', Create a JSON object"")"),"{""SKU"": ""ADR004"", ""Power"": ""40W"", ""Voltage"": ""24V"", ""IP Rating"": ""IP67""}")</f>
        <v>{"SKU": "ADR004", "Power": "40W", "Voltage": "24V", "IP Rating": "IP67"}</v>
      </c>
      <c r="Q5" s="15" t="s">
        <v>55</v>
      </c>
      <c r="R5" s="16"/>
      <c r="S5" s="17"/>
      <c r="T5" s="16"/>
      <c r="U5" s="18"/>
      <c r="V5" s="17"/>
      <c r="W5" s="17"/>
      <c r="X5" s="17"/>
      <c r="Y5" s="17" t="s">
        <v>41</v>
      </c>
      <c r="Z5" s="17" t="s">
        <v>56</v>
      </c>
      <c r="AA5" s="17" t="s">
        <v>43</v>
      </c>
      <c r="AB5" s="20"/>
      <c r="AC5" s="20"/>
      <c r="AD5" s="20"/>
    </row>
    <row r="6" ht="37.5" customHeight="1">
      <c r="A6" s="10"/>
      <c r="B6" s="10"/>
      <c r="C6" s="11"/>
      <c r="D6" s="11"/>
      <c r="E6" s="11"/>
      <c r="F6" s="12"/>
      <c r="G6" s="11"/>
      <c r="H6" s="12"/>
      <c r="I6" s="11"/>
      <c r="J6" s="11"/>
      <c r="K6" s="11"/>
      <c r="L6" s="13" t="s">
        <v>57</v>
      </c>
      <c r="M6" s="13" t="s">
        <v>58</v>
      </c>
      <c r="N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""&amp;M6)"),"Power|Voltage|IP Rating")</f>
        <v>Power|Voltage|IP Rating</v>
      </c>
      <c r="O6" s="15" t="s">
        <v>37</v>
      </c>
      <c r="P6" s="14" t="str">
        <f>IFERROR(__xludf.DUMMYFUNCTION("AI(""Using the labels""&amp;N6&amp;"" and values ""&amp;M6&amp;"" separated by character '|' and Using ""&amp;L6&amp;"" and key as 'SKU', Create a JSON object"")"),"{""SKU"": ""ADR005"", ""Power"": ""60W"", ""Voltage"": ""12V"", ""IP Rating"": ""IP67""}")</f>
        <v>{"SKU": "ADR005", "Power": "60W", "Voltage": "12V", "IP Rating": "IP67"}</v>
      </c>
      <c r="Q6" s="15" t="s">
        <v>59</v>
      </c>
      <c r="R6" s="16"/>
      <c r="S6" s="17"/>
      <c r="T6" s="16"/>
      <c r="U6" s="18"/>
      <c r="V6" s="17"/>
      <c r="W6" s="17"/>
      <c r="X6" s="17"/>
      <c r="Y6" s="17" t="s">
        <v>41</v>
      </c>
      <c r="Z6" s="17" t="s">
        <v>60</v>
      </c>
      <c r="AA6" s="17" t="s">
        <v>43</v>
      </c>
      <c r="AB6" s="20"/>
      <c r="AC6" s="20"/>
      <c r="AD6" s="20"/>
    </row>
    <row r="7" ht="37.5" customHeight="1">
      <c r="A7" s="10"/>
      <c r="B7" s="23"/>
      <c r="C7" s="23"/>
      <c r="D7" s="23"/>
      <c r="E7" s="23"/>
      <c r="F7" s="24"/>
      <c r="G7" s="23"/>
      <c r="H7" s="12"/>
      <c r="I7" s="11"/>
      <c r="J7" s="23"/>
      <c r="K7" s="23"/>
      <c r="L7" s="13" t="s">
        <v>61</v>
      </c>
      <c r="M7" s="13" t="s">
        <v>62</v>
      </c>
      <c r="N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""&amp;M7)"),"Power|Voltage|IP Rating")</f>
        <v>Power|Voltage|IP Rating</v>
      </c>
      <c r="O7" s="15" t="s">
        <v>37</v>
      </c>
      <c r="P7" s="14" t="str">
        <f>IFERROR(__xludf.DUMMYFUNCTION("AI(""Using the labels""&amp;N7&amp;"" and values ""&amp;M7&amp;"" separated by character '|' and Using ""&amp;L7&amp;"" and key as 'SKU', Create a JSON object"")"),"{""SKU"": ""ADR006"", ""Power"": ""60W"", ""Voltage"": ""24V"", ""IP Rating"": ""IP67""}")</f>
        <v>{"SKU": "ADR006", "Power": "60W", "Voltage": "24V", "IP Rating": "IP67"}</v>
      </c>
      <c r="Q7" s="15" t="s">
        <v>63</v>
      </c>
      <c r="R7" s="25"/>
      <c r="S7" s="26"/>
      <c r="T7" s="25"/>
      <c r="U7" s="27"/>
      <c r="V7" s="26"/>
      <c r="W7" s="26"/>
      <c r="X7" s="26"/>
      <c r="Y7" s="17" t="s">
        <v>41</v>
      </c>
      <c r="Z7" s="17" t="s">
        <v>64</v>
      </c>
      <c r="AA7" s="17" t="s">
        <v>43</v>
      </c>
      <c r="AB7" s="20"/>
      <c r="AC7" s="20"/>
      <c r="AD7" s="20"/>
    </row>
    <row r="8" ht="37.5" customHeight="1">
      <c r="A8" s="10"/>
      <c r="B8" s="23"/>
      <c r="C8" s="23"/>
      <c r="D8" s="23"/>
      <c r="E8" s="23"/>
      <c r="F8" s="24"/>
      <c r="G8" s="23"/>
      <c r="H8" s="12"/>
      <c r="I8" s="11"/>
      <c r="J8" s="23"/>
      <c r="K8" s="23"/>
      <c r="L8" s="13" t="s">
        <v>65</v>
      </c>
      <c r="M8" s="13" t="s">
        <v>66</v>
      </c>
      <c r="N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""&amp;M8)"),"Power|Voltage|IP Rating")</f>
        <v>Power|Voltage|IP Rating</v>
      </c>
      <c r="O8" s="15" t="s">
        <v>37</v>
      </c>
      <c r="P8" s="14" t="str">
        <f>IFERROR(__xludf.DUMMYFUNCTION("AI(""Using the labels""&amp;N8&amp;"" and values ""&amp;M8&amp;"" separated by character '|' and Using ""&amp;L8&amp;"" and key as 'SKU', Create a JSON object"")"),"{""SKU"": ""ADR007"", ""Power"": ""100W"", ""Voltage"": ""12V"", ""IP Rating"": ""IP67""}")</f>
        <v>{"SKU": "ADR007", "Power": "100W", "Voltage": "12V", "IP Rating": "IP67"}</v>
      </c>
      <c r="Q8" s="15" t="s">
        <v>67</v>
      </c>
      <c r="R8" s="25"/>
      <c r="S8" s="26"/>
      <c r="T8" s="25"/>
      <c r="U8" s="27"/>
      <c r="V8" s="26"/>
      <c r="W8" s="26"/>
      <c r="X8" s="26"/>
      <c r="Y8" s="17" t="s">
        <v>41</v>
      </c>
      <c r="Z8" s="17" t="s">
        <v>68</v>
      </c>
      <c r="AA8" s="17" t="s">
        <v>43</v>
      </c>
      <c r="AB8" s="20"/>
      <c r="AC8" s="20"/>
      <c r="AD8" s="20"/>
    </row>
    <row r="9" ht="37.5" customHeight="1">
      <c r="A9" s="10"/>
      <c r="B9" s="23"/>
      <c r="C9" s="23"/>
      <c r="D9" s="23"/>
      <c r="E9" s="23"/>
      <c r="F9" s="24"/>
      <c r="G9" s="23"/>
      <c r="H9" s="12"/>
      <c r="I9" s="11"/>
      <c r="J9" s="23"/>
      <c r="K9" s="23"/>
      <c r="L9" s="13" t="s">
        <v>69</v>
      </c>
      <c r="M9" s="13" t="s">
        <v>70</v>
      </c>
      <c r="N9"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""&amp;M9)"),"Power|Voltage|IP Rating")</f>
        <v>Power|Voltage|IP Rating</v>
      </c>
      <c r="O9" s="15" t="s">
        <v>37</v>
      </c>
      <c r="P9" s="14" t="str">
        <f>IFERROR(__xludf.DUMMYFUNCTION("AI(""Using the labels""&amp;N9&amp;"" and values ""&amp;M9&amp;"" separated by character '|' and Using ""&amp;L9&amp;"" and key as 'SKU', Create a JSON object"")"),"{""SKU"": ""ADR008"", ""Power"": ""100W"", ""Voltage"": ""24V"", ""IP Rating"": ""IP67""}")</f>
        <v>{"SKU": "ADR008", "Power": "100W", "Voltage": "24V", "IP Rating": "IP67"}</v>
      </c>
      <c r="Q9" s="15" t="s">
        <v>71</v>
      </c>
      <c r="R9" s="25"/>
      <c r="S9" s="26"/>
      <c r="T9" s="25"/>
      <c r="U9" s="27"/>
      <c r="V9" s="26"/>
      <c r="W9" s="26"/>
      <c r="X9" s="26"/>
      <c r="Y9" s="17" t="s">
        <v>41</v>
      </c>
      <c r="Z9" s="17" t="s">
        <v>72</v>
      </c>
      <c r="AA9" s="17" t="s">
        <v>43</v>
      </c>
      <c r="AB9" s="20"/>
      <c r="AC9" s="20"/>
      <c r="AD9" s="20"/>
    </row>
    <row r="10" ht="37.5" customHeight="1">
      <c r="A10" s="10"/>
      <c r="B10" s="11"/>
      <c r="C10" s="11"/>
      <c r="D10" s="11"/>
      <c r="E10" s="11"/>
      <c r="F10" s="12"/>
      <c r="G10" s="11"/>
      <c r="H10" s="12"/>
      <c r="I10" s="11"/>
      <c r="J10" s="23"/>
      <c r="K10" s="23"/>
      <c r="L10" s="13" t="s">
        <v>73</v>
      </c>
      <c r="M10" s="13" t="s">
        <v>74</v>
      </c>
      <c r="N10"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""&amp;M10)"),"Power|Voltage|IP Rating")</f>
        <v>Power|Voltage|IP Rating</v>
      </c>
      <c r="O10" s="15" t="s">
        <v>37</v>
      </c>
      <c r="P10" s="14" t="str">
        <f>IFERROR(__xludf.DUMMYFUNCTION("AI(""Using the labels""&amp;N10&amp;"" and values ""&amp;M10&amp;"" separated by character '|' and Using ""&amp;L10&amp;"" and key as 'SKU', Create a JSON object"")"),"{""SKU"": ""ADR009"", ""Power"": ""150W"", ""Voltage"": ""12V"", ""IP Rating"": ""IP67""}")</f>
        <v>{"SKU": "ADR009", "Power": "150W", "Voltage": "12V", "IP Rating": "IP67"}</v>
      </c>
      <c r="Q10" s="15" t="s">
        <v>75</v>
      </c>
      <c r="R10" s="16"/>
      <c r="S10" s="17"/>
      <c r="T10" s="16"/>
      <c r="U10" s="18"/>
      <c r="V10" s="17"/>
      <c r="W10" s="17"/>
      <c r="X10" s="17"/>
      <c r="Y10" s="17" t="s">
        <v>41</v>
      </c>
      <c r="Z10" s="17" t="s">
        <v>76</v>
      </c>
      <c r="AA10" s="17" t="s">
        <v>43</v>
      </c>
      <c r="AB10" s="20"/>
      <c r="AC10" s="20"/>
      <c r="AD10" s="20"/>
    </row>
    <row r="11" ht="37.5" customHeight="1">
      <c r="A11" s="10"/>
      <c r="B11" s="23"/>
      <c r="C11" s="23"/>
      <c r="D11" s="23"/>
      <c r="E11" s="23"/>
      <c r="F11" s="24"/>
      <c r="G11" s="23"/>
      <c r="H11" s="12"/>
      <c r="I11" s="11"/>
      <c r="J11" s="23"/>
      <c r="K11" s="23"/>
      <c r="L11" s="13" t="s">
        <v>77</v>
      </c>
      <c r="M11" s="13" t="s">
        <v>78</v>
      </c>
      <c r="N11"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""&amp;M11)"),"Power|Voltage|IP Rating")</f>
        <v>Power|Voltage|IP Rating</v>
      </c>
      <c r="O11" s="15" t="s">
        <v>37</v>
      </c>
      <c r="P11" s="14" t="str">
        <f>IFERROR(__xludf.DUMMYFUNCTION("AI(""Using the labels""&amp;N11&amp;"" and values ""&amp;M11&amp;"" separated by character '|' and Using ""&amp;L11&amp;"" and key as 'SKU', Create a JSON object"")"),"{""SKU"": ""ADR010"", ""Power"": ""150W"", ""Voltage"": ""24V"", ""IP Rating"": ""IP67""}")</f>
        <v>{"SKU": "ADR010", "Power": "150W", "Voltage": "24V", "IP Rating": "IP67"}</v>
      </c>
      <c r="Q11" s="15" t="s">
        <v>79</v>
      </c>
      <c r="R11" s="25"/>
      <c r="S11" s="26"/>
      <c r="T11" s="25"/>
      <c r="U11" s="27"/>
      <c r="V11" s="26"/>
      <c r="W11" s="26"/>
      <c r="X11" s="26"/>
      <c r="Y11" s="17" t="s">
        <v>41</v>
      </c>
      <c r="Z11" s="17" t="s">
        <v>80</v>
      </c>
      <c r="AA11" s="17" t="s">
        <v>43</v>
      </c>
      <c r="AB11" s="20"/>
      <c r="AC11" s="20"/>
      <c r="AD11" s="20"/>
    </row>
    <row r="12" ht="37.5" customHeight="1">
      <c r="A12" s="10"/>
      <c r="B12" s="23"/>
      <c r="C12" s="23"/>
      <c r="D12" s="23"/>
      <c r="E12" s="23"/>
      <c r="F12" s="24"/>
      <c r="G12" s="23"/>
      <c r="H12" s="12"/>
      <c r="I12" s="11"/>
      <c r="J12" s="23"/>
      <c r="K12" s="23"/>
      <c r="L12" s="13" t="s">
        <v>81</v>
      </c>
      <c r="M12" s="13" t="s">
        <v>82</v>
      </c>
      <c r="N1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""&amp;M12)"),"Power|Voltage|IP Rating")</f>
        <v>Power|Voltage|IP Rating</v>
      </c>
      <c r="O12" s="15" t="s">
        <v>37</v>
      </c>
      <c r="P12" s="14" t="str">
        <f>IFERROR(__xludf.DUMMYFUNCTION("AI(""Using the labels""&amp;N12&amp;"" and values ""&amp;M12&amp;"" separated by character '|' and Using ""&amp;L12&amp;"" and key as 'SKU', Create a JSON object"")"),"{""SKU"": ""ADR011"", ""Power"": ""200W"", ""Voltage"": ""12V"", ""IP Rating"": ""IP67""}")</f>
        <v>{"SKU": "ADR011", "Power": "200W", "Voltage": "12V", "IP Rating": "IP67"}</v>
      </c>
      <c r="Q12" s="15" t="s">
        <v>83</v>
      </c>
      <c r="R12" s="25"/>
      <c r="S12" s="26"/>
      <c r="T12" s="25"/>
      <c r="U12" s="27"/>
      <c r="V12" s="26"/>
      <c r="W12" s="26"/>
      <c r="X12" s="26"/>
      <c r="Y12" s="17" t="s">
        <v>41</v>
      </c>
      <c r="Z12" s="17" t="s">
        <v>84</v>
      </c>
      <c r="AA12" s="17" t="s">
        <v>43</v>
      </c>
      <c r="AB12" s="20"/>
      <c r="AC12" s="20"/>
      <c r="AD12" s="20"/>
    </row>
    <row r="13" ht="37.5" customHeight="1">
      <c r="A13" s="10"/>
      <c r="B13" s="23"/>
      <c r="C13" s="23"/>
      <c r="D13" s="23"/>
      <c r="E13" s="23"/>
      <c r="F13" s="24"/>
      <c r="G13" s="23"/>
      <c r="H13" s="12"/>
      <c r="I13" s="11"/>
      <c r="J13" s="23"/>
      <c r="K13" s="23"/>
      <c r="L13" s="13" t="s">
        <v>85</v>
      </c>
      <c r="M13" s="13" t="s">
        <v>86</v>
      </c>
      <c r="N1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""&amp;M13)"),"Power|Voltage|IP Rating")</f>
        <v>Power|Voltage|IP Rating</v>
      </c>
      <c r="O13" s="15" t="s">
        <v>37</v>
      </c>
      <c r="P13" s="14" t="str">
        <f>IFERROR(__xludf.DUMMYFUNCTION("AI(""Using the labels""&amp;N13&amp;"" and values ""&amp;M13&amp;"" separated by character '|' and Using ""&amp;L13&amp;"" and key as 'SKU', Create a JSON object"")"),"{""SKU"": ""ADR012"", ""Power"": ""200W"", ""Voltage"": ""24V"", ""IP Rating"": ""IP67""}")</f>
        <v>{"SKU": "ADR012", "Power": "200W", "Voltage": "24V", "IP Rating": "IP67"}</v>
      </c>
      <c r="Q13" s="15" t="s">
        <v>87</v>
      </c>
      <c r="R13" s="25"/>
      <c r="S13" s="26"/>
      <c r="T13" s="25"/>
      <c r="U13" s="27"/>
      <c r="V13" s="26"/>
      <c r="W13" s="26"/>
      <c r="X13" s="26"/>
      <c r="Y13" s="17" t="s">
        <v>41</v>
      </c>
      <c r="Z13" s="17" t="s">
        <v>88</v>
      </c>
      <c r="AA13" s="17" t="s">
        <v>43</v>
      </c>
      <c r="AB13" s="20"/>
      <c r="AC13" s="20"/>
      <c r="AD13" s="20"/>
    </row>
    <row r="14" ht="37.5" customHeight="1">
      <c r="A14" s="10"/>
      <c r="B14" s="11"/>
      <c r="C14" s="11"/>
      <c r="D14" s="11"/>
      <c r="E14" s="11"/>
      <c r="F14" s="12"/>
      <c r="G14" s="11"/>
      <c r="H14" s="12"/>
      <c r="I14" s="11"/>
      <c r="J14" s="23"/>
      <c r="K14" s="23"/>
      <c r="L14" s="13" t="s">
        <v>89</v>
      </c>
      <c r="M14" s="13" t="s">
        <v>90</v>
      </c>
      <c r="N1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""&amp;M14)"),"Power|Voltage|IP Rating")</f>
        <v>Power|Voltage|IP Rating</v>
      </c>
      <c r="O14" s="15" t="s">
        <v>37</v>
      </c>
      <c r="P14" s="14" t="str">
        <f>IFERROR(__xludf.DUMMYFUNCTION("AI(""Using the labels""&amp;N14&amp;"" and values ""&amp;M14&amp;"" separated by character '|' and Using ""&amp;L14&amp;"" and key as 'SKU', Create a JSON object"")"),"{""SKU"": ""ADR015"", ""Power"": ""300W"", ""Voltage"": ""12V"", ""IP Rating"": ""IP67""}")</f>
        <v>{"SKU": "ADR015", "Power": "300W", "Voltage": "12V", "IP Rating": "IP67"}</v>
      </c>
      <c r="Q14" s="15" t="s">
        <v>91</v>
      </c>
      <c r="R14" s="16"/>
      <c r="S14" s="17"/>
      <c r="T14" s="16"/>
      <c r="U14" s="18"/>
      <c r="V14" s="17"/>
      <c r="W14" s="17"/>
      <c r="X14" s="17"/>
      <c r="Y14" s="17" t="s">
        <v>41</v>
      </c>
      <c r="Z14" s="17" t="s">
        <v>92</v>
      </c>
      <c r="AA14" s="17" t="s">
        <v>43</v>
      </c>
      <c r="AB14" s="20"/>
      <c r="AC14" s="20"/>
      <c r="AD14" s="20"/>
    </row>
    <row r="15" ht="37.5" customHeight="1">
      <c r="A15" s="10"/>
      <c r="B15" s="23"/>
      <c r="C15" s="23"/>
      <c r="D15" s="23"/>
      <c r="E15" s="23"/>
      <c r="F15" s="24"/>
      <c r="G15" s="23"/>
      <c r="H15" s="12"/>
      <c r="I15" s="11"/>
      <c r="J15" s="23"/>
      <c r="K15" s="23"/>
      <c r="L15" s="13" t="s">
        <v>93</v>
      </c>
      <c r="M15" s="13" t="s">
        <v>94</v>
      </c>
      <c r="N1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""&amp;M15)"),"Power|Voltage|IP Rating")</f>
        <v>Power|Voltage|IP Rating</v>
      </c>
      <c r="O15" s="15" t="s">
        <v>37</v>
      </c>
      <c r="P15" s="14" t="str">
        <f>IFERROR(__xludf.DUMMYFUNCTION("AI(""Using the labels""&amp;N15&amp;"" and values ""&amp;M15&amp;"" separated by character '|' and Using ""&amp;L15&amp;"" and key as 'SKU', Create a JSON object"")"),"{""SKU"": ""ADR016"", ""Power"": ""300W"", ""Voltage"": ""24V"", ""IP Rating"": ""IP67""}")</f>
        <v>{"SKU": "ADR016", "Power": "300W", "Voltage": "24V", "IP Rating": "IP67"}</v>
      </c>
      <c r="Q15" s="15" t="s">
        <v>95</v>
      </c>
      <c r="R15" s="25"/>
      <c r="S15" s="26"/>
      <c r="T15" s="25"/>
      <c r="U15" s="27"/>
      <c r="V15" s="26"/>
      <c r="W15" s="26"/>
      <c r="X15" s="26"/>
      <c r="Y15" s="17" t="s">
        <v>41</v>
      </c>
      <c r="Z15" s="17" t="s">
        <v>96</v>
      </c>
      <c r="AA15" s="17" t="s">
        <v>43</v>
      </c>
      <c r="AB15" s="20"/>
      <c r="AC15" s="20"/>
      <c r="AD15" s="20"/>
    </row>
    <row r="16" ht="37.5" customHeight="1">
      <c r="A16" s="10"/>
      <c r="B16" s="23"/>
      <c r="C16" s="23"/>
      <c r="D16" s="23"/>
      <c r="E16" s="23"/>
      <c r="F16" s="24"/>
      <c r="G16" s="23"/>
      <c r="H16" s="24"/>
      <c r="I16" s="23"/>
      <c r="J16" s="23"/>
      <c r="K16" s="23"/>
      <c r="L16" s="13" t="s">
        <v>97</v>
      </c>
      <c r="M16" s="13" t="s">
        <v>98</v>
      </c>
      <c r="N1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""&amp;M16)"),"Power|Voltage|IP Rating")</f>
        <v>Power|Voltage|IP Rating</v>
      </c>
      <c r="O16" s="15" t="s">
        <v>37</v>
      </c>
      <c r="P16" s="14" t="str">
        <f>IFERROR(__xludf.DUMMYFUNCTION("AI(""Using the labels""&amp;N16&amp;"" and values ""&amp;M16&amp;"" separated by character '|' and Using ""&amp;L16&amp;"" and key as 'SKU', Create a JSON object"")"),"{""SKU"": ""ADR-400-24V"", ""Power"": ""400W"", ""Voltage"": ""24V"", ""IP Rating"": ""IP67""}")</f>
        <v>{"SKU": "ADR-400-24V", "Power": "400W", "Voltage": "24V", "IP Rating": "IP67"}</v>
      </c>
      <c r="Q16" s="15" t="s">
        <v>99</v>
      </c>
      <c r="R16" s="25"/>
      <c r="S16" s="26"/>
      <c r="T16" s="25"/>
      <c r="U16" s="27"/>
      <c r="V16" s="26"/>
      <c r="W16" s="26"/>
      <c r="X16" s="26"/>
      <c r="Y16" s="17" t="s">
        <v>41</v>
      </c>
      <c r="Z16" s="17" t="s">
        <v>100</v>
      </c>
      <c r="AA16" s="17" t="s">
        <v>43</v>
      </c>
      <c r="AB16" s="20"/>
      <c r="AC16" s="20"/>
      <c r="AD16" s="20"/>
    </row>
    <row r="17" ht="37.5" customHeight="1">
      <c r="A17" s="10"/>
      <c r="B17" s="23"/>
      <c r="C17" s="23"/>
      <c r="D17" s="23"/>
      <c r="E17" s="23"/>
      <c r="F17" s="24"/>
      <c r="G17" s="23"/>
      <c r="H17" s="24"/>
      <c r="I17" s="23"/>
      <c r="J17" s="23"/>
      <c r="K17" s="23"/>
      <c r="L17" s="13" t="s">
        <v>101</v>
      </c>
      <c r="M17" s="13" t="s">
        <v>102</v>
      </c>
      <c r="N1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""&amp;M17)"),"Power|Voltage|IP Rating")</f>
        <v>Power|Voltage|IP Rating</v>
      </c>
      <c r="O17" s="15" t="s">
        <v>37</v>
      </c>
      <c r="P17" s="14" t="str">
        <f>IFERROR(__xludf.DUMMYFUNCTION("AI(""Using the labels""&amp;N17&amp;"" and values ""&amp;M17&amp;"" separated by character '|' and Using ""&amp;L17&amp;"" and key as 'SKU', Create a JSON object"")"),"{""SKU"": ""ADR-500-24V"", ""Power"": ""500W"", ""Voltage"": ""24V"", ""IP Rating"": ""IP67""}")</f>
        <v>{"SKU": "ADR-500-24V", "Power": "500W", "Voltage": "24V", "IP Rating": "IP67"}</v>
      </c>
      <c r="Q17" s="15" t="s">
        <v>103</v>
      </c>
      <c r="R17" s="25"/>
      <c r="S17" s="26"/>
      <c r="T17" s="25"/>
      <c r="U17" s="27"/>
      <c r="V17" s="26"/>
      <c r="W17" s="26"/>
      <c r="X17" s="26"/>
      <c r="Y17" s="17" t="s">
        <v>41</v>
      </c>
      <c r="Z17" s="17" t="s">
        <v>104</v>
      </c>
      <c r="AA17" s="17" t="s">
        <v>105</v>
      </c>
      <c r="AB17" s="20"/>
      <c r="AC17" s="20"/>
      <c r="AD17" s="20"/>
    </row>
    <row r="18" ht="37.5" customHeight="1">
      <c r="A18" s="10" t="s">
        <v>106</v>
      </c>
      <c r="B18" s="11" t="s">
        <v>107</v>
      </c>
      <c r="C18" s="11" t="s">
        <v>32</v>
      </c>
      <c r="D18" s="11" t="s">
        <v>107</v>
      </c>
      <c r="E18" s="11" t="s">
        <v>33</v>
      </c>
      <c r="F18" s="12"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18" s="11" t="s">
        <v>34</v>
      </c>
      <c r="H18" s="12" t="str">
        <f>IFERROR(__xludf.DUMMYFUNCTION("AI(""Give me a paragraph marketing spiel for this product, no tech specs just marketing fluff under 180 characters "")"),"Elevate your space with elegant design and discreet luxury, creating a sophisticated, seamless glow.")</f>
        <v>Elevate your space with elegant design and discreet luxury, creating a sophisticated, seamless glow.</v>
      </c>
      <c r="I18" s="11" t="s">
        <v>35</v>
      </c>
      <c r="J18" s="23"/>
      <c r="K18" s="23"/>
      <c r="L18" s="13" t="s">
        <v>106</v>
      </c>
      <c r="M18" s="13" t="s">
        <v>108</v>
      </c>
      <c r="N1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""&amp;M18)"),"Power|Voltage|IP Rating|AC Phase-Cut|Current Sinking|Current Sourcing|Duty Cycle|Variable Resistance")</f>
        <v>Power|Voltage|IP Rating|AC Phase-Cut|Current Sinking|Current Sourcing|Duty Cycle|Variable Resistance</v>
      </c>
      <c r="O18" s="15" t="s">
        <v>109</v>
      </c>
      <c r="P18" s="14" t="str">
        <f>IFERROR(__xludf.DUMMYFUNCTION("AI(""Using the labels""&amp;N18&amp;"" and values ""&amp;M18&amp;"" separated by character '|' and Using ""&amp;L18&amp;"" and key as 'SKU', Create a JSON object"")"),"{""SKU"": ""ADR003D"", ""Power"": ""30W"", ""Voltage"": ""12V"", ""IP Rating"": ""IP67"", ""AC Phase-Cut"": ""Triac"", ""Current Sinking"": ""0-10V"", ""Current Sourcing"": ""1-10V"", ""Duty Cycle"": ""PWM"", ""Variable Resistance"": ""Potentiometer""}")</f>
        <v>{"SKU": "ADR003D", "Power": "30W", "Voltage": "12V", "IP Rating": "IP67", "AC Phase-Cut": "Triac", "Current Sinking": "0-10V", "Current Sourcing": "1-10V", "Duty Cycle": "PWM", "Variable Resistance": "Potentiometer"}</v>
      </c>
      <c r="Q18" s="15" t="s">
        <v>110</v>
      </c>
      <c r="R18"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Q18:Q29)"),"{""SKU"": [""ADR003D"", ""ADR004D"", ""ADR005D"", ""ADR006D"", ""ADR007D"", ""ADR008D"", ""ADR009D"", ""ADR010D"", ""ADR011D"", ""ADR012D"", ""ADR015D"", ""ADR016D""], ""Power"": [""30W"", ""60W"", ""100W"", ""150W"", ""200W"", ""300W""], ""Voltage"": ["""&amp;"12V"", ""24V""], ""IP Rating"": ""IP67"", ""AC Phase-Cut"": ""Triac"", ""Current Sinking"": ""0-10V"", ""Current Sourcing"": ""1-10V"", ""Duty Cycle"": ""PWM"", ""Variable Resistance"": ""Potentiometer""}")</f>
        <v>{"SKU": ["ADR003D", "ADR004D", "ADR005D", "ADR006D", "ADR007D", "ADR008D", "ADR009D", "ADR010D", "ADR011D", "ADR012D", "ADR015D", "ADR016D"], "Power": ["30W", "60W", "100W", "150W", "200W", "300W"], "Voltage": ["12V", "24V"], "IP Rating": "IP67", "AC Phase-Cut": "Triac", "Current Sinking": "0-10V", "Current Sourcing": "1-10V", "Duty Cycle": "PWM", "Variable Resistance": "Potentiometer"}</v>
      </c>
      <c r="S18" s="17" t="s">
        <v>111</v>
      </c>
      <c r="T18"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Q18:Q29)"),"{
""Options"": {
""Power"": [
{""name"": ""30W"", ""id"": ""101""},
{""name"": ""60W"", ""id"": ""102""},
{""name"": ""100W"", ""id"": ""103""},
{""name"": ""150W"", ""id"": ""104""},
{""name"": ""200W"", ""id"": ""105""},
{""name"": ""300W"", ""id"": ""1"&amp;"06""}
],
""Voltage"": [
{""name"": ""12V"", ""id"": ""107""},
{""name"": ""24V"", ""id"": ""108""}
],
""IP Rating"": [
{""name"": ""IP67"", ""id"": ""109""}
],
""AC Phase-Cut"": [
{""name"": ""Triac"", ""id"": ""110""}
],
""Current Sinking"": [
{""name"":"&amp;" ""0-10V"", ""id"": ""111""}
],
""Current Sourcing"": [
{""name"": ""1-10V"", ""id"": ""112""}
],
""Duty Cycle"": [
{""name"": ""PWM"", ""id"": ""113""}
],
""Variable Resistance"": [
{""name"": ""Potentiometer"", ""id"": ""114""}
]
},
""Constraints"": {},"&amp;"
""sku_mappings"": [
{ ""sku"": ""ADR003D"", ""combination"": [""101"", ""107"", ""109"", ""110"", ""111"", ""112"", ""113"", ""114""] },
{ ""sku"": ""ADR004D"", ""combination"": [""101"", ""108"", ""109"", ""110"", ""111"", ""112"", ""113"", ""114""] },
"&amp;"{ ""sku"": ""ADR005D"", ""combination"": [""102"", ""107"", ""109"", ""110"", ""111"", ""112"", ""113"", ""114""] },
{ ""sku"": ""ADR006D"", ""combination"": [""102"", ""108"", ""109"", ""110"", ""111"", ""112"", ""113"", ""114""] },
{ ""sku"": ""ADR007D"&amp;""", ""combination"": [""103"", ""107"", ""109"", ""110"", ""111"", ""112"", ""113"", ""114""] },
{ ""sku"": ""ADR008D"", ""combination"": [""103"", ""108"", ""109"", ""110"", ""111"", ""112"", ""113"", ""114""] },
{ ""sku"": ""ADR009D"", ""combination"": "&amp;"[""104"", ""107"", ""109"", ""110"", ""111"", ""112"", ""113"", ""114""] },
{ ""sku"": ""ADR010D"", ""combination"": [""104"", ""108"", ""109"", ""110"", ""111"", ""112"", ""113"", ""114""] },
{ ""sku"": ""ADR011D"", ""combination"": [""105"", ""108"", """&amp;"109"", ""110"", ""111"", ""112"", ""113"", ""114""] },
{ ""sku"": ""ADR012D"", ""combination"": [""105"", ""107"", ""109"", ""110"", ""111"", ""112"", ""113"", ""114""] },
{ ""sku"": ""ADR015D"", ""combination"": [""106"", ""107"", ""109"", ""110"", ""111"&amp;""", ""112"", ""113"", ""114""] },
{ ""sku"": ""ADR016D"", ""combination"": [""106"", ""108"", ""109"", ""110"", ""111"", ""112"", ""113"", ""114""] }
]
}")</f>
        <v>{
"Options": {
"Power": [
{"name": "30W", "id": "101"},
{"name": "60W", "id": "102"},
{"name": "100W", "id": "103"},
{"name": "150W", "id": "104"},
{"name": "200W", "id": "105"},
{"name": "300W", "id": "106"}
],
"Voltage": [
{"name": "12V", "id": "107"},
{"name": "24V", "id": "108"}
],
"IP Rating": [
{"name": "IP67", "id": "109"}
],
"AC Phase-Cut": [
{"name": "Triac", "id": "110"}
],
"Current Sinking": [
{"name": "0-10V", "id": "111"}
],
"Current Sourcing": [
{"name": "1-10V", "id": "112"}
],
"Duty Cycle": [
{"name": "PWM", "id": "113"}
],
"Variable Resistance": [
{"name": "Potentiometer", "id": "114"}
]
},
"Constraints": {},
"sku_mappings": [
{ "sku": "ADR003D", "combination": ["101", "107", "109", "110", "111", "112", "113", "114"] },
{ "sku": "ADR004D", "combination": ["101", "108", "109", "110", "111", "112", "113", "114"] },
{ "sku": "ADR005D", "combination": ["102", "107", "109", "110", "111", "112", "113", "114"] },
{ "sku": "ADR006D", "combination": ["102", "108", "109", "110", "111", "112", "113", "114"] },
{ "sku": "ADR007D", "combination": ["103", "107", "109", "110", "111", "112", "113", "114"] },
{ "sku": "ADR008D", "combination": ["103", "108", "109", "110", "111", "112", "113", "114"] },
{ "sku": "ADR009D", "combination": ["104", "107", "109", "110", "111", "112", "113", "114"] },
{ "sku": "ADR010D", "combination": ["104", "108", "109", "110", "111", "112", "113", "114"] },
{ "sku": "ADR011D", "combination": ["105", "108", "109", "110", "111", "112", "113", "114"] },
{ "sku": "ADR012D", "combination": ["105", "107", "109", "110", "111", "112", "113", "114"] },
{ "sku": "ADR015D", "combination": ["106", "107", "109", "110", "111", "112", "113", "114"] },
{ "sku": "ADR016D", "combination": ["106", "108", "109", "110", "111", "112", "113", "114"] }
]
}</v>
      </c>
      <c r="U18" s="18" t="s">
        <v>112</v>
      </c>
      <c r="V18" s="19" t="str">
        <f>IFERROR(__xludf.DUMMYFUNCTION("AI(""Extract options object from the json"", U18)"),"{
""Power"": [
{""name"": ""30W"", ""id"": ""101""},
{""name"": ""60W"", ""id"": ""102""},
{""name"": ""100W"", ""id"": ""103""},
{""name"": ""150W"", ""id"": ""104""},
{""name"": ""200W"", ""id"": ""105""},
{""name"": ""300W"", ""id"": ""106""}
],
""Volt"&amp;"age"": [
{""name"": ""12V"", ""id"": ""107""},
{""name"": ""24V"", ""id"": ""108""}
],
""IP Rating"": [
{""name"": ""IP67"", ""id"": ""109""}
],
""AC Phase-Cut"": [
{""name"": ""Triac"", ""id"": ""110""}
],
""Current Sinking"": [
{""name"": ""0-10V"", ""i"&amp;"d"": ""111""}
],
""Current Sourcing"": [
{""name"": ""1-10V"", ""id"": ""112""}
],
""Duty Cycle"": [
{""name"": ""PWM"", ""id"": ""113""}
],
""Variable Resistance"": [
{""name"": ""Potentiometer"", ""id"": ""114""}
]
}")</f>
        <v>{
"Power": [
{"name": "30W", "id": "101"},
{"name": "60W", "id": "102"},
{"name": "100W", "id": "103"},
{"name": "150W", "id": "104"},
{"name": "200W", "id": "105"},
{"name": "300W", "id": "106"}
],
"Voltage": [
{"name": "12V", "id": "107"},
{"name": "24V", "id": "108"}
],
"IP Rating": [
{"name": "IP67", "id": "109"}
],
"AC Phase-Cut": [
{"name": "Triac", "id": "110"}
],
"Current Sinking": [
{"name": "0-10V", "id": "111"}
],
"Current Sourcing": [
{"name": "1-10V", "id": "112"}
],
"Duty Cycle": [
{"name": "PWM", "id": "113"}
],
"Variable Resistance": [
{"name": "Potentiometer", "id": "114"}
]
}</v>
      </c>
      <c r="W18" s="19" t="str">
        <f>IFERROR(__xludf.DUMMYFUNCTION("AI(""Extract constraints object from the json"", U18)"),"{}")</f>
        <v>{}</v>
      </c>
      <c r="X18" s="19" t="str">
        <f>IFERROR(__xludf.DUMMYFUNCTION("AI(""Extract sku_mappings object from the json"", U18)"),"[{""sku"": ""ADR003D"", ""combination"": [""101"", ""107"", ""109"", ""110"", ""111"", ""112"", ""113"", ""114""]}, {""sku"": ""ADR004D"", ""combination"": [""101"", ""108"", ""109"", ""110"", ""111"", ""112"", ""113"", ""114""]}, {""sku"": ""ADR005D"", "&amp;"""combination"": [""102"", ""107"", ""109"", ""110"", ""111"", ""112"", ""113"", ""114""]}, {""sku"": ""ADR006D"", ""combination"": [""102"", ""108"", ""109"", ""110"", ""111"", ""112"", ""113"", ""114""]}, {""sku"": ""ADR007D"", ""combination"": [""103"""&amp;", ""107"", ""109"", ""110"", ""111"", ""112"", ""113"", ""114""]}, {""sku"": ""ADR008D"", ""combination"": [""103"", ""108"", ""109"", ""110"", ""111"", ""112"", ""113"", ""114""]}, {""sku"": ""ADR009D"", ""combination"": [""104"", ""107"", ""109"", ""110"&amp;""", ""111"", ""112"", ""113"", ""114""]}, {""sku"": ""ADR010D"", ""combination"": [""104"", ""108"", ""109"", ""110"", ""111"", ""112"", ""113"", ""114""]}, {""sku"": ""ADR011D"", ""combination"": [""105"", ""108"", ""109"", ""110"", ""111"", ""112"", ""1"&amp;"13"", ""114""]}, {""sku"": ""ADR012D"", ""combination"": [""105"", ""107"", ""109"", ""110"", ""111"", ""112"", ""113"", ""114""]}, {""sku"": ""ADR015D"", ""combination"": [""106"", ""107"", ""109"", ""110"", ""111"", ""112"", ""113"", ""114""]}, {""sku"""&amp;": ""ADR016D"", ""combination"": [""106"", ""108"", ""109"", ""110"", ""111"", ""112"", ""113"", ""114""]}]")</f>
        <v>[{"sku": "ADR003D", "combination": ["101", "107", "109", "110", "111", "112", "113", "114"]}, {"sku": "ADR004D", "combination": ["101", "108", "109", "110", "111", "112", "113", "114"]}, {"sku": "ADR005D", "combination": ["102", "107", "109", "110", "111", "112", "113", "114"]}, {"sku": "ADR006D", "combination": ["102", "108", "109", "110", "111", "112", "113", "114"]}, {"sku": "ADR007D", "combination": ["103", "107", "109", "110", "111", "112", "113", "114"]}, {"sku": "ADR008D", "combination": ["103", "108", "109", "110", "111", "112", "113", "114"]}, {"sku": "ADR009D", "combination": ["104", "107", "109", "110", "111", "112", "113", "114"]}, {"sku": "ADR010D", "combination": ["104", "108", "109", "110", "111", "112", "113", "114"]}, {"sku": "ADR011D", "combination": ["105", "108", "109", "110", "111", "112", "113", "114"]}, {"sku": "ADR012D", "combination": ["105", "107", "109", "110", "111", "112", "113", "114"]}, {"sku": "ADR015D", "combination": ["106", "107", "109", "110", "111", "112", "113", "114"]}, {"sku": "ADR016D", "combination": ["106", "108", "109", "110", "111", "112", "113", "114"]}]</v>
      </c>
      <c r="Y18" s="17" t="s">
        <v>41</v>
      </c>
      <c r="Z18" s="17" t="s">
        <v>113</v>
      </c>
      <c r="AA18" s="17" t="s">
        <v>43</v>
      </c>
      <c r="AB18" s="20"/>
      <c r="AC18" s="21" t="str">
        <f>IFERROR(__xludf.DUMMYFUNCTION("AI(""Generate 6 powerful unique keywords for the product in this row"")"),"Dimming Driver, LED Driver, 5-in-1 Dimmer, IP67 Waterproof, 12V Power Supply, Triac Dimmer")</f>
        <v>Dimming Driver, LED Driver, 5-in-1 Dimmer, IP67 Waterproof, 12V Power Supply, Triac Dimmer</v>
      </c>
      <c r="AD18" s="20" t="s">
        <v>114</v>
      </c>
    </row>
    <row r="19" ht="37.5" customHeight="1">
      <c r="A19" s="10"/>
      <c r="B19" s="23"/>
      <c r="C19" s="23"/>
      <c r="D19" s="23"/>
      <c r="E19" s="23"/>
      <c r="F19" s="24"/>
      <c r="G19" s="23"/>
      <c r="H19" s="24"/>
      <c r="I19" s="23"/>
      <c r="J19" s="23"/>
      <c r="K19" s="23"/>
      <c r="L19" s="13" t="s">
        <v>115</v>
      </c>
      <c r="M19" s="13" t="s">
        <v>116</v>
      </c>
      <c r="N19"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""&amp;M19)"),"Power|Voltage|IP Rating|AC Phase-Cut|Current Sinking|Current Sourcing|Duty Cycle|Variable Resistance")</f>
        <v>Power|Voltage|IP Rating|AC Phase-Cut|Current Sinking|Current Sourcing|Duty Cycle|Variable Resistance</v>
      </c>
      <c r="O19" s="15" t="s">
        <v>109</v>
      </c>
      <c r="P19" s="14" t="str">
        <f>IFERROR(__xludf.DUMMYFUNCTION("AI(""Using the labels""&amp;N19&amp;"" and values ""&amp;M19&amp;"" separated by character '|' and Using ""&amp;L19&amp;"" and key as 'SKU', Create a JSON object"")"),"{""SKU"": ""ADR004D"", ""Power"": ""30W"", ""Voltage"": ""24V"", ""IP Rating"": ""IP67"", ""AC Phase-Cut"": ""Triac"", ""Current Sinking"": ""0-10V"", ""Current Sourcing"": ""1-10V"", ""Duty Cycle"": ""PWM"", ""Variable Resistance"": ""Potentiometer""}")</f>
        <v>{"SKU": "ADR004D", "Power": "30W", "Voltage": "24V", "IP Rating": "IP67", "AC Phase-Cut": "Triac", "Current Sinking": "0-10V", "Current Sourcing": "1-10V", "Duty Cycle": "PWM", "Variable Resistance": "Potentiometer"}</v>
      </c>
      <c r="Q19" s="15" t="s">
        <v>117</v>
      </c>
      <c r="R19" s="25"/>
      <c r="S19" s="26"/>
      <c r="T19" s="25"/>
      <c r="U19" s="27"/>
      <c r="V19" s="26"/>
      <c r="W19" s="26"/>
      <c r="X19" s="26"/>
      <c r="Y19" s="17" t="s">
        <v>41</v>
      </c>
      <c r="Z19" s="17" t="s">
        <v>118</v>
      </c>
      <c r="AA19" s="17" t="s">
        <v>43</v>
      </c>
      <c r="AB19" s="20"/>
      <c r="AC19" s="20"/>
      <c r="AD19" s="20"/>
    </row>
    <row r="20" ht="37.5" customHeight="1">
      <c r="A20" s="10"/>
      <c r="B20" s="23"/>
      <c r="C20" s="23"/>
      <c r="D20" s="23"/>
      <c r="E20" s="23"/>
      <c r="F20" s="24"/>
      <c r="G20" s="23"/>
      <c r="H20" s="24"/>
      <c r="I20" s="23"/>
      <c r="J20" s="23"/>
      <c r="K20" s="23"/>
      <c r="L20" s="13" t="s">
        <v>119</v>
      </c>
      <c r="M20" s="13" t="s">
        <v>120</v>
      </c>
      <c r="N20"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""&amp;M20)"),"Power|Voltage|IP Rating|AC Phase-Cut|Current Sinking|Current Sourcing|Duty Cycle|Variable Resistance")</f>
        <v>Power|Voltage|IP Rating|AC Phase-Cut|Current Sinking|Current Sourcing|Duty Cycle|Variable Resistance</v>
      </c>
      <c r="O20" s="15" t="s">
        <v>109</v>
      </c>
      <c r="P20" s="14" t="str">
        <f>IFERROR(__xludf.DUMMYFUNCTION("AI(""Using the labels""&amp;N20&amp;"" and values ""&amp;M20&amp;"" separated by character '|' and Using ""&amp;L20&amp;"" and key as 'SKU', Create a JSON object"")"),"{""SKU"": ""ADR005D"", ""Power"": ""60W"", ""Voltage"": ""12V"", ""IP Rating"": ""IP67"", ""AC Phase-Cut"": ""Triac"", ""Current Sinking"": ""0-10V"", ""Current Sourcing"": ""1-10V"", ""Duty Cycle"": ""PWM"", ""Variable Resistance"": ""Potentiometer""}")</f>
        <v>{"SKU": "ADR005D", "Power": "60W", "Voltage": "12V", "IP Rating": "IP67", "AC Phase-Cut": "Triac", "Current Sinking": "0-10V", "Current Sourcing": "1-10V", "Duty Cycle": "PWM", "Variable Resistance": "Potentiometer"}</v>
      </c>
      <c r="Q20" s="15" t="s">
        <v>121</v>
      </c>
      <c r="R20" s="25"/>
      <c r="S20" s="26"/>
      <c r="T20" s="25"/>
      <c r="U20" s="27"/>
      <c r="V20" s="26"/>
      <c r="W20" s="26"/>
      <c r="X20" s="26"/>
      <c r="Y20" s="17" t="s">
        <v>41</v>
      </c>
      <c r="Z20" s="17" t="s">
        <v>122</v>
      </c>
      <c r="AA20" s="17" t="s">
        <v>43</v>
      </c>
      <c r="AB20" s="20"/>
      <c r="AC20" s="20"/>
      <c r="AD20" s="20"/>
    </row>
    <row r="21" ht="37.5" customHeight="1">
      <c r="A21" s="10"/>
      <c r="B21" s="23"/>
      <c r="C21" s="23"/>
      <c r="D21" s="23"/>
      <c r="E21" s="23"/>
      <c r="F21" s="24"/>
      <c r="G21" s="23"/>
      <c r="H21" s="24"/>
      <c r="I21" s="23"/>
      <c r="J21" s="23"/>
      <c r="K21" s="23"/>
      <c r="L21" s="13" t="s">
        <v>123</v>
      </c>
      <c r="M21" s="13" t="s">
        <v>124</v>
      </c>
      <c r="N21"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""&amp;M21)"),"Power|Voltage|IP Rating|AC Phase-Cut|Current Sinking|Current Sourcing|Duty Cycle|Variable Resistance")</f>
        <v>Power|Voltage|IP Rating|AC Phase-Cut|Current Sinking|Current Sourcing|Duty Cycle|Variable Resistance</v>
      </c>
      <c r="O21" s="15" t="s">
        <v>109</v>
      </c>
      <c r="P21" s="14" t="str">
        <f>IFERROR(__xludf.DUMMYFUNCTION("AI(""Using the labels""&amp;N21&amp;"" and values ""&amp;M21&amp;"" separated by character '|' and Using ""&amp;L21&amp;"" and key as 'SKU', Create a JSON object"")"),"{""SKU"": ""ADR006D"", ""Power"": ""60W"", ""Voltage"": ""24V"", ""IP Rating"": ""IP67"", ""AC Phase-Cut"": ""Triac"", ""Current Sinking"": ""0-10V"", ""Current Sourcing"": ""1-10V"", ""Duty Cycle"": ""PWM"", ""Variable Resistance"": ""Potentiometer""}")</f>
        <v>{"SKU": "ADR006D", "Power": "60W", "Voltage": "24V", "IP Rating": "IP67", "AC Phase-Cut": "Triac", "Current Sinking": "0-10V", "Current Sourcing": "1-10V", "Duty Cycle": "PWM", "Variable Resistance": "Potentiometer"}</v>
      </c>
      <c r="Q21" s="15" t="s">
        <v>125</v>
      </c>
      <c r="R21" s="25"/>
      <c r="S21" s="26"/>
      <c r="T21" s="25"/>
      <c r="U21" s="27"/>
      <c r="V21" s="26"/>
      <c r="W21" s="26"/>
      <c r="X21" s="26"/>
      <c r="Y21" s="17" t="s">
        <v>41</v>
      </c>
      <c r="Z21" s="17" t="s">
        <v>126</v>
      </c>
      <c r="AA21" s="17" t="s">
        <v>43</v>
      </c>
      <c r="AB21" s="20"/>
      <c r="AC21" s="20"/>
      <c r="AD21" s="20"/>
    </row>
    <row r="22" ht="37.5" customHeight="1">
      <c r="A22" s="10"/>
      <c r="B22" s="23"/>
      <c r="C22" s="23"/>
      <c r="D22" s="23"/>
      <c r="E22" s="23"/>
      <c r="F22" s="24"/>
      <c r="G22" s="23"/>
      <c r="H22" s="24"/>
      <c r="I22" s="23"/>
      <c r="J22" s="23"/>
      <c r="K22" s="23"/>
      <c r="L22" s="13" t="s">
        <v>127</v>
      </c>
      <c r="M22" s="13" t="s">
        <v>128</v>
      </c>
      <c r="N2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""&amp;M22)"),"Power|Voltage|IP Rating|AC Phase-Cut|Current Sinking|Current Sourcing|Duty Cycle|Variable Resistance")</f>
        <v>Power|Voltage|IP Rating|AC Phase-Cut|Current Sinking|Current Sourcing|Duty Cycle|Variable Resistance</v>
      </c>
      <c r="O22" s="15" t="s">
        <v>109</v>
      </c>
      <c r="P22" s="14" t="str">
        <f>IFERROR(__xludf.DUMMYFUNCTION("AI(""Using the labels""&amp;N22&amp;"" and values ""&amp;M22&amp;"" separated by character '|' and Using ""&amp;L22&amp;"" and key as 'SKU', Create a JSON object"")"),"{""SKU"": ""ADR007D"", ""Power"": ""100W"", ""Voltage"": ""12V"", ""IP Rating"": ""IP67"", ""AC Phase-Cut"": ""Triac"", ""Current Sinking"": ""0-10V"", ""Current Sourcing"": ""1-10V"", ""Duty Cycle"": ""PWM"", ""Variable Resistance"": ""Potentiometer""}")</f>
        <v>{"SKU": "ADR007D", "Power": "100W", "Voltage": "12V", "IP Rating": "IP67", "AC Phase-Cut": "Triac", "Current Sinking": "0-10V", "Current Sourcing": "1-10V", "Duty Cycle": "PWM", "Variable Resistance": "Potentiometer"}</v>
      </c>
      <c r="Q22" s="15" t="s">
        <v>129</v>
      </c>
      <c r="R22" s="25"/>
      <c r="S22" s="26"/>
      <c r="T22" s="25"/>
      <c r="U22" s="27"/>
      <c r="V22" s="26"/>
      <c r="W22" s="26"/>
      <c r="X22" s="26"/>
      <c r="Y22" s="17" t="s">
        <v>41</v>
      </c>
      <c r="Z22" s="17" t="s">
        <v>130</v>
      </c>
      <c r="AA22" s="17" t="s">
        <v>43</v>
      </c>
      <c r="AB22" s="20"/>
      <c r="AC22" s="20"/>
      <c r="AD22" s="20"/>
    </row>
    <row r="23" ht="37.5" customHeight="1">
      <c r="A23" s="10"/>
      <c r="B23" s="23"/>
      <c r="C23" s="23"/>
      <c r="D23" s="23"/>
      <c r="E23" s="23"/>
      <c r="F23" s="24"/>
      <c r="G23" s="23"/>
      <c r="H23" s="24"/>
      <c r="I23" s="23"/>
      <c r="J23" s="23"/>
      <c r="K23" s="23"/>
      <c r="L23" s="13" t="s">
        <v>131</v>
      </c>
      <c r="M23" s="13" t="s">
        <v>132</v>
      </c>
      <c r="N2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""&amp;M23)"),"Power|Voltage|IP Rating|AC Phase-Cut|Current Sinking|Current Sourcing|Duty Cycle|Variable Resistance")</f>
        <v>Power|Voltage|IP Rating|AC Phase-Cut|Current Sinking|Current Sourcing|Duty Cycle|Variable Resistance</v>
      </c>
      <c r="O23" s="15" t="s">
        <v>109</v>
      </c>
      <c r="P23" s="14" t="str">
        <f>IFERROR(__xludf.DUMMYFUNCTION("AI(""Using the labels""&amp;N23&amp;"" and values ""&amp;M23&amp;"" separated by character '|' and Using ""&amp;L23&amp;"" and key as 'SKU', Create a JSON object"")"),"{""SKU"": ""ADR008D"", ""Power"": ""100W"", ""Voltage"": ""24V"", ""IP Rating"": ""IP67"", ""AC Phase-Cut"": ""Triac"", ""Current Sinking"": ""0-10V"", ""Current Sourcing"": ""1-10V"", ""Duty Cycle"": ""PWM"", ""Variable Resistance"": ""Potentiometer""}")</f>
        <v>{"SKU": "ADR008D", "Power": "100W", "Voltage": "24V", "IP Rating": "IP67", "AC Phase-Cut": "Triac", "Current Sinking": "0-10V", "Current Sourcing": "1-10V", "Duty Cycle": "PWM", "Variable Resistance": "Potentiometer"}</v>
      </c>
      <c r="Q23" s="15" t="s">
        <v>133</v>
      </c>
      <c r="R23" s="25"/>
      <c r="S23" s="26"/>
      <c r="T23" s="25"/>
      <c r="U23" s="27"/>
      <c r="V23" s="26"/>
      <c r="W23" s="26"/>
      <c r="X23" s="26"/>
      <c r="Y23" s="17" t="s">
        <v>41</v>
      </c>
      <c r="Z23" s="17" t="s">
        <v>134</v>
      </c>
      <c r="AA23" s="17" t="s">
        <v>43</v>
      </c>
      <c r="AB23" s="20"/>
      <c r="AC23" s="20"/>
      <c r="AD23" s="20"/>
    </row>
    <row r="24" ht="37.5" customHeight="1">
      <c r="A24" s="10"/>
      <c r="B24" s="23"/>
      <c r="C24" s="23"/>
      <c r="D24" s="23"/>
      <c r="E24" s="23"/>
      <c r="F24" s="24"/>
      <c r="G24" s="23"/>
      <c r="H24" s="24"/>
      <c r="I24" s="23"/>
      <c r="J24" s="23"/>
      <c r="K24" s="23"/>
      <c r="L24" s="13" t="s">
        <v>135</v>
      </c>
      <c r="M24" s="13" t="s">
        <v>136</v>
      </c>
      <c r="N2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""&amp;M24)"),"Power|Voltage|IP Rating|AC Phase-Cut|Current Sinking|Current Sourcing|Duty Cycle|Variable Resistance")</f>
        <v>Power|Voltage|IP Rating|AC Phase-Cut|Current Sinking|Current Sourcing|Duty Cycle|Variable Resistance</v>
      </c>
      <c r="O24" s="15" t="s">
        <v>109</v>
      </c>
      <c r="P24" s="14" t="str">
        <f>IFERROR(__xludf.DUMMYFUNCTION("AI(""Using the labels""&amp;N24&amp;"" and values ""&amp;M24&amp;"" separated by character '|' and Using ""&amp;L24&amp;"" and key as 'SKU', Create a JSON object"")"),"{""SKU"": ""ADR009D"", ""Power"": ""150W"", ""Voltage"": ""12V"", ""IP Rating"": ""IP67"", ""AC Phase-Cut"": ""Triac"", ""Current Sinking"": ""0-10V"", ""Current Sourcing"": ""1-10V"", ""Duty Cycle"": ""PWM"", ""Variable Resistance"": ""Potentiometer""}")</f>
        <v>{"SKU": "ADR009D", "Power": "150W", "Voltage": "12V", "IP Rating": "IP67", "AC Phase-Cut": "Triac", "Current Sinking": "0-10V", "Current Sourcing": "1-10V", "Duty Cycle": "PWM", "Variable Resistance": "Potentiometer"}</v>
      </c>
      <c r="Q24" s="15" t="s">
        <v>137</v>
      </c>
      <c r="R24" s="25"/>
      <c r="S24" s="26"/>
      <c r="T24" s="25"/>
      <c r="U24" s="27"/>
      <c r="V24" s="26"/>
      <c r="W24" s="26"/>
      <c r="X24" s="26"/>
      <c r="Y24" s="17" t="s">
        <v>41</v>
      </c>
      <c r="Z24" s="17" t="s">
        <v>138</v>
      </c>
      <c r="AA24" s="17" t="s">
        <v>43</v>
      </c>
      <c r="AB24" s="20"/>
      <c r="AC24" s="20"/>
      <c r="AD24" s="20"/>
    </row>
    <row r="25" ht="37.5" customHeight="1">
      <c r="A25" s="10"/>
      <c r="B25" s="23"/>
      <c r="C25" s="23"/>
      <c r="D25" s="23"/>
      <c r="E25" s="23"/>
      <c r="F25" s="24"/>
      <c r="G25" s="23"/>
      <c r="H25" s="24"/>
      <c r="I25" s="23"/>
      <c r="J25" s="23"/>
      <c r="K25" s="23"/>
      <c r="L25" s="13" t="s">
        <v>139</v>
      </c>
      <c r="M25" s="13" t="s">
        <v>140</v>
      </c>
      <c r="N2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""&amp;M25)"),"Power|Voltage|IP Rating|AC Phase-Cut|Current Sinking|Current Sourcing|Duty Cycle|Variable Resistance")</f>
        <v>Power|Voltage|IP Rating|AC Phase-Cut|Current Sinking|Current Sourcing|Duty Cycle|Variable Resistance</v>
      </c>
      <c r="O25" s="15" t="s">
        <v>109</v>
      </c>
      <c r="P25" s="14" t="str">
        <f>IFERROR(__xludf.DUMMYFUNCTION("AI(""Using the labels""&amp;N25&amp;"" and values ""&amp;M25&amp;"" separated by character '|' and Using ""&amp;L25&amp;"" and key as 'SKU', Create a JSON object"")"),"{""SKU"": ""ADR010D"", ""Power"": ""150W"", ""Voltage"": ""24V"", ""IP Rating"": ""IP67"", ""AC Phase-Cut"": ""Triac"", ""Current Sinking"": ""0-10V"", ""Current Sourcing"": ""1-10V"", ""Duty Cycle"": ""PWM"", ""Variable Resistance"": ""Potentiometer""}")</f>
        <v>{"SKU": "ADR010D", "Power": "150W", "Voltage": "24V", "IP Rating": "IP67", "AC Phase-Cut": "Triac", "Current Sinking": "0-10V", "Current Sourcing": "1-10V", "Duty Cycle": "PWM", "Variable Resistance": "Potentiometer"}</v>
      </c>
      <c r="Q25" s="15" t="s">
        <v>141</v>
      </c>
      <c r="R25" s="25"/>
      <c r="S25" s="26"/>
      <c r="T25" s="25"/>
      <c r="U25" s="27"/>
      <c r="V25" s="26"/>
      <c r="W25" s="26"/>
      <c r="X25" s="26"/>
      <c r="Y25" s="17" t="s">
        <v>41</v>
      </c>
      <c r="Z25" s="17" t="s">
        <v>142</v>
      </c>
      <c r="AA25" s="17" t="s">
        <v>43</v>
      </c>
      <c r="AB25" s="20"/>
      <c r="AC25" s="20"/>
      <c r="AD25" s="20"/>
    </row>
    <row r="26" ht="37.5" customHeight="1">
      <c r="A26" s="10"/>
      <c r="B26" s="23"/>
      <c r="C26" s="23"/>
      <c r="D26" s="23"/>
      <c r="E26" s="23"/>
      <c r="F26" s="24"/>
      <c r="G26" s="23"/>
      <c r="H26" s="24"/>
      <c r="I26" s="23"/>
      <c r="J26" s="23"/>
      <c r="K26" s="23"/>
      <c r="L26" s="13" t="s">
        <v>143</v>
      </c>
      <c r="M26" s="13" t="s">
        <v>144</v>
      </c>
      <c r="N2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""&amp;M26)"),"Power|Voltage|IP Rating|AC Phase-Cut|Current Sinking|Current Sourcing|Duty Cycle|Variable Resistance")</f>
        <v>Power|Voltage|IP Rating|AC Phase-Cut|Current Sinking|Current Sourcing|Duty Cycle|Variable Resistance</v>
      </c>
      <c r="O26" s="15" t="s">
        <v>109</v>
      </c>
      <c r="P26" s="14" t="str">
        <f>IFERROR(__xludf.DUMMYFUNCTION("AI(""Using the labels""&amp;N26&amp;"" and values ""&amp;M26&amp;"" separated by character '|' and Using ""&amp;L26&amp;"" and key as 'SKU', Create a JSON object"")"),"{""SKU"": ""ADR011D"", ""Power"": ""200W"", ""Voltage"": ""24V"", ""IP Rating"": ""IP67"", ""AC Phase-Cut"": ""Triac"", ""Current Sinking"": ""0-10V"", ""Current Sourcing"": ""1-10V"", ""Duty Cycle"": ""PWM"", ""Variable Resistance"": ""Potentiometer""}")</f>
        <v>{"SKU": "ADR011D", "Power": "200W", "Voltage": "24V", "IP Rating": "IP67", "AC Phase-Cut": "Triac", "Current Sinking": "0-10V", "Current Sourcing": "1-10V", "Duty Cycle": "PWM", "Variable Resistance": "Potentiometer"}</v>
      </c>
      <c r="Q26" s="15" t="s">
        <v>145</v>
      </c>
      <c r="R26" s="25"/>
      <c r="S26" s="26"/>
      <c r="T26" s="25"/>
      <c r="U26" s="27"/>
      <c r="V26" s="26"/>
      <c r="W26" s="26"/>
      <c r="X26" s="26"/>
      <c r="Y26" s="17" t="s">
        <v>41</v>
      </c>
      <c r="Z26" s="17" t="s">
        <v>146</v>
      </c>
      <c r="AA26" s="17" t="s">
        <v>43</v>
      </c>
      <c r="AB26" s="20"/>
      <c r="AC26" s="20"/>
      <c r="AD26" s="20"/>
    </row>
    <row r="27" ht="37.5" customHeight="1">
      <c r="A27" s="10"/>
      <c r="B27" s="23"/>
      <c r="C27" s="23"/>
      <c r="D27" s="23"/>
      <c r="E27" s="23"/>
      <c r="F27" s="24"/>
      <c r="G27" s="23"/>
      <c r="H27" s="24"/>
      <c r="I27" s="23"/>
      <c r="J27" s="23"/>
      <c r="K27" s="23"/>
      <c r="L27" s="13" t="s">
        <v>147</v>
      </c>
      <c r="M27" s="13" t="s">
        <v>148</v>
      </c>
      <c r="N2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""&amp;M27)"),"Power|Voltage|IP Rating|AC Phase-Cut|Current Sinking|Current Sourcing|Duty Cycle|Variable Resistance")</f>
        <v>Power|Voltage|IP Rating|AC Phase-Cut|Current Sinking|Current Sourcing|Duty Cycle|Variable Resistance</v>
      </c>
      <c r="O27" s="15" t="s">
        <v>109</v>
      </c>
      <c r="P27" s="14" t="str">
        <f>IFERROR(__xludf.DUMMYFUNCTION("AI(""Using the labels""&amp;N27&amp;"" and values ""&amp;M27&amp;"" separated by character '|' and Using ""&amp;L27&amp;"" and key as 'SKU', Create a JSON object"")"),"{""SKU"": ""ADR012D"", ""Power"": ""200W"", ""Voltage"": ""12V"", ""IP Rating"": ""IP67"", ""AC Phase-Cut"": ""Triac"", ""Current Sinking"": ""0-10V"", ""Current Sourcing"": ""1-10V"", ""Duty Cycle"": ""PWM"", ""Variable Resistance"": ""Potentiometer""}")</f>
        <v>{"SKU": "ADR012D", "Power": "200W", "Voltage": "12V", "IP Rating": "IP67", "AC Phase-Cut": "Triac", "Current Sinking": "0-10V", "Current Sourcing": "1-10V", "Duty Cycle": "PWM", "Variable Resistance": "Potentiometer"}</v>
      </c>
      <c r="Q27" s="15" t="s">
        <v>149</v>
      </c>
      <c r="R27" s="25"/>
      <c r="S27" s="26"/>
      <c r="T27" s="25"/>
      <c r="U27" s="27"/>
      <c r="V27" s="26"/>
      <c r="W27" s="26"/>
      <c r="X27" s="26"/>
      <c r="Y27" s="17" t="s">
        <v>41</v>
      </c>
      <c r="Z27" s="17" t="s">
        <v>150</v>
      </c>
      <c r="AA27" s="17" t="s">
        <v>43</v>
      </c>
      <c r="AB27" s="20"/>
      <c r="AC27" s="20"/>
      <c r="AD27" s="20"/>
    </row>
    <row r="28" ht="37.5" customHeight="1">
      <c r="A28" s="10"/>
      <c r="B28" s="23"/>
      <c r="C28" s="23"/>
      <c r="D28" s="23"/>
      <c r="E28" s="23"/>
      <c r="F28" s="24"/>
      <c r="G28" s="23"/>
      <c r="H28" s="24"/>
      <c r="I28" s="23"/>
      <c r="J28" s="23"/>
      <c r="K28" s="23"/>
      <c r="L28" s="13" t="s">
        <v>151</v>
      </c>
      <c r="M28" s="13" t="s">
        <v>152</v>
      </c>
      <c r="N2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""&amp;M28)"),"Power|Voltage|IP Rating|AC Phase-Cut|Current Sinking|Current Sourcing|Duty Cycle|Variable Resistance")</f>
        <v>Power|Voltage|IP Rating|AC Phase-Cut|Current Sinking|Current Sourcing|Duty Cycle|Variable Resistance</v>
      </c>
      <c r="O28" s="15" t="s">
        <v>109</v>
      </c>
      <c r="P28" s="14" t="str">
        <f>IFERROR(__xludf.DUMMYFUNCTION("AI(""Using the labels""&amp;N28&amp;"" and values ""&amp;M28&amp;"" separated by character '|' and Using ""&amp;L28&amp;"" and key as 'SKU', Create a JSON object"")"),"{""SKU"": ""ADR015D"", ""Power"": ""300W"", ""Voltage"": ""12V"", ""IP Rating"": ""IP67"", ""AC Phase-Cut"": ""Triac"", ""Current Sinking"": ""0-10V"", ""Current Sourcing"": ""1-10V"", ""Duty Cycle"": ""PWM"", ""Variable Resistance"": ""Potentiometer""}")</f>
        <v>{"SKU": "ADR015D", "Power": "300W", "Voltage": "12V", "IP Rating": "IP67", "AC Phase-Cut": "Triac", "Current Sinking": "0-10V", "Current Sourcing": "1-10V", "Duty Cycle": "PWM", "Variable Resistance": "Potentiometer"}</v>
      </c>
      <c r="Q28" s="15" t="s">
        <v>153</v>
      </c>
      <c r="R28" s="25"/>
      <c r="S28" s="26"/>
      <c r="T28" s="25"/>
      <c r="U28" s="27"/>
      <c r="V28" s="26"/>
      <c r="W28" s="26"/>
      <c r="X28" s="26"/>
      <c r="Y28" s="17" t="s">
        <v>41</v>
      </c>
      <c r="Z28" s="17" t="s">
        <v>154</v>
      </c>
      <c r="AA28" s="17" t="s">
        <v>43</v>
      </c>
      <c r="AB28" s="20"/>
      <c r="AC28" s="20"/>
      <c r="AD28" s="20"/>
    </row>
    <row r="29" ht="37.5" customHeight="1">
      <c r="A29" s="10"/>
      <c r="B29" s="23"/>
      <c r="C29" s="23"/>
      <c r="D29" s="23"/>
      <c r="E29" s="23"/>
      <c r="F29" s="24"/>
      <c r="G29" s="23"/>
      <c r="H29" s="24"/>
      <c r="I29" s="23"/>
      <c r="J29" s="23"/>
      <c r="K29" s="23"/>
      <c r="L29" s="13" t="s">
        <v>155</v>
      </c>
      <c r="M29" s="13" t="s">
        <v>156</v>
      </c>
      <c r="N29"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""&amp;M29)"),"Power|Voltage|IP Rating|AC Phase-Cut|Current Sinking|Current Sourcing|Duty Cycle|Variable Resistance")</f>
        <v>Power|Voltage|IP Rating|AC Phase-Cut|Current Sinking|Current Sourcing|Duty Cycle|Variable Resistance</v>
      </c>
      <c r="O29" s="15" t="s">
        <v>109</v>
      </c>
      <c r="P29" s="14" t="str">
        <f>IFERROR(__xludf.DUMMYFUNCTION("AI(""Using the labels""&amp;N29&amp;"" and values ""&amp;M29&amp;"" separated by character '|' and Using ""&amp;L29&amp;"" and key as 'SKU', Create a JSON object"")"),"{""SKU"": ""ADR016D"", ""Power"": ""300W"", ""Voltage"": ""24V"", ""IP Rating"": ""IP67"", ""AC Phase-Cut"": ""Triac"", ""Current Sinking"": ""0-10V"", ""Current Sourcing"": ""1-10V"", ""Duty Cycle"": ""PWM"", ""Variable Resistance"": ""Potentiometer""}")</f>
        <v>{"SKU": "ADR016D", "Power": "300W", "Voltage": "24V", "IP Rating": "IP67", "AC Phase-Cut": "Triac", "Current Sinking": "0-10V", "Current Sourcing": "1-10V", "Duty Cycle": "PWM", "Variable Resistance": "Potentiometer"}</v>
      </c>
      <c r="Q29" s="15" t="s">
        <v>157</v>
      </c>
      <c r="R29" s="25"/>
      <c r="S29" s="26"/>
      <c r="T29" s="25"/>
      <c r="U29" s="27"/>
      <c r="V29" s="26"/>
      <c r="W29" s="26"/>
      <c r="X29" s="26"/>
      <c r="Y29" s="17" t="s">
        <v>41</v>
      </c>
      <c r="Z29" s="17" t="s">
        <v>158</v>
      </c>
      <c r="AA29" s="17" t="s">
        <v>43</v>
      </c>
      <c r="AB29" s="20"/>
      <c r="AC29" s="20"/>
      <c r="AD29" s="20"/>
    </row>
    <row r="30" ht="37.5" customHeight="1">
      <c r="A30" s="10" t="s">
        <v>159</v>
      </c>
      <c r="B30" s="11" t="s">
        <v>160</v>
      </c>
      <c r="C30" s="11" t="s">
        <v>32</v>
      </c>
      <c r="D30" s="11" t="s">
        <v>160</v>
      </c>
      <c r="E30" s="11" t="s">
        <v>33</v>
      </c>
      <c r="F30" s="12" t="str">
        <f>IFERROR(__xludf.DUMMYFUNCTION("AI(""Give me a paragraph marketing spiel for this product, no tech specs just marketing fluff "")"),"Elevate your spaces into a breathtaking visual journey of elegant design and discreet luxury with a sophisticated, seamless glow. This premium dimmable driver offers the perfect blend of modern innovation and refined elegance, effortlessly transforming yo"&amp;"ur environment into a warm, welcoming retreat. Designed for those who appreciate flawless execution and an unparalleled touch of ambiance, it beautifully highlights your architecture to create a captivating and serene atmosphere. Unwind in the stunning, s"&amp;"oft illumination that brings your vision to life and makes every evening feel truly magical.")</f>
        <v>Elevate your spaces into a breathtaking visual journey of elegant design and discreet luxury with a sophisticated, seamless glow. This premium dimmable driver offers the perfect blend of modern innovation and refined elegance, effortlessly transforming your environment into a warm, welcoming retreat. Designed for those who appreciate flawless execution and an unparalleled touch of ambiance, it beautifully highlights your architecture to create a captivating and serene atmosphere. Unwind in the stunning, soft illumination that brings your vision to life and makes every evening feel truly magical.</v>
      </c>
      <c r="G30" s="11" t="s">
        <v>161</v>
      </c>
      <c r="H30" s="12" t="str">
        <f>IFERROR(__xludf.DUMMYFUNCTION("AI(""Give me a paragraph marketing spiel for this product, no tech specs just marketing fluff under 180 characters "")"),"Transform your space with elegant design and discreet luxury. Enjoy a sophisticated, seamless glow that brings your vision to life and makes every moment feel truly magical.")</f>
        <v>Transform your space with elegant design and discreet luxury. Enjoy a sophisticated, seamless glow that brings your vision to life and makes every moment feel truly magical.</v>
      </c>
      <c r="I30" s="11" t="s">
        <v>162</v>
      </c>
      <c r="J30" s="23"/>
      <c r="K30" s="23"/>
      <c r="L30" s="13" t="s">
        <v>159</v>
      </c>
      <c r="M30" s="13" t="s">
        <v>58</v>
      </c>
      <c r="N30"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""&amp;M30)"),"Power|Voltage|IP Rating")</f>
        <v>Power|Voltage|IP Rating</v>
      </c>
      <c r="O30" s="15" t="s">
        <v>37</v>
      </c>
      <c r="P30" s="14" t="str">
        <f>IFERROR(__xludf.DUMMYFUNCTION("AI(""Using the labels""&amp;N30&amp;"" and values ""&amp;M30&amp;"" separated by character '|' and Using ""&amp;L30&amp;"" and key as 'SKU', Create a JSON object"")"),"{""SKU"": ""ADR005DA"", ""Power"": ""60W"", ""Voltage"": ""12V"", ""IP Rating"": ""IP67""}")</f>
        <v>{"SKU": "ADR005DA", "Power": "60W", "Voltage": "12V", "IP Rating": "IP67"}</v>
      </c>
      <c r="Q30" s="15" t="s">
        <v>163</v>
      </c>
      <c r="R30"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Q30:Q40)"),"{""SKU"": [""ADR005DA"", ""ADR006DA"", ""ADR007DA"", ""ADR008DA"", ""ADR009DA"", ""ADR010DA"", ""ADR011DA"", ""ADR012DA"", ""ADR015DA"", ""ADR016DA"", ""ADR-360-24-DALI""], ""Power"": [""60W"", ""100W"", ""150W"", ""200W"", ""300W"", ""360W""], ""Voltage"&amp;""": [""12V"", ""24V""], ""IP Rating"": ""IP67""}")</f>
        <v>{"SKU": ["ADR005DA", "ADR006DA", "ADR007DA", "ADR008DA", "ADR009DA", "ADR010DA", "ADR011DA", "ADR012DA", "ADR015DA", "ADR016DA", "ADR-360-24-DALI"], "Power": ["60W", "100W", "150W", "200W", "300W", "360W"], "Voltage": ["12V", "24V"], "IP Rating": "IP67"}</v>
      </c>
      <c r="S30" s="17" t="s">
        <v>164</v>
      </c>
      <c r="T30"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Q30:Q40)"),"{
""Options"": {
""Power"": [
{""name"": ""60W"", ""id"": ""101""},
{""name"": ""100W"", ""id"": ""102""},
{""name"": ""150W"", ""id"": ""103""},
{""name"": ""200W"", ""id"": ""104""},
{""name"": ""300W"", ""id"": ""105""},
{""name"": ""360W"", ""id"": """&amp;"106""}
],
""Voltage"": [
{""name"": ""12V"", ""id"": ""107""},
{""name"": ""24V"", ""id"": ""108""}
],
""IP Rating"": [
{""name"": ""IP67"", ""id"": ""109""}
]
},
""Constraints"": {
""106"": [""107""]
},
""sku_mappings"": [
{ ""sku"": ""ADR005DA"", ""comb"&amp;"ination"": [""101"", ""107"", ""109""] },
{ ""sku"": ""ADR006DA"", ""combination"": [""101"", ""108"", ""109""] },
{ ""sku"": ""ADR007DA"", ""combination"": [""102"", ""107"", ""109""] },
{ ""sku"": ""ADR008DA"", ""combination"": [""102"", ""108"", ""109"&amp;"""] },
{ ""sku"": ""ADR009DA"", ""combination"": [""103"", ""107"", ""109""] },
{ ""sku"": ""ADR010DA"", ""combination"": [""103"", ""108"", ""109""] },
{ ""sku"": ""ADR011DA"", ""combination"": [""104"", ""107"", ""109""] },
{ ""sku"": ""ADR012DA"", ""co"&amp;"mbination"": [""104"", ""108"", ""109""] },
{ ""sku"": ""ADR015DA"", ""combination"": [""105"", ""107"", ""109""] },
{ ""sku"": ""ADR016DA"", ""combination"": [""105"", ""108"", ""109""] },
{ ""sku"": ""ADR-360-24-DALI"", ""combination"": [""106"", ""108"&amp;""", ""109""] }
]
}")</f>
        <v>{
"Options": {
"Power": [
{"name": "60W", "id": "101"},
{"name": "100W", "id": "102"},
{"name": "150W", "id": "103"},
{"name": "200W", "id": "104"},
{"name": "300W", "id": "105"},
{"name": "360W", "id": "106"}
],
"Voltage": [
{"name": "12V", "id": "107"},
{"name": "24V", "id": "108"}
],
"IP Rating": [
{"name": "IP67", "id": "109"}
]
},
"Constraints": {
"106": ["107"]
},
"sku_mappings": [
{ "sku": "ADR005DA", "combination": ["101", "107", "109"] },
{ "sku": "ADR006DA", "combination": ["101", "108", "109"] },
{ "sku": "ADR007DA", "combination": ["102", "107", "109"] },
{ "sku": "ADR008DA", "combination": ["102", "108", "109"] },
{ "sku": "ADR009DA", "combination": ["103", "107", "109"] },
{ "sku": "ADR010DA", "combination": ["103", "108", "109"] },
{ "sku": "ADR011DA", "combination": ["104", "107", "109"] },
{ "sku": "ADR012DA", "combination": ["104", "108", "109"] },
{ "sku": "ADR015DA", "combination": ["105", "107", "109"] },
{ "sku": "ADR016DA", "combination": ["105", "108", "109"] },
{ "sku": "ADR-360-24-DALI", "combination": ["106", "108", "109"] }
]
}</v>
      </c>
      <c r="U30" s="18" t="s">
        <v>165</v>
      </c>
      <c r="V30" s="19" t="str">
        <f>IFERROR(__xludf.DUMMYFUNCTION("AI(""Extract options object from the json"", U30)"),"{""Power"": [{""name"": ""60W"", ""id"": ""101""}, {""name"": ""100W"", ""id"": ""102""}, {""name"": ""150W"", ""id"": ""103""}, {""name"": ""200W"", ""id"": ""104""}, {""name"": ""300W"", ""id"": ""105""}, {""name"": ""360W"", ""id"": ""106""}], ""Voltag"&amp;"e"": [{""name"": ""12V"", ""id"": ""107""}, {""name"": ""24V"", ""id"": ""108""}], ""IP Rating"": [{""name"": ""IP67"", ""id"": ""109""}]}")</f>
        <v>{"Power": [{"name": "60W", "id": "101"}, {"name": "100W", "id": "102"}, {"name": "150W", "id": "103"}, {"name": "200W", "id": "104"}, {"name": "300W", "id": "105"}, {"name": "360W", "id": "106"}], "Voltage": [{"name": "12V", "id": "107"}, {"name": "24V", "id": "108"}], "IP Rating": [{"name": "IP67", "id": "109"}]}</v>
      </c>
      <c r="W30" s="19" t="str">
        <f>IFERROR(__xludf.DUMMYFUNCTION("AI(""Extract constraints object from the json"", U30)"),"{ ""106"": [""107""] }")</f>
        <v>{ "106": ["107"] }</v>
      </c>
      <c r="X30" s="19" t="str">
        <f>IFERROR(__xludf.DUMMYFUNCTION("AI(""Extract sku_mappings object from the json"", U30)"),"[{""sku"": ""ADR005DA"", ""combination"": [""101"", ""107"", ""109""]}, {""sku"": ""ADR006DA"", ""combination"": [""101"", ""108"", ""109""]}, {""sku"": ""ADR007DA"", ""combination"": [""102"", ""107"", ""109""]}, {""sku"": ""ADR008DA"", ""combination"": "&amp;"[""102"", ""108"", ""109""]}, {""sku"": ""ADR009DA"", ""combination"": [""103"", ""107"", ""109""]}, {""sku"": ""ADR010DA"", ""combination"": [""103"", ""108"", ""109""]}, {""sku"": ""ADR011DA"", ""combination"": [""104"", ""107"", ""109""]}, {""sku"": """&amp;"ADR012DA"", ""combination"": [""104"", ""108"", ""109""]}, {""sku"": ""ADR015DA"", ""combination"": [""105"", ""107"", ""109""]}, {""sku"": ""ADR016DA"", ""combination"": [""105"", ""108"", ""109""]}, {""sku"": ""ADR-360-24-DALI"", ""combination"": [""106"&amp;""", ""108"", ""109""]}]")</f>
        <v>[{"sku": "ADR005DA", "combination": ["101", "107", "109"]}, {"sku": "ADR006DA", "combination": ["101", "108", "109"]}, {"sku": "ADR007DA", "combination": ["102", "107", "109"]}, {"sku": "ADR008DA", "combination": ["102", "108", "109"]}, {"sku": "ADR009DA", "combination": ["103", "107", "109"]}, {"sku": "ADR010DA", "combination": ["103", "108", "109"]}, {"sku": "ADR011DA", "combination": ["104", "107", "109"]}, {"sku": "ADR012DA", "combination": ["104", "108", "109"]}, {"sku": "ADR015DA", "combination": ["105", "107", "109"]}, {"sku": "ADR016DA", "combination": ["105", "108", "109"]}, {"sku": "ADR-360-24-DALI", "combination": ["106", "108", "109"]}]</v>
      </c>
      <c r="Y30" s="17" t="s">
        <v>41</v>
      </c>
      <c r="Z30" s="17" t="s">
        <v>166</v>
      </c>
      <c r="AA30" s="17" t="s">
        <v>43</v>
      </c>
      <c r="AB30" s="20"/>
      <c r="AC30" s="21" t="str">
        <f>IFERROR(__xludf.DUMMYFUNCTION("AI(""Generate 6 powerful unique keywords for the product in this row"")"),"DALI-2 dimmable driver, PUSH dimmable driver, 60W LED driver, 12V power supply, IP67 waterproof driver, 2-in-1 LED driver")</f>
        <v>DALI-2 dimmable driver, PUSH dimmable driver, 60W LED driver, 12V power supply, IP67 waterproof driver, 2-in-1 LED driver</v>
      </c>
      <c r="AD30" s="20" t="s">
        <v>167</v>
      </c>
    </row>
    <row r="31" ht="37.5" customHeight="1">
      <c r="A31" s="10"/>
      <c r="B31" s="23"/>
      <c r="C31" s="23"/>
      <c r="D31" s="23"/>
      <c r="E31" s="23"/>
      <c r="F31" s="24"/>
      <c r="G31" s="23"/>
      <c r="H31" s="24"/>
      <c r="I31" s="23"/>
      <c r="J31" s="23"/>
      <c r="K31" s="23"/>
      <c r="L31" s="13" t="s">
        <v>168</v>
      </c>
      <c r="M31" s="13" t="s">
        <v>62</v>
      </c>
      <c r="N31"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""&amp;M31)"),"Power|Voltage|IP Rating")</f>
        <v>Power|Voltage|IP Rating</v>
      </c>
      <c r="O31" s="15" t="s">
        <v>37</v>
      </c>
      <c r="P31" s="14" t="str">
        <f>IFERROR(__xludf.DUMMYFUNCTION("AI(""Using the labels""&amp;N31&amp;"" and values ""&amp;M31&amp;"" separated by character '|' and Using ""&amp;L31&amp;"" and key as 'SKU', Create a JSON object"")"),"{""SKU"": ""ADR006DA"", ""Power"": ""60W"", ""Voltage"": ""24V"", ""IP Rating"": ""IP67""}")</f>
        <v>{"SKU": "ADR006DA", "Power": "60W", "Voltage": "24V", "IP Rating": "IP67"}</v>
      </c>
      <c r="Q31" s="15" t="s">
        <v>169</v>
      </c>
      <c r="R31" s="25"/>
      <c r="S31" s="26"/>
      <c r="T31" s="25"/>
      <c r="U31" s="27"/>
      <c r="V31" s="26"/>
      <c r="W31" s="26"/>
      <c r="X31" s="26"/>
      <c r="Y31" s="17" t="s">
        <v>41</v>
      </c>
      <c r="Z31" s="17" t="s">
        <v>170</v>
      </c>
      <c r="AA31" s="17" t="s">
        <v>43</v>
      </c>
      <c r="AB31" s="20"/>
      <c r="AC31" s="20"/>
      <c r="AD31" s="20"/>
    </row>
    <row r="32" ht="37.5" customHeight="1">
      <c r="A32" s="10"/>
      <c r="B32" s="23"/>
      <c r="C32" s="23"/>
      <c r="D32" s="23"/>
      <c r="E32" s="23"/>
      <c r="F32" s="24"/>
      <c r="G32" s="23"/>
      <c r="H32" s="24"/>
      <c r="I32" s="23"/>
      <c r="J32" s="23"/>
      <c r="K32" s="23"/>
      <c r="L32" s="13" t="s">
        <v>171</v>
      </c>
      <c r="M32" s="13" t="s">
        <v>66</v>
      </c>
      <c r="N3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""&amp;M32)"),"Power|Voltage|IP Rating")</f>
        <v>Power|Voltage|IP Rating</v>
      </c>
      <c r="O32" s="15" t="s">
        <v>37</v>
      </c>
      <c r="P32" s="14" t="str">
        <f>IFERROR(__xludf.DUMMYFUNCTION("AI(""Using the labels""&amp;N32&amp;"" and values ""&amp;M32&amp;"" separated by character '|' and Using ""&amp;L32&amp;"" and key as 'SKU', Create a JSON object"")"),"{""SKU"": ""ADR007DA"", ""Power"": ""100W"", ""Voltage"": ""12V"", ""IP Rating"": ""IP67""}")</f>
        <v>{"SKU": "ADR007DA", "Power": "100W", "Voltage": "12V", "IP Rating": "IP67"}</v>
      </c>
      <c r="Q32" s="15" t="s">
        <v>172</v>
      </c>
      <c r="R32" s="25"/>
      <c r="S32" s="26"/>
      <c r="T32" s="25"/>
      <c r="U32" s="27"/>
      <c r="V32" s="26"/>
      <c r="W32" s="26"/>
      <c r="X32" s="26"/>
      <c r="Y32" s="17" t="s">
        <v>41</v>
      </c>
      <c r="Z32" s="17" t="s">
        <v>173</v>
      </c>
      <c r="AA32" s="17" t="s">
        <v>43</v>
      </c>
      <c r="AB32" s="20"/>
      <c r="AC32" s="20"/>
      <c r="AD32" s="20"/>
    </row>
    <row r="33" ht="37.5" customHeight="1">
      <c r="A33" s="10"/>
      <c r="B33" s="23"/>
      <c r="C33" s="23"/>
      <c r="D33" s="23"/>
      <c r="E33" s="23"/>
      <c r="F33" s="24"/>
      <c r="G33" s="23"/>
      <c r="H33" s="24"/>
      <c r="I33" s="23"/>
      <c r="J33" s="23"/>
      <c r="K33" s="23"/>
      <c r="L33" s="13" t="s">
        <v>174</v>
      </c>
      <c r="M33" s="13" t="s">
        <v>70</v>
      </c>
      <c r="N3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""&amp;M33)"),"Power|Voltage|IP Rating")</f>
        <v>Power|Voltage|IP Rating</v>
      </c>
      <c r="O33" s="15" t="s">
        <v>37</v>
      </c>
      <c r="P33" s="14" t="str">
        <f>IFERROR(__xludf.DUMMYFUNCTION("AI(""Using the labels""&amp;N33&amp;"" and values ""&amp;M33&amp;"" separated by character '|' and Using ""&amp;L33&amp;"" and key as 'SKU', Create a JSON object"")"),"{""SKU"": ""ADR008DA"", ""Power"": ""100W"", ""Voltage"": ""24V"", ""IP Rating"": ""IP67""}")</f>
        <v>{"SKU": "ADR008DA", "Power": "100W", "Voltage": "24V", "IP Rating": "IP67"}</v>
      </c>
      <c r="Q33" s="15" t="s">
        <v>175</v>
      </c>
      <c r="R33" s="25"/>
      <c r="S33" s="26"/>
      <c r="T33" s="25"/>
      <c r="U33" s="27"/>
      <c r="V33" s="26"/>
      <c r="W33" s="26"/>
      <c r="X33" s="26"/>
      <c r="Y33" s="17" t="s">
        <v>41</v>
      </c>
      <c r="Z33" s="17" t="s">
        <v>176</v>
      </c>
      <c r="AA33" s="17" t="s">
        <v>43</v>
      </c>
      <c r="AB33" s="20"/>
      <c r="AC33" s="20"/>
      <c r="AD33" s="20"/>
    </row>
    <row r="34" ht="37.5" customHeight="1">
      <c r="A34" s="10"/>
      <c r="B34" s="23"/>
      <c r="C34" s="23"/>
      <c r="D34" s="23"/>
      <c r="E34" s="23"/>
      <c r="F34" s="24"/>
      <c r="G34" s="23"/>
      <c r="H34" s="24"/>
      <c r="I34" s="23"/>
      <c r="J34" s="23"/>
      <c r="K34" s="23"/>
      <c r="L34" s="13" t="s">
        <v>177</v>
      </c>
      <c r="M34" s="13" t="s">
        <v>74</v>
      </c>
      <c r="N3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""&amp;M34)"),"Power|Voltage|IP Rating")</f>
        <v>Power|Voltage|IP Rating</v>
      </c>
      <c r="O34" s="15" t="s">
        <v>37</v>
      </c>
      <c r="P34" s="14" t="str">
        <f>IFERROR(__xludf.DUMMYFUNCTION("AI(""Using the labels""&amp;N34&amp;"" and values ""&amp;M34&amp;"" separated by character '|' and Using ""&amp;L34&amp;"" and key as 'SKU', Create a JSON object"")"),"{""SKU"": ""ADR009DA"", ""Power"": ""150W"", ""Voltage"": ""12V"", ""IP Rating"": ""IP67""}")</f>
        <v>{"SKU": "ADR009DA", "Power": "150W", "Voltage": "12V", "IP Rating": "IP67"}</v>
      </c>
      <c r="Q34" s="15" t="s">
        <v>178</v>
      </c>
      <c r="R34" s="25"/>
      <c r="S34" s="26"/>
      <c r="T34" s="25"/>
      <c r="U34" s="27"/>
      <c r="V34" s="26"/>
      <c r="W34" s="26"/>
      <c r="X34" s="26"/>
      <c r="Y34" s="17" t="s">
        <v>41</v>
      </c>
      <c r="Z34" s="17" t="s">
        <v>179</v>
      </c>
      <c r="AA34" s="17" t="s">
        <v>43</v>
      </c>
      <c r="AB34" s="20"/>
      <c r="AC34" s="20"/>
      <c r="AD34" s="20"/>
    </row>
    <row r="35" ht="37.5" customHeight="1">
      <c r="A35" s="10"/>
      <c r="B35" s="23"/>
      <c r="C35" s="23"/>
      <c r="D35" s="23"/>
      <c r="E35" s="23"/>
      <c r="F35" s="24"/>
      <c r="G35" s="23"/>
      <c r="H35" s="24"/>
      <c r="I35" s="23"/>
      <c r="J35" s="23"/>
      <c r="K35" s="23"/>
      <c r="L35" s="13" t="s">
        <v>180</v>
      </c>
      <c r="M35" s="13" t="s">
        <v>78</v>
      </c>
      <c r="N3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""&amp;M35)"),"Power|Voltage|IP Rating")</f>
        <v>Power|Voltage|IP Rating</v>
      </c>
      <c r="O35" s="15" t="s">
        <v>37</v>
      </c>
      <c r="P35" s="14" t="str">
        <f>IFERROR(__xludf.DUMMYFUNCTION("AI(""Using the labels""&amp;N35&amp;"" and values ""&amp;M35&amp;"" separated by character '|' and Using ""&amp;L35&amp;"" and key as 'SKU', Create a JSON object"")"),"{""SKU"": ""ADR010DA"", ""Power"": ""150W"", ""Voltage"": ""24V"", ""IP Rating"": ""IP67""}")</f>
        <v>{"SKU": "ADR010DA", "Power": "150W", "Voltage": "24V", "IP Rating": "IP67"}</v>
      </c>
      <c r="Q35" s="15" t="s">
        <v>181</v>
      </c>
      <c r="R35" s="25"/>
      <c r="S35" s="26"/>
      <c r="T35" s="25"/>
      <c r="U35" s="27"/>
      <c r="V35" s="26"/>
      <c r="W35" s="26"/>
      <c r="X35" s="26"/>
      <c r="Y35" s="17" t="s">
        <v>41</v>
      </c>
      <c r="Z35" s="17" t="s">
        <v>182</v>
      </c>
      <c r="AA35" s="17" t="s">
        <v>43</v>
      </c>
      <c r="AB35" s="20"/>
      <c r="AC35" s="20"/>
      <c r="AD35" s="20"/>
    </row>
    <row r="36" ht="37.5" customHeight="1">
      <c r="A36" s="10"/>
      <c r="B36" s="23"/>
      <c r="C36" s="23"/>
      <c r="D36" s="23"/>
      <c r="E36" s="23"/>
      <c r="F36" s="24"/>
      <c r="G36" s="23"/>
      <c r="H36" s="24"/>
      <c r="I36" s="23"/>
      <c r="J36" s="23"/>
      <c r="K36" s="23"/>
      <c r="L36" s="13" t="s">
        <v>183</v>
      </c>
      <c r="M36" s="13" t="s">
        <v>82</v>
      </c>
      <c r="N3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""&amp;M36)"),"Power|Voltage|IP Rating")</f>
        <v>Power|Voltage|IP Rating</v>
      </c>
      <c r="O36" s="15" t="s">
        <v>37</v>
      </c>
      <c r="P36" s="14" t="str">
        <f>IFERROR(__xludf.DUMMYFUNCTION("AI(""Using the labels""&amp;N36&amp;"" and values ""&amp;M36&amp;"" separated by character '|' and Using ""&amp;L36&amp;"" and key as 'SKU', Create a JSON object"")"),"{""SKU"": ""ADR011DA"", ""Power"": ""200W"", ""Voltage"": ""12V"", ""IP Rating"": ""IP67""}")</f>
        <v>{"SKU": "ADR011DA", "Power": "200W", "Voltage": "12V", "IP Rating": "IP67"}</v>
      </c>
      <c r="Q36" s="15" t="s">
        <v>184</v>
      </c>
      <c r="R36" s="25"/>
      <c r="S36" s="26"/>
      <c r="T36" s="25"/>
      <c r="U36" s="27"/>
      <c r="V36" s="26"/>
      <c r="W36" s="26"/>
      <c r="X36" s="26"/>
      <c r="Y36" s="17" t="s">
        <v>41</v>
      </c>
      <c r="Z36" s="17" t="s">
        <v>185</v>
      </c>
      <c r="AA36" s="17" t="s">
        <v>43</v>
      </c>
      <c r="AB36" s="20"/>
      <c r="AC36" s="20"/>
      <c r="AD36" s="20"/>
    </row>
    <row r="37" ht="37.5" customHeight="1">
      <c r="A37" s="10"/>
      <c r="B37" s="23"/>
      <c r="C37" s="23"/>
      <c r="D37" s="23"/>
      <c r="E37" s="23"/>
      <c r="F37" s="24"/>
      <c r="G37" s="23"/>
      <c r="H37" s="24"/>
      <c r="I37" s="23"/>
      <c r="J37" s="23"/>
      <c r="K37" s="23"/>
      <c r="L37" s="13" t="s">
        <v>186</v>
      </c>
      <c r="M37" s="13" t="s">
        <v>86</v>
      </c>
      <c r="N3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""&amp;M37)"),"Power|Voltage|IP Rating")</f>
        <v>Power|Voltage|IP Rating</v>
      </c>
      <c r="O37" s="15" t="s">
        <v>37</v>
      </c>
      <c r="P37" s="14" t="str">
        <f>IFERROR(__xludf.DUMMYFUNCTION("AI(""Using the labels""&amp;N37&amp;"" and values ""&amp;M37&amp;"" separated by character '|' and Using ""&amp;L37&amp;"" and key as 'SKU', Create a JSON object"")"),"{""SKU"": ""ADR012DA"", ""Power"": ""200W"", ""Voltage"": ""24V"", ""IP Rating"": ""IP67""}")</f>
        <v>{"SKU": "ADR012DA", "Power": "200W", "Voltage": "24V", "IP Rating": "IP67"}</v>
      </c>
      <c r="Q37" s="15" t="s">
        <v>187</v>
      </c>
      <c r="R37" s="25"/>
      <c r="S37" s="26"/>
      <c r="T37" s="25"/>
      <c r="U37" s="27"/>
      <c r="V37" s="26"/>
      <c r="W37" s="26"/>
      <c r="X37" s="26"/>
      <c r="Y37" s="17" t="s">
        <v>41</v>
      </c>
      <c r="Z37" s="17" t="s">
        <v>188</v>
      </c>
      <c r="AA37" s="17" t="s">
        <v>43</v>
      </c>
      <c r="AB37" s="20"/>
      <c r="AC37" s="20"/>
      <c r="AD37" s="20"/>
    </row>
    <row r="38" ht="37.5" customHeight="1">
      <c r="A38" s="10"/>
      <c r="B38" s="23"/>
      <c r="C38" s="23"/>
      <c r="D38" s="23"/>
      <c r="E38" s="23"/>
      <c r="F38" s="24"/>
      <c r="G38" s="23"/>
      <c r="H38" s="24"/>
      <c r="I38" s="23"/>
      <c r="J38" s="23"/>
      <c r="K38" s="23"/>
      <c r="L38" s="13" t="s">
        <v>189</v>
      </c>
      <c r="M38" s="13" t="s">
        <v>90</v>
      </c>
      <c r="N3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""&amp;M38)"),"Power|Voltage|IP Rating")</f>
        <v>Power|Voltage|IP Rating</v>
      </c>
      <c r="O38" s="15" t="s">
        <v>37</v>
      </c>
      <c r="P38" s="14" t="str">
        <f>IFERROR(__xludf.DUMMYFUNCTION("AI(""Using the labels""&amp;N38&amp;"" and values ""&amp;M38&amp;"" separated by character '|' and Using ""&amp;L38&amp;"" and key as 'SKU', Create a JSON object"")"),"{""SKU"": ""ADR015DA"", ""Power"": ""300W"", ""Voltage"": ""12V"", ""IP Rating"": ""IP67""}")</f>
        <v>{"SKU": "ADR015DA", "Power": "300W", "Voltage": "12V", "IP Rating": "IP67"}</v>
      </c>
      <c r="Q38" s="15" t="s">
        <v>190</v>
      </c>
      <c r="R38" s="25"/>
      <c r="S38" s="26"/>
      <c r="T38" s="25"/>
      <c r="U38" s="27"/>
      <c r="V38" s="26"/>
      <c r="W38" s="26"/>
      <c r="X38" s="26"/>
      <c r="Y38" s="17" t="s">
        <v>41</v>
      </c>
      <c r="Z38" s="17" t="s">
        <v>191</v>
      </c>
      <c r="AA38" s="17" t="s">
        <v>43</v>
      </c>
      <c r="AB38" s="20"/>
      <c r="AC38" s="20"/>
      <c r="AD38" s="20"/>
    </row>
    <row r="39" ht="37.5" customHeight="1">
      <c r="A39" s="10"/>
      <c r="B39" s="23"/>
      <c r="C39" s="23"/>
      <c r="D39" s="23"/>
      <c r="E39" s="23"/>
      <c r="F39" s="24"/>
      <c r="G39" s="23"/>
      <c r="H39" s="24"/>
      <c r="I39" s="23"/>
      <c r="J39" s="23"/>
      <c r="K39" s="23"/>
      <c r="L39" s="13" t="s">
        <v>192</v>
      </c>
      <c r="M39" s="13" t="s">
        <v>94</v>
      </c>
      <c r="N39"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""&amp;M39)"),"Power|Voltage|IP Rating")</f>
        <v>Power|Voltage|IP Rating</v>
      </c>
      <c r="O39" s="15" t="s">
        <v>37</v>
      </c>
      <c r="P39" s="14" t="str">
        <f>IFERROR(__xludf.DUMMYFUNCTION("AI(""Using the labels""&amp;N39&amp;"" and values ""&amp;M39&amp;"" separated by character '|' and Using ""&amp;L39&amp;"" and key as 'SKU', Create a JSON object"")"),"{""SKU"": ""ADR016DA"", ""Power"": ""300W"", ""Voltage"": ""24V"", ""IP Rating"": ""IP67""}")</f>
        <v>{"SKU": "ADR016DA", "Power": "300W", "Voltage": "24V", "IP Rating": "IP67"}</v>
      </c>
      <c r="Q39" s="15" t="s">
        <v>193</v>
      </c>
      <c r="R39" s="25"/>
      <c r="S39" s="26"/>
      <c r="T39" s="25"/>
      <c r="U39" s="27"/>
      <c r="V39" s="26"/>
      <c r="W39" s="26"/>
      <c r="X39" s="26"/>
      <c r="Y39" s="17" t="s">
        <v>41</v>
      </c>
      <c r="Z39" s="17" t="s">
        <v>194</v>
      </c>
      <c r="AA39" s="17" t="s">
        <v>43</v>
      </c>
      <c r="AB39" s="20"/>
      <c r="AC39" s="20"/>
      <c r="AD39" s="20"/>
    </row>
    <row r="40" ht="37.5" customHeight="1">
      <c r="A40" s="10"/>
      <c r="B40" s="23"/>
      <c r="C40" s="23"/>
      <c r="D40" s="23"/>
      <c r="E40" s="23"/>
      <c r="F40" s="24"/>
      <c r="G40" s="23"/>
      <c r="H40" s="24"/>
      <c r="I40" s="23"/>
      <c r="J40" s="23"/>
      <c r="K40" s="23"/>
      <c r="L40" s="13" t="s">
        <v>195</v>
      </c>
      <c r="M40" s="13" t="s">
        <v>196</v>
      </c>
      <c r="N40"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""&amp;M40)"),"Power|Voltage|IP Rating")</f>
        <v>Power|Voltage|IP Rating</v>
      </c>
      <c r="O40" s="15" t="s">
        <v>37</v>
      </c>
      <c r="P40" s="14" t="str">
        <f>IFERROR(__xludf.DUMMYFUNCTION("AI(""Using the labels""&amp;N40&amp;"" and values ""&amp;M40&amp;"" separated by character '|' and Using ""&amp;L40&amp;"" and key as 'SKU', Create a JSON object"")"),"{""SKU"": ""ADR-360-24-DALI"", ""Power"": ""360W"", ""Voltage"": ""24V"", ""IP Rating"": ""IP67""}")</f>
        <v>{"SKU": "ADR-360-24-DALI", "Power": "360W", "Voltage": "24V", "IP Rating": "IP67"}</v>
      </c>
      <c r="Q40" s="15" t="s">
        <v>197</v>
      </c>
      <c r="R40" s="25"/>
      <c r="S40" s="26"/>
      <c r="T40" s="25"/>
      <c r="U40" s="27"/>
      <c r="V40" s="26"/>
      <c r="W40" s="26"/>
      <c r="X40" s="26"/>
      <c r="Y40" s="17" t="s">
        <v>41</v>
      </c>
      <c r="Z40" s="17" t="s">
        <v>198</v>
      </c>
      <c r="AA40" s="17" t="s">
        <v>43</v>
      </c>
      <c r="AB40" s="20"/>
      <c r="AC40" s="20"/>
      <c r="AD40" s="20"/>
    </row>
    <row r="41" ht="37.5" customHeight="1">
      <c r="A41" s="10" t="s">
        <v>199</v>
      </c>
      <c r="B41" s="11" t="s">
        <v>200</v>
      </c>
      <c r="C41" s="11" t="s">
        <v>32</v>
      </c>
      <c r="D41" s="11" t="s">
        <v>200</v>
      </c>
      <c r="E41" s="11" t="s">
        <v>33</v>
      </c>
      <c r="F41" s="12" t="str">
        <f>IFERROR(__xludf.DUMMYFUNCTION("AI(""Give me a paragraph marketing spiel for this product, no tech specs just marketing fluff "")"),"Transform your spaces into a breathtaking visual journey with a perfect blend of elegance and modern design. This premium lighting solution offers seamless integration into your environment, casting a warm, sophisticated glow that effortlessly enhances th"&amp;"e natural beauty of your architecture. Crafted for those who appreciate refined detail and discreet luxury, it adds an unparalleled touch of ambiance, warmth, and style to any setting, making it the ultimate choice for elevated architectural illumination.")</f>
        <v>Transform your spaces into a breathtaking visual journey with a perfect blend of elegance and modern design. This premium lighting solution offers seamless integration into your environment, casting a warm, sophisticated glow that effortlessly enhances the natural beauty of your architecture. Crafted for those who appreciate refined detail and discreet luxury, it adds an unparalleled touch of ambiance, warmth, and style to any setting, making it the ultimate choice for elevated architectural illumination.</v>
      </c>
      <c r="G41" s="11" t="s">
        <v>201</v>
      </c>
      <c r="H41" s="12" t="str">
        <f>IFERROR(__xludf.DUMMYFUNCTION("AI(""Give me a paragraph marketing spiel for this product, no tech specs just marketing fluff under 180 characters "")"),"Elevate your environment with a perfect blend of elegance and modern design, casting a warm, sophisticated glow that adds an unparalleled touch of ambiance and luxury.")</f>
        <v>Elevate your environment with a perfect blend of elegance and modern design, casting a warm, sophisticated glow that adds an unparalleled touch of ambiance and luxury.</v>
      </c>
      <c r="I41" s="11" t="s">
        <v>202</v>
      </c>
      <c r="J41" s="23"/>
      <c r="K41" s="23"/>
      <c r="L41" s="13" t="s">
        <v>199</v>
      </c>
      <c r="M41" s="13" t="s">
        <v>203</v>
      </c>
      <c r="N41"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""&amp;M41)"),"Voltage|Power|IP Rating")</f>
        <v>Voltage|Power|IP Rating</v>
      </c>
      <c r="O41" s="15" t="s">
        <v>204</v>
      </c>
      <c r="P41" s="14" t="str">
        <f>IFERROR(__xludf.DUMMYFUNCTION("AI(""Using the labels""&amp;N41&amp;"" and values ""&amp;M41&amp;"" separated by character '|' and Using ""&amp;L41&amp;"" and key as 'SKU', Create a JSON object"")"),"{""SKU"": ""ADR-S12V24V-20W"", ""Voltage"": ""12V/24V"", ""Power"": ""20W"", ""IP Rating"": ""IP20""}")</f>
        <v>{"SKU": "ADR-S12V24V-20W", "Voltage": "12V/24V", "Power": "20W", "IP Rating": "IP20"}</v>
      </c>
      <c r="Q41" s="15" t="s">
        <v>205</v>
      </c>
      <c r="R41"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Q41:Q45)"),"{""SKU"": [""ADR-S12V24V-20W"", ""ADR-S12V24V-40W"", ""ADR-S12V24V-60W"", ""ADR-S12V24V-80W"", ""ADR-S12V24V-100W""], ""Voltage"": ""12V/24V"", ""Power"": [""20W"", ""40W"", ""60W"", ""80W"", ""100W""], ""IP Rating"": ""IP20""}")</f>
        <v>{"SKU": ["ADR-S12V24V-20W", "ADR-S12V24V-40W", "ADR-S12V24V-60W", "ADR-S12V24V-80W", "ADR-S12V24V-100W"], "Voltage": "12V/24V", "Power": ["20W", "40W", "60W", "80W", "100W"], "IP Rating": "IP20"}</v>
      </c>
      <c r="S41" s="17" t="s">
        <v>206</v>
      </c>
      <c r="T41"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Q41:Q45)"),"{
""Options"": {
""Voltage"": [
{""name"": ""12V/24V"", ""id"": ""101""}
],
""Power"": [
{""name"": ""20W"", ""id"": ""102""},
{""name"": ""40W"", ""id"": ""103""},
{""name"": ""60W"", ""id"": ""104""},
{""name"": ""80W"", ""id"": ""105""},
{""name"": ""1"&amp;"00W"", ""id"": ""106""}
],
""IP Rating"": [
{""name"": ""IP20"", ""id"": ""107""}
]
},
""Constraints"": {},
""sku_mappings"": [
{ ""sku"": ""ADR-S12V24V-20W"", ""combination"": [""101"", ""102"", ""107""] },
{ ""sku"": ""ADR-S12V24V-40W"", ""combination"""&amp;": [""101"", ""103"", ""107""] },
{ ""sku"": ""ADR-S12V24V-60W"", ""combination"": [""101"", ""104"", ""107""] },
{ ""sku"": ""ADR-S12V24V-80W"", ""combination"": [""101"", ""105"", ""107""] },
{ ""sku"": ""ADR-S12V24V-100W"", ""combination"": [""101"", """&amp;"106"", ""107""] }
]
}")</f>
        <v>{
"Options": {
"Voltage": [
{"name": "12V/24V", "id": "101"}
],
"Power": [
{"name": "20W", "id": "102"},
{"name": "40W", "id": "103"},
{"name": "60W", "id": "104"},
{"name": "80W", "id": "105"},
{"name": "100W", "id": "106"}
],
"IP Rating": [
{"name": "IP20", "id": "107"}
]
},
"Constraints": {},
"sku_mappings": [
{ "sku": "ADR-S12V24V-20W", "combination": ["101", "102", "107"] },
{ "sku": "ADR-S12V24V-40W", "combination": ["101", "103", "107"] },
{ "sku": "ADR-S12V24V-60W", "combination": ["101", "104", "107"] },
{ "sku": "ADR-S12V24V-80W", "combination": ["101", "105", "107"] },
{ "sku": "ADR-S12V24V-100W", "combination": ["101", "106", "107"] }
]
}</v>
      </c>
      <c r="U41" s="18" t="s">
        <v>207</v>
      </c>
      <c r="V41" s="19" t="str">
        <f>IFERROR(__xludf.DUMMYFUNCTION("AI(""Extract options object from the json"", U41)"),"{""Voltage"": [{""name"": ""12V/24V"", ""id"": ""101""}], ""Power"": [{""name"": ""20W"", ""id"": ""102""}, {""name"": ""40W"", ""id"": ""103""}, {""name"": ""60W"", ""id"": ""104""}, {""name"": ""80W"", ""id"": ""105""}, {""name"": ""100W"", ""id"": ""10"&amp;"6""}], ""IP Rating"": [{""name"": ""IP20"", ""id"": ""107""}]}")</f>
        <v>{"Voltage": [{"name": "12V/24V", "id": "101"}], "Power": [{"name": "20W", "id": "102"}, {"name": "40W", "id": "103"}, {"name": "60W", "id": "104"}, {"name": "80W", "id": "105"}, {"name": "100W", "id": "106"}], "IP Rating": [{"name": "IP20", "id": "107"}]}</v>
      </c>
      <c r="W41" s="19" t="str">
        <f>IFERROR(__xludf.DUMMYFUNCTION("AI(""Extract constraints object from the json"", U41)"),"{}")</f>
        <v>{}</v>
      </c>
      <c r="X41" s="19" t="str">
        <f>IFERROR(__xludf.DUMMYFUNCTION("AI(""Extract sku_mappings object from the json"", U41)"),"[{""sku"": ""ADR-S12V24V-20W"", ""combination"": [""101"", ""102"", ""107""]}, {""sku"": ""ADR-S12V24V-40W"", ""combination"": [""101"", ""103"", ""107""]}, {""sku"": ""ADR-S12V24V-60W"", ""combination"": [""101"", ""104"", ""107""]}, {""sku"": ""ADR-S12V"&amp;"24V-80W"", ""combination"": [""101"", ""105"", ""107""]}, {""sku"": ""ADR-S12V24V-100W"", ""combination"": [""101"", ""106"", ""107""]}]")</f>
        <v>[{"sku": "ADR-S12V24V-20W", "combination": ["101", "102", "107"]}, {"sku": "ADR-S12V24V-40W", "combination": ["101", "103", "107"]}, {"sku": "ADR-S12V24V-60W", "combination": ["101", "104", "107"]}, {"sku": "ADR-S12V24V-80W", "combination": ["101", "105", "107"]}, {"sku": "ADR-S12V24V-100W", "combination": ["101", "106", "107"]}]</v>
      </c>
      <c r="Y41" s="17" t="s">
        <v>41</v>
      </c>
      <c r="Z41" s="17" t="s">
        <v>208</v>
      </c>
      <c r="AA41" s="17" t="s">
        <v>43</v>
      </c>
      <c r="AB41" s="20"/>
      <c r="AC41" s="21" t="str">
        <f>IFERROR(__xludf.DUMMYFUNCTION("AI(""Generate 6 powerful unique keywords for the product in this row"")"),"switchable driver, 20W LED driver, 12V 24V power supply, IP20 LED driver, dual voltage power supply, architectural LED driver")</f>
        <v>switchable driver, 20W LED driver, 12V 24V power supply, IP20 LED driver, dual voltage power supply, architectural LED driver</v>
      </c>
      <c r="AD41" s="20" t="s">
        <v>209</v>
      </c>
    </row>
    <row r="42" ht="37.5" customHeight="1">
      <c r="A42" s="10"/>
      <c r="B42" s="23"/>
      <c r="C42" s="23"/>
      <c r="D42" s="23"/>
      <c r="E42" s="23"/>
      <c r="F42" s="24"/>
      <c r="G42" s="23"/>
      <c r="H42" s="24"/>
      <c r="I42" s="23"/>
      <c r="J42" s="23"/>
      <c r="K42" s="23"/>
      <c r="L42" s="13" t="s">
        <v>210</v>
      </c>
      <c r="M42" s="13" t="s">
        <v>211</v>
      </c>
      <c r="N4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""&amp;M42)"),"Voltage|Power|IP Rating")</f>
        <v>Voltage|Power|IP Rating</v>
      </c>
      <c r="O42" s="15" t="s">
        <v>204</v>
      </c>
      <c r="P42" s="14" t="str">
        <f>IFERROR(__xludf.DUMMYFUNCTION("AI(""Using the labels""&amp;N42&amp;"" and values ""&amp;M42&amp;"" separated by character '|' and Using ""&amp;L42&amp;"" and key as 'SKU', Create a JSON object"")"),"{""SKU"": ""ADR-S12V24V-40W"", ""Voltage"": ""12V/24V"", ""Power"": ""40W"", ""IP Rating"": ""IP20""}")</f>
        <v>{"SKU": "ADR-S12V24V-40W", "Voltage": "12V/24V", "Power": "40W", "IP Rating": "IP20"}</v>
      </c>
      <c r="Q42" s="15" t="s">
        <v>212</v>
      </c>
      <c r="R42" s="25"/>
      <c r="S42" s="26"/>
      <c r="T42" s="25"/>
      <c r="U42" s="27"/>
      <c r="V42" s="26"/>
      <c r="W42" s="26"/>
      <c r="X42" s="26"/>
      <c r="Y42" s="17" t="s">
        <v>41</v>
      </c>
      <c r="Z42" s="17" t="s">
        <v>213</v>
      </c>
      <c r="AA42" s="17" t="s">
        <v>43</v>
      </c>
      <c r="AB42" s="20"/>
      <c r="AC42" s="20"/>
      <c r="AD42" s="20"/>
    </row>
    <row r="43" ht="37.5" customHeight="1">
      <c r="A43" s="10"/>
      <c r="B43" s="23"/>
      <c r="C43" s="23"/>
      <c r="D43" s="23"/>
      <c r="E43" s="23"/>
      <c r="F43" s="24"/>
      <c r="G43" s="23"/>
      <c r="H43" s="24"/>
      <c r="I43" s="23"/>
      <c r="J43" s="23"/>
      <c r="K43" s="23"/>
      <c r="L43" s="13" t="s">
        <v>214</v>
      </c>
      <c r="M43" s="13" t="s">
        <v>215</v>
      </c>
      <c r="N4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""&amp;M43)"),"Voltage|Power|IP Rating")</f>
        <v>Voltage|Power|IP Rating</v>
      </c>
      <c r="O43" s="15" t="s">
        <v>204</v>
      </c>
      <c r="P43" s="14" t="str">
        <f>IFERROR(__xludf.DUMMYFUNCTION("AI(""Using the labels""&amp;N43&amp;"" and values ""&amp;M43&amp;"" separated by character '|' and Using ""&amp;L43&amp;"" and key as 'SKU', Create a JSON object"")"),"{""SKU"": ""ADR-S12V24V-60W"", ""Voltage"": ""12V/24V"", ""Power"": ""60W"", ""IP Rating"": ""IP20""}")</f>
        <v>{"SKU": "ADR-S12V24V-60W", "Voltage": "12V/24V", "Power": "60W", "IP Rating": "IP20"}</v>
      </c>
      <c r="Q43" s="15" t="s">
        <v>216</v>
      </c>
      <c r="R43" s="25"/>
      <c r="S43" s="26"/>
      <c r="T43" s="25"/>
      <c r="U43" s="27"/>
      <c r="V43" s="26"/>
      <c r="W43" s="26"/>
      <c r="X43" s="26"/>
      <c r="Y43" s="17" t="s">
        <v>41</v>
      </c>
      <c r="Z43" s="17" t="s">
        <v>217</v>
      </c>
      <c r="AA43" s="17" t="s">
        <v>43</v>
      </c>
      <c r="AB43" s="20"/>
      <c r="AC43" s="20"/>
      <c r="AD43" s="20"/>
    </row>
    <row r="44" ht="37.5" customHeight="1">
      <c r="A44" s="10"/>
      <c r="B44" s="23"/>
      <c r="C44" s="23"/>
      <c r="D44" s="23"/>
      <c r="E44" s="23"/>
      <c r="F44" s="24"/>
      <c r="G44" s="23"/>
      <c r="H44" s="24"/>
      <c r="I44" s="23"/>
      <c r="J44" s="23"/>
      <c r="K44" s="23"/>
      <c r="L44" s="13" t="s">
        <v>218</v>
      </c>
      <c r="M44" s="13" t="s">
        <v>219</v>
      </c>
      <c r="N4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""&amp;M44)"),"Voltage|Power|IP Rating")</f>
        <v>Voltage|Power|IP Rating</v>
      </c>
      <c r="O44" s="15" t="s">
        <v>204</v>
      </c>
      <c r="P44" s="14" t="str">
        <f>IFERROR(__xludf.DUMMYFUNCTION("AI(""Using the labels""&amp;N44&amp;"" and values ""&amp;M44&amp;"" separated by character '|' and Using ""&amp;L44&amp;"" and key as 'SKU', Create a JSON object"")"),"{""SKU"": ""ADR-S12V24V-80W"", ""Voltage"": ""12V/24V"", ""Power"": ""80W"", ""IP Rating"": ""IP20""}")</f>
        <v>{"SKU": "ADR-S12V24V-80W", "Voltage": "12V/24V", "Power": "80W", "IP Rating": "IP20"}</v>
      </c>
      <c r="Q44" s="15" t="s">
        <v>220</v>
      </c>
      <c r="R44" s="25"/>
      <c r="S44" s="26"/>
      <c r="T44" s="25"/>
      <c r="U44" s="27"/>
      <c r="V44" s="26"/>
      <c r="W44" s="26"/>
      <c r="X44" s="26"/>
      <c r="Y44" s="17" t="s">
        <v>41</v>
      </c>
      <c r="Z44" s="17" t="s">
        <v>221</v>
      </c>
      <c r="AA44" s="17" t="s">
        <v>43</v>
      </c>
      <c r="AB44" s="20"/>
      <c r="AC44" s="20"/>
      <c r="AD44" s="20"/>
    </row>
    <row r="45" ht="37.5" customHeight="1">
      <c r="A45" s="10"/>
      <c r="B45" s="23"/>
      <c r="C45" s="23"/>
      <c r="D45" s="23"/>
      <c r="E45" s="23"/>
      <c r="F45" s="24"/>
      <c r="G45" s="23"/>
      <c r="H45" s="24"/>
      <c r="I45" s="23"/>
      <c r="J45" s="23"/>
      <c r="K45" s="23"/>
      <c r="L45" s="13" t="s">
        <v>222</v>
      </c>
      <c r="M45" s="13" t="s">
        <v>223</v>
      </c>
      <c r="N4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 AC Phase-Cut (Example Triac)
- Current Sinking (Example 0-10V)
- Current Sourcing (Example 1-10V)
- Duty Cycle (Example PWM)
- Variable Resistance (Example"&amp;" Potentiometer)
### STRICT OUTPUT RULES
1. Output ONLY the corresponding labels mentioned above separated by pipes ('|'). 
2. Do not include the values in your output.
3. Do not include any conversational text, introductory remarks, or markdown formattin"&amp;"g blocks.
4. The number of labels in your output must exactly match the number of values provided in the input.
---
### FEW-SHOT EXAMPLES
#### Example 1 (Standard Neon Strip)
Input: 1.2W | SYM30° | 3000K | IP67 | IK10
Output: Power|Optics|CCT|IP Rating"&amp;"|Impact Strength
Input: 7W | Warm White | 12V/24V | AC/DC | IP67 | Black finish
Output: Power | Light Color | Current Type | IP Rating | Finish
---
### YOUR TASK
Generate output for the values text ""&amp;M45)"),"Voltage|Power|IP Rating")</f>
        <v>Voltage|Power|IP Rating</v>
      </c>
      <c r="O45" s="15" t="s">
        <v>204</v>
      </c>
      <c r="P45" s="14" t="str">
        <f>IFERROR(__xludf.DUMMYFUNCTION("AI(""Using the labels""&amp;N45&amp;"" and values ""&amp;M45&amp;"" separated by character '|' and Using ""&amp;L45&amp;"" and key as 'SKU', Create a JSON object"")"),"{""SKU"": ""ADR-S12V24V-100W"", ""Voltage"": ""12V/24V"", ""Power"": ""100W"", ""IP Rating"": ""IP20""}")</f>
        <v>{"SKU": "ADR-S12V24V-100W", "Voltage": "12V/24V", "Power": "100W", "IP Rating": "IP20"}</v>
      </c>
      <c r="Q45" s="15" t="s">
        <v>224</v>
      </c>
      <c r="R45" s="25"/>
      <c r="S45" s="26"/>
      <c r="T45" s="25"/>
      <c r="U45" s="27"/>
      <c r="V45" s="26"/>
      <c r="W45" s="26"/>
      <c r="X45" s="26"/>
      <c r="Y45" s="17" t="s">
        <v>41</v>
      </c>
      <c r="Z45" s="17" t="s">
        <v>225</v>
      </c>
      <c r="AA45" s="17" t="s">
        <v>43</v>
      </c>
      <c r="AB45" s="20"/>
      <c r="AC45" s="20"/>
      <c r="AD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sheetData>
  <drawing r:id="rId1"/>
  <tableParts count="1">
    <tablePart r:id="rId3"/>
  </tableParts>
</worksheet>
</file>