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JR Neon" sheetId="1" r:id="rId5"/>
  </sheets>
  <definedNames/>
  <calcPr/>
</workbook>
</file>

<file path=xl/sharedStrings.xml><?xml version="1.0" encoding="utf-8"?>
<sst xmlns="http://schemas.openxmlformats.org/spreadsheetml/2006/main" count="63" uniqueCount="54">
  <si>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</si>
  <si>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</si>
  <si>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</si>
  <si>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</si>
  <si>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</si>
  <si>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</si>
  <si>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</si>
  <si>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</si>
  <si>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</si>
  <si>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</si>
  <si>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</si>
  <si>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</si>
  <si>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</si>
  <si>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</si>
  <si>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</si>
  <si>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</si>
  <si>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</si>
  <si>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</si>
  <si>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</si>
  <si>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</si>
  <si>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</si>
  <si>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</si>
  <si>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</si>
  <si>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</si>
  <si>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</si>
  <si>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Stocked Item</t>
  </si>
  <si>
    <t>AI Meta Keywords</t>
  </si>
  <si>
    <t>Meta Keywords</t>
  </si>
  <si>
    <t>TV1010</t>
  </si>
  <si>
    <t>Neon Top View</t>
  </si>
  <si>
    <t>simple</t>
  </si>
  <si>
    <t>Top View</t>
  </si>
  <si>
    <t>draft</t>
  </si>
  <si>
    <t>Elevate your space with a mesmerizing, top-bending linear radiance designed to transform ordinary architectural lines into extraordinary visual statements. Crafted to curve effortlessly around contours, this flexible neon lighting solution casts a seamless, elegant glow that enhances high-end commercial environments and sophisticated outdoor landscapes alike. Perfect for visionary designers looking to infuse warmth and modern artistry into their surroundings, it delivers breathtaking atmosphere and timeless brilliance wherever it shines.</t>
  </si>
  <si>
    <t>Transform your space with a seamless, flexible glow designed to effortlessly accentuate contours and bring timeless, vibrant elegance to any environment.</t>
  </si>
  <si>
    <t>10W/m | 2700K | 24V | IP65 | 10mm (W) x 10mm (H) | 5,000mm (L) | Black</t>
  </si>
  <si>
    <t>Power Consumption Rate | CCT | Voltage | IP Rating | Dimension | Length | Finish</t>
  </si>
  <si>
    <t>{ "Power Consumption Rate": "10W/m", "CCT": "2700K", "Voltage": "24V", "IP Rating": "IP65", "Dimension": "10mm (W) x 10mm (H)", "Length": "5,000mm (L)", "Finish": "Black" }</t>
  </si>
  <si>
    <t>{ "Power Consumption Rate": "10W/m", "CCT": [ "2700K", "3000K", "4000K", "6000K" ], "Voltage": "24V", "IP Rating": "IP65", "Dimension": "10mm (W) x 10mm (H)", "Length": "5,000mm (L)", "Finish": "Black" }</t>
  </si>
  <si>
    <t>{ "Options": { "Power Consumption Rate": [ {"name": "10W/m", "id": "101"} ], "CCT": [ {"name": "2700K", "id": "102"}, {"name": "3000K", "id": "103"}, {"name": "4000K", "id": "104"}, {"name": "6000K", "id": "105"} ], "Voltage": [ {"name": "24V", "id": "106"} ], "IP Rating": [ {"name": "IP65", "id": "107"} ], "Dimension": [ {"name": "10mm (W) x 10mm (H)", "id": "108"} ], "Length": [ {"name": "5,000mm (L)", "id": "109"} ], "Finish": [ {"name": "Black", "id": "110"} ] }, "Constraints": {} }</t>
  </si>
  <si>
    <t>{ "Power Consumption Rate": [ {"name": "10W/m", "id": "101"} ], "CCT": [ {"name": "2700K", "id": "102"}, {"name": "3000K", "id": "103"}, {"name": "4000K", "id": "104"}, {"name": "6000K", "id": "105"} ], "Voltage": [ {"name": "24V", "id": "106"} ], "IP Rating": [ {"name": "IP65", "id": "107"} ], "Dimension": [ {"name": "10mm (W) x 10mm (H)", "id": "108"} ], "Length": [ {"name": "5,000mm (L)", "id": "109"} ], "Finish": [ {"name": "Black", "id": "110"} ] }</t>
  </si>
  <si>
    <t>[]</t>
  </si>
  <si>
    <t>CHINA - Shine Sky</t>
  </si>
  <si>
    <t>SK-NTB1010V24-C27</t>
  </si>
  <si>
    <t>No</t>
  </si>
  <si>
    <t>10W/m | 3000K | 24V | IP65 | 10mm (W) x 10mm (H) | 5,000mm (L) | Black</t>
  </si>
  <si>
    <t>{ "Power Consumption Rate": "10W/m", "CCT": "3000K", "Voltage": "24V", "IP Rating": "IP65", "Dimension": "10mm (W) x 10mm (H)", "Length": "5,000mm (L)", "Finish": "Black" }</t>
  </si>
  <si>
    <t>SK-NTB1010V24-C30</t>
  </si>
  <si>
    <t>10W/m | 4000K | 24V | IP65 | 10mm (W) x 10mm (H) | 5,000mm (L) | Black</t>
  </si>
  <si>
    <t>{ "Power Consumption Rate": "10W/m", "CCT": "4000K", "Voltage": "24V", "IP Rating": "IP65", "Dimension": "10mm (W) x 10mm (H)", "Length": "5,000mm (L)", "Finish": "Black" }</t>
  </si>
  <si>
    <t>SK-NTB1010V24-C40</t>
  </si>
  <si>
    <t>10W/m | 6000K | 24V | IP65 | 10mm (W) x 10mm (H) | 5,000mm (L) | Black</t>
  </si>
  <si>
    <t>{ "Power Consumption Rate": "10W/m", "CCT": "6000K", "Voltage": "24V", "IP Rating": "IP65", "Dimension": "10mm (W) x 10mm (H)", "Length": "5,000mm (L)", "Finish": "Black" }</t>
  </si>
  <si>
    <t>SK-NTB1010V24-C65</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</si>
</sst>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sz val="10.0"/>
      <color theme="1"/>
      <name val="DM Sans"/>
    </font>
    <font>
      <sz val="10.0"/>
      <color rgb="FF434343"/>
      <name val="DM Sans"/>
    </font>
    <font>
      <color theme="1"/>
      <name val="Arial"/>
      <scheme val="minor"/>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1"/>
    </xf>
    <xf borderId="1" fillId="0" fontId="3" numFmtId="0" xfId="0" applyAlignment="1" applyBorder="1" applyFont="1">
      <alignment readingOrder="0" shrinkToFit="0" vertical="center" wrapText="1"/>
    </xf>
    <xf borderId="1" fillId="7" fontId="3" numFmtId="0" xfId="0" applyAlignment="1" applyBorder="1" applyFill="1" applyFont="1">
      <alignment readingOrder="0" shrinkToFit="0" vertical="center" wrapText="1"/>
    </xf>
    <xf borderId="1" fillId="6" fontId="4" numFmtId="0" xfId="0" applyAlignment="1" applyBorder="1" applyFill="1" applyFont="1">
      <alignment shrinkToFit="0" vertical="center" wrapText="1"/>
    </xf>
    <xf borderId="1" fillId="8" fontId="4" numFmtId="0" xfId="0" applyAlignment="1" applyBorder="1" applyFill="1" applyFont="1">
      <alignment shrinkToFit="0" vertical="center" wrapText="1"/>
    </xf>
    <xf borderId="1" fillId="6" fontId="4" numFmtId="0" xfId="0" applyAlignment="1" applyBorder="1" applyFill="1" applyFont="1">
      <alignment readingOrder="0" shrinkToFit="0" vertical="center" wrapText="1"/>
    </xf>
    <xf borderId="1" fillId="8" fontId="4" numFmtId="0" xfId="0" applyAlignment="1" applyBorder="1" applyFill="1" applyFont="1">
      <alignment readingOrder="0" shrinkToFit="0" vertical="center" wrapText="1"/>
    </xf>
    <xf borderId="1" fillId="0" fontId="5" numFmtId="0" xfId="0" applyAlignment="1" applyBorder="1" applyFont="1">
      <alignment readingOrder="0"/>
    </xf>
    <xf borderId="1" fillId="0" fontId="4" numFmtId="0" xfId="0" applyAlignment="1" applyBorder="1" applyFont="1">
      <alignment readingOrder="0" shrinkToFit="0" vertical="center" wrapText="1"/>
    </xf>
    <xf borderId="1" fillId="0" fontId="3" numFmtId="0" xfId="0" applyAlignment="1" applyBorder="1" applyFont="1">
      <alignment shrinkToFit="0" vertical="center" wrapText="1"/>
    </xf>
    <xf borderId="0" fillId="0" fontId="3" numFmtId="0" xfId="0" applyAlignment="1" applyFont="1">
      <alignment shrinkToFit="0" vertical="center" wrapText="1"/>
    </xf>
    <xf borderId="1" fillId="8" fontId="3" numFmtId="0" xfId="0" applyAlignment="1" applyBorder="1" applyFill="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7.25"/>
    <col customWidth="1" min="2" max="2" width="28.25"/>
    <col customWidth="1" min="3" max="3" width="11.75"/>
    <col customWidth="1" min="4" max="4" width="9.88"/>
    <col customWidth="1" min="5" max="5" width="6.38"/>
    <col customWidth="1" min="6" max="6" width="50.5"/>
    <col customWidth="1" min="7" max="7" width="33.0"/>
    <col customWidth="1" min="8" max="9" width="31.38"/>
    <col customWidth="1" min="10" max="11" width="28.75"/>
    <col customWidth="1" min="12" max="12" width="57.25"/>
    <col customWidth="1" min="13" max="13" width="54.25"/>
    <col customWidth="1" min="14" max="14" width="34.75"/>
    <col customWidth="1" min="15" max="22" width="50.13"/>
    <col customWidth="1" min="23" max="23" width="29.38"/>
    <col customWidth="1" min="24" max="24" width="37.63"/>
    <col customWidth="1" min="25" max="25" width="12.63"/>
    <col customWidth="1" min="27" max="28" width="34.0"/>
  </cols>
  <sheetData>
    <row r="1">
      <c r="A1" s="1" t="s">
        <v>0</v>
      </c>
      <c r="B1" s="1" t="s">
        <v>1</v>
      </c>
      <c r="C1" s="1" t="s">
        <v>2</v>
      </c>
      <c r="D1" s="1" t="s">
        <v>3</v>
      </c>
      <c r="E1" s="1" t="s">
        <v>4</v>
      </c>
      <c r="F1" s="2" t="s">
        <v>5</v>
      </c>
      <c r="G1" s="1" t="s">
        <v>6</v>
      </c>
      <c r="H1" s="2" t="s">
        <v>7</v>
      </c>
      <c r="I1" s="1" t="s">
        <v>8</v>
      </c>
      <c r="J1" s="1" t="s">
        <v>9</v>
      </c>
      <c r="K1" s="1" t="s">
        <v>10</v>
      </c>
      <c r="L1" s="3" t="s">
        <v>11</v>
      </c>
      <c r="M1" s="2" t="s">
        <v>12</v>
      </c>
      <c r="N1" s="4" t="s">
        <v>13</v>
      </c>
      <c r="O1" s="2" t="s">
        <v>14</v>
      </c>
      <c r="P1" s="5" t="s">
        <v>15</v>
      </c>
      <c r="Q1" s="2" t="s">
        <v>16</v>
      </c>
      <c r="R1" s="1" t="s">
        <v>17</v>
      </c>
      <c r="S1" s="2" t="s">
        <v>18</v>
      </c>
      <c r="T1" s="5" t="s">
        <v>19</v>
      </c>
      <c r="U1" s="1" t="s">
        <v>20</v>
      </c>
      <c r="V1" s="1" t="s">
        <v>21</v>
      </c>
      <c r="W1" s="1" t="s">
        <v>22</v>
      </c>
      <c r="X1" s="1" t="s">
        <v>23</v>
      </c>
      <c r="Y1" s="1" t="s">
        <v>24</v>
      </c>
      <c r="Z1" s="1" t="s">
        <v>25</v>
      </c>
      <c r="AA1" s="2" t="s">
        <v>26</v>
      </c>
      <c r="AB1" s="1" t="s">
        <v>27</v>
      </c>
    </row>
    <row r="2" ht="146.25" customHeight="1">
      <c r="A2" s="6" t="s">
        <v>28</v>
      </c>
      <c r="B2" s="7" t="s">
        <v>29</v>
      </c>
      <c r="C2" s="7" t="s">
        <v>30</v>
      </c>
      <c r="D2" s="7" t="s">
        <v>31</v>
      </c>
      <c r="E2" s="7" t="s">
        <v>32</v>
      </c>
      <c r="F2" s="8" t="str">
        <f>IFERROR(__xludf.DUMMYFUNCTION("AI(""Give me a paragraph marketing spiel for product in this row, no tech specs just marketing fluff "")"),"Elevate your space with a mesmerizing, top-bending linear radiance designed to transform ordinary architectural lines into extraordinary visual statements. Crafted to curve effortlessly around contours, this flexible neon lighting solution casts a seamles"&amp;"s, elegant glow that enhances high-end commercial environments and sophisticated outdoor landscapes alike. Perfect for visionary designers looking to infuse warmth and modern artistry into their surroundings, it delivers breathtaking atmosphere and timele"&amp;"ss brilliance wherever it shines.")</f>
        <v>Elevate your space with a mesmerizing, top-bending linear radiance designed to transform ordinary architectural lines into extraordinary visual statements. Crafted to curve effortlessly around contours, this flexible neon lighting solution casts a seamless, elegant glow that enhances high-end commercial environments and sophisticated outdoor landscapes alike. Perfect for visionary designers looking to infuse warmth and modern artistry into their surroundings, it delivers breathtaking atmosphere and timeless brilliance wherever it shines.</v>
      </c>
      <c r="G2" s="7" t="s">
        <v>33</v>
      </c>
      <c r="H2" s="8" t="str">
        <f>IFERROR(__xludf.DUMMYFUNCTION("AI(""Give me a paragraph marketing spiel for product in this row, no tech specs just marketing fluff under 180 characters "")"),"Transform your space with a seamless, flexible glow designed to effortlessly accentuate contours and bring timeless, vibrant elegance to any environment.")</f>
        <v>Transform your space with a seamless, flexible glow designed to effortlessly accentuate contours and bring timeless, vibrant elegance to any environment.</v>
      </c>
      <c r="I2" s="7" t="s">
        <v>34</v>
      </c>
      <c r="J2" s="9"/>
      <c r="K2" s="9"/>
      <c r="L2" s="10" t="s">
        <v>35</v>
      </c>
      <c r="M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""&amp;L2)"),"Power Consumption Rate | CCT | Voltage | IP Rating | Dimension | Length | Finish")</f>
        <v>Power Consumption Rate | CCT | Voltage | IP Rating | Dimension | Length | Finish</v>
      </c>
      <c r="N2" s="12" t="s">
        <v>36</v>
      </c>
      <c r="O2" s="11" t="str">
        <f>IFERROR(__xludf.DUMMYFUNCTION("AI(""Using the labels""&amp;N2&amp;"" and values ""&amp;L2&amp;"" separated by character '|', Create a JSON object"")"),"{ ""Power Consumption Rate"": ""10W/m"", ""CCT"": ""2700K"", ""Voltage"": ""24V"", ""IP Rating"": ""IP65"", ""Dimension"": ""10mm (W) x 10mm (H)"", ""Length"": ""5,000mm (L)"", ""Finish"": ""Black"" }")</f>
        <v>{ "Power Consumption Rate": "10W/m", "CCT": "2700K", "Voltage": "24V", "IP Rating": "IP65", "Dimension": "10mm (W) x 10mm (H)", "Length": "5,000mm (L)", "Finish": "Black" }</v>
      </c>
      <c r="P2" s="12" t="s">
        <v>37</v>
      </c>
      <c r="Q2"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P2:P5)"),"{ ""Power Consumption Rate"": ""10W/m"", ""CCT"": [ ""2700K"", ""3000K"", ""4000K"", ""6000K"" ], ""Voltage"": ""24V"", ""IP Rating"": ""IP65"", ""Dimension"": ""10mm (W) x 10mm (H)"", ""Length"": ""5,000mm (L)"", ""Finish"": ""Black"" }")</f>
        <v>{ "Power Consumption Rate": "10W/m", "CCT": [ "2700K", "3000K", "4000K", "6000K" ], "Voltage": "24V", "IP Rating": "IP65", "Dimension": "10mm (W) x 10mm (H)", "Length": "5,000mm (L)", "Finish": "Black" }</v>
      </c>
      <c r="R2" s="13" t="s">
        <v>38</v>
      </c>
      <c r="S2"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P2:P5)"),"{ ""Options"": { ""Power Consumption Rate"": [ {""name"": ""10W/m"", ""id"": ""101""} ], ""CCT"": [ {""name"": ""2700K"", ""id"": ""102""}, {""name"": ""3000K"", ""id"": ""103""}, {""name"": ""4000K"", ""id"": ""104""}, {""name"": ""6000K"", ""id"": ""105"&amp;"""} ], ""Voltage"": [ {""name"": ""24V"", ""id"": ""106""} ], ""IP Rating"": [ {""name"": ""IP65"", ""id"": ""107""} ], ""Dimension"": [ {""name"": ""10mm (W) x 10mm (H)"", ""id"": ""108""} ], ""Length"": [ {""name"": ""5,000mm (L)"", ""id"": ""109""} ], "&amp;"""Finish"": [ {""name"": ""Black"", ""id"": ""110""} ] }, ""Constraints"": {} }")</f>
        <v>{ "Options": { "Power Consumption Rate": [ {"name": "10W/m", "id": "101"} ], "CCT": [ {"name": "2700K", "id": "102"}, {"name": "3000K", "id": "103"}, {"name": "4000K", "id": "104"}, {"name": "6000K", "id": "105"} ], "Voltage": [ {"name": "24V", "id": "106"} ], "IP Rating": [ {"name": "IP65", "id": "107"} ], "Dimension": [ {"name": "10mm (W) x 10mm (H)", "id": "108"} ], "Length": [ {"name": "5,000mm (L)", "id": "109"} ], "Finish": [ {"name": "Black", "id": "110"} ] }, "Constraints": {} }</v>
      </c>
      <c r="T2" s="14" t="s">
        <v>39</v>
      </c>
      <c r="U2" s="13" t="s">
        <v>40</v>
      </c>
      <c r="V2" s="13" t="s">
        <v>41</v>
      </c>
      <c r="W2" s="15" t="s">
        <v>42</v>
      </c>
      <c r="X2" s="15" t="s">
        <v>43</v>
      </c>
      <c r="Y2" s="16" t="s">
        <v>44</v>
      </c>
      <c r="Z2" s="17"/>
      <c r="AA2" s="17" t="str">
        <f>IFERROR(__xludf.DUMMYFUNCTION("AI(""Generate 6 powerful unique keywords for the product in this row"")"),"Top bend LED neon, IP65 linear light, 2700K warm white neon, Flexible architectural lighting, Black silicone LED strip, 24V linear flex")</f>
        <v>Top bend LED neon, IP65 linear light, 2700K warm white neon, Flexible architectural lighting, Black silicone LED strip, 24V linear flex</v>
      </c>
      <c r="AB2" s="18"/>
    </row>
    <row r="3">
      <c r="A3" s="6"/>
      <c r="B3" s="17"/>
      <c r="C3" s="17"/>
      <c r="D3" s="17"/>
      <c r="E3" s="17"/>
      <c r="F3" s="17"/>
      <c r="G3" s="17"/>
      <c r="H3" s="17"/>
      <c r="I3" s="17"/>
      <c r="J3" s="17"/>
      <c r="K3" s="17"/>
      <c r="L3" s="10" t="s">
        <v>45</v>
      </c>
      <c r="M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""&amp;L3)"),"Power Consumption Rate | CCT | Voltage | IP Rating | Dimension | Length | Finish")</f>
        <v>Power Consumption Rate | CCT | Voltage | IP Rating | Dimension | Length | Finish</v>
      </c>
      <c r="N3" s="19" t="s">
        <v>36</v>
      </c>
      <c r="O3" s="11" t="str">
        <f>IFERROR(__xludf.DUMMYFUNCTION("AI(""Using the labels""&amp;N3&amp;"" and values ""&amp;L3&amp;"" separated by character '|', Create a JSON object"")"),"{ ""Power Consumption Rate"": ""10W/m"", ""CCT"": ""3000K"", ""Voltage"": ""24V"", ""IP Rating"": ""IP65"", ""Dimension"": ""10mm (W) x 10mm (H)"", ""Length"": ""5,000mm (L)"", ""Finish"": ""Black"" }")</f>
        <v>{ "Power Consumption Rate": "10W/m", "CCT": "3000K", "Voltage": "24V", "IP Rating": "IP65", "Dimension": "10mm (W) x 10mm (H)", "Length": "5,000mm (L)", "Finish": "Black" }</v>
      </c>
      <c r="P3" s="19" t="s">
        <v>46</v>
      </c>
      <c r="Q3" s="17"/>
      <c r="R3" s="17"/>
      <c r="S3" s="17"/>
      <c r="T3" s="17"/>
      <c r="U3" s="17"/>
      <c r="V3" s="17"/>
      <c r="W3" s="6" t="s">
        <v>42</v>
      </c>
      <c r="X3" s="15" t="s">
        <v>47</v>
      </c>
      <c r="Y3" s="16" t="s">
        <v>44</v>
      </c>
      <c r="Z3" s="17"/>
      <c r="AA3" s="17"/>
      <c r="AB3" s="18"/>
    </row>
    <row r="4">
      <c r="A4" s="6"/>
      <c r="B4" s="17"/>
      <c r="C4" s="17"/>
      <c r="D4" s="17"/>
      <c r="E4" s="17"/>
      <c r="F4" s="17"/>
      <c r="G4" s="17"/>
      <c r="H4" s="17"/>
      <c r="I4" s="17"/>
      <c r="J4" s="17"/>
      <c r="K4" s="17"/>
      <c r="L4" s="10" t="s">
        <v>48</v>
      </c>
      <c r="M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""&amp;L4)"),"Power Consumption Rate | CCT | Voltage | IP Rating | Dimension | Length | Finish")</f>
        <v>Power Consumption Rate | CCT | Voltage | IP Rating | Dimension | Length | Finish</v>
      </c>
      <c r="N4" s="19" t="s">
        <v>36</v>
      </c>
      <c r="O4" s="11" t="str">
        <f>IFERROR(__xludf.DUMMYFUNCTION("AI(""Using the labels""&amp;N4&amp;"" and values ""&amp;L4&amp;"" separated by character '|', Create a JSON object"")"),"{ ""Power Consumption Rate"": ""10W/m"", ""CCT"": ""4000K"", ""Voltage"": ""24V"", ""IP Rating"": ""IP65"", ""Dimension"": ""10mm (W) x 10mm (H)"", ""Length"": ""5,000mm (L)"", ""Finish"": ""Black"" }")</f>
        <v>{ "Power Consumption Rate": "10W/m", "CCT": "4000K", "Voltage": "24V", "IP Rating": "IP65", "Dimension": "10mm (W) x 10mm (H)", "Length": "5,000mm (L)", "Finish": "Black" }</v>
      </c>
      <c r="P4" s="19" t="s">
        <v>49</v>
      </c>
      <c r="Q4" s="17"/>
      <c r="R4" s="17"/>
      <c r="S4" s="17"/>
      <c r="T4" s="17"/>
      <c r="U4" s="17"/>
      <c r="V4" s="17"/>
      <c r="W4" s="6" t="s">
        <v>42</v>
      </c>
      <c r="X4" s="15" t="s">
        <v>50</v>
      </c>
      <c r="Y4" s="16" t="s">
        <v>44</v>
      </c>
      <c r="Z4" s="17"/>
      <c r="AA4" s="17"/>
      <c r="AB4" s="18"/>
    </row>
    <row r="5">
      <c r="A5" s="6"/>
      <c r="B5" s="17"/>
      <c r="C5" s="17"/>
      <c r="D5" s="17"/>
      <c r="E5" s="17"/>
      <c r="F5" s="17"/>
      <c r="G5" s="17"/>
      <c r="H5" s="17"/>
      <c r="I5" s="17"/>
      <c r="J5" s="17"/>
      <c r="K5" s="17"/>
      <c r="L5" s="10" t="s">
        <v>51</v>
      </c>
      <c r="M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""&amp;L5)"),"Power Consumption Rate | CCT | Voltage | IP Rating | Dimension | Length | Finish")</f>
        <v>Power Consumption Rate | CCT | Voltage | IP Rating | Dimension | Length | Finish</v>
      </c>
      <c r="N5" s="19" t="s">
        <v>36</v>
      </c>
      <c r="O5" s="11" t="str">
        <f>IFERROR(__xludf.DUMMYFUNCTION("AI(""Using the labels""&amp;N5&amp;"" and values ""&amp;L5&amp;"" separated by character '|', Create a JSON object"")"),"{ ""Power Consumption Rate"": ""10W/m"", ""CCT"": ""6000K"", ""Voltage"": ""24V"", ""IP Rating"": ""IP65"", ""Dimension"": ""10mm (W) x 10mm (H)"", ""Length"": ""5,000mm (L)"", ""Finish"": ""Black"" }")</f>
        <v>{ "Power Consumption Rate": "10W/m", "CCT": "6000K", "Voltage": "24V", "IP Rating": "IP65", "Dimension": "10mm (W) x 10mm (H)", "Length": "5,000mm (L)", "Finish": "Black" }</v>
      </c>
      <c r="P5" s="19" t="s">
        <v>52</v>
      </c>
      <c r="Q5" s="17"/>
      <c r="R5" s="17"/>
      <c r="S5" s="17"/>
      <c r="T5" s="17"/>
      <c r="U5" s="17"/>
      <c r="V5" s="17"/>
      <c r="W5" s="6" t="s">
        <v>42</v>
      </c>
      <c r="X5" s="15" t="s">
        <v>53</v>
      </c>
      <c r="Y5" s="16" t="s">
        <v>44</v>
      </c>
      <c r="Z5" s="17"/>
      <c r="AA5" s="17"/>
      <c r="AB5" s="18"/>
    </row>
    <row r="6">
      <c r="A6" s="17"/>
      <c r="B6" s="17"/>
      <c r="C6" s="17"/>
      <c r="D6" s="17"/>
      <c r="E6" s="17"/>
      <c r="F6" s="17"/>
      <c r="G6" s="17"/>
      <c r="H6" s="17"/>
      <c r="I6" s="17"/>
      <c r="J6" s="17"/>
      <c r="K6" s="17"/>
      <c r="L6" s="17"/>
      <c r="M6" s="17"/>
      <c r="N6" s="17"/>
      <c r="O6" s="17"/>
      <c r="P6" s="17"/>
      <c r="Q6" s="17"/>
      <c r="R6" s="17"/>
      <c r="S6" s="17"/>
      <c r="T6" s="17"/>
      <c r="U6" s="17"/>
      <c r="V6" s="17"/>
      <c r="W6" s="17"/>
      <c r="X6" s="15"/>
      <c r="Y6" s="17"/>
      <c r="Z6" s="17"/>
      <c r="AA6" s="17"/>
      <c r="AB6" s="18"/>
    </row>
    <row r="7">
      <c r="A7" s="17"/>
      <c r="B7" s="17"/>
      <c r="C7" s="17"/>
      <c r="D7" s="17"/>
      <c r="E7" s="17"/>
      <c r="F7" s="17"/>
      <c r="G7" s="17"/>
      <c r="H7" s="17"/>
      <c r="I7" s="17"/>
      <c r="J7" s="17"/>
      <c r="K7" s="17"/>
      <c r="L7" s="17"/>
      <c r="M7" s="17"/>
      <c r="N7" s="17"/>
      <c r="O7" s="17"/>
      <c r="P7" s="17"/>
      <c r="Q7" s="17"/>
      <c r="R7" s="17"/>
      <c r="S7" s="17"/>
      <c r="T7" s="17"/>
      <c r="U7" s="17"/>
      <c r="V7" s="17"/>
      <c r="W7" s="17"/>
      <c r="X7" s="6"/>
      <c r="Y7" s="17"/>
      <c r="Z7" s="17"/>
      <c r="AA7" s="17"/>
      <c r="AB7" s="18"/>
    </row>
    <row r="8">
      <c r="A8" s="17"/>
      <c r="B8" s="17"/>
      <c r="C8" s="17"/>
      <c r="D8" s="17"/>
      <c r="E8" s="17"/>
      <c r="F8" s="17"/>
      <c r="G8" s="17"/>
      <c r="H8" s="17"/>
      <c r="I8" s="17"/>
      <c r="J8" s="17"/>
      <c r="K8" s="17"/>
      <c r="L8" s="17"/>
      <c r="M8" s="17"/>
      <c r="N8" s="17"/>
      <c r="O8" s="17"/>
      <c r="P8" s="17"/>
      <c r="Q8" s="17"/>
      <c r="R8" s="17"/>
      <c r="S8" s="17"/>
      <c r="T8" s="17"/>
      <c r="U8" s="17"/>
      <c r="V8" s="17"/>
      <c r="W8" s="17"/>
      <c r="X8" s="6"/>
      <c r="Y8" s="17"/>
      <c r="Z8" s="17"/>
      <c r="AA8" s="17"/>
      <c r="AB8" s="18"/>
    </row>
    <row r="9">
      <c r="A9" s="17"/>
      <c r="B9" s="17"/>
      <c r="C9" s="17"/>
      <c r="D9" s="17"/>
      <c r="E9" s="17"/>
      <c r="F9" s="17"/>
      <c r="G9" s="17"/>
      <c r="H9" s="17"/>
      <c r="I9" s="17"/>
      <c r="J9" s="17"/>
      <c r="K9" s="17"/>
      <c r="L9" s="17"/>
      <c r="M9" s="17"/>
      <c r="N9" s="17"/>
      <c r="O9" s="17"/>
      <c r="P9" s="17"/>
      <c r="Q9" s="17"/>
      <c r="R9" s="17"/>
      <c r="S9" s="17"/>
      <c r="T9" s="17"/>
      <c r="U9" s="17"/>
      <c r="V9" s="17"/>
      <c r="W9" s="17"/>
      <c r="X9" s="6"/>
      <c r="Y9" s="17"/>
      <c r="Z9" s="17"/>
      <c r="AA9" s="17"/>
      <c r="AB9" s="18"/>
    </row>
    <row r="10">
      <c r="A10" s="17"/>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8"/>
    </row>
    <row r="11">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8"/>
    </row>
    <row r="12">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17"/>
      <c r="AB12" s="18"/>
    </row>
    <row r="13">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17"/>
      <c r="AB13" s="18"/>
    </row>
    <row r="14">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8"/>
    </row>
    <row r="15">
      <c r="A15" s="17"/>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8"/>
    </row>
    <row r="16">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8"/>
    </row>
    <row r="17">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8"/>
    </row>
    <row r="18">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8"/>
    </row>
    <row r="19">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8"/>
    </row>
    <row r="20">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8"/>
    </row>
    <row r="21">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8"/>
    </row>
    <row r="22">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17"/>
      <c r="AB22" s="18"/>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8"/>
    </row>
    <row r="24">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8"/>
    </row>
    <row r="25">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8"/>
    </row>
    <row r="26">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8"/>
    </row>
    <row r="27">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8"/>
    </row>
    <row r="28">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8"/>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8"/>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8"/>
    </row>
    <row r="31">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8"/>
    </row>
    <row r="32">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17"/>
      <c r="AB32" s="18"/>
    </row>
    <row r="33">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17"/>
      <c r="AB33" s="18"/>
    </row>
    <row r="34">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17"/>
      <c r="AB34" s="18"/>
    </row>
    <row r="35">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17"/>
      <c r="AB35" s="18"/>
    </row>
    <row r="36">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17"/>
      <c r="AB36" s="18"/>
    </row>
    <row r="37">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17"/>
      <c r="AB37" s="18"/>
    </row>
    <row r="38">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17"/>
      <c r="AB38" s="18"/>
    </row>
    <row r="39">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17"/>
      <c r="AB39" s="18"/>
    </row>
    <row r="40">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17"/>
      <c r="AB40" s="18"/>
    </row>
    <row r="4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17"/>
      <c r="AB41" s="18"/>
    </row>
    <row r="42">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17"/>
      <c r="AB42" s="18"/>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17"/>
      <c r="AB43" s="18"/>
    </row>
    <row r="44">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17"/>
      <c r="AB44" s="18"/>
    </row>
    <row r="45">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17"/>
      <c r="AB45" s="18"/>
    </row>
    <row r="46">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17"/>
      <c r="AB46" s="18"/>
    </row>
    <row r="47">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17"/>
      <c r="AB47" s="18"/>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8"/>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c r="AB49" s="18"/>
    </row>
    <row r="50">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8"/>
    </row>
    <row r="5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17"/>
      <c r="AB51" s="18"/>
    </row>
    <row r="52">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8"/>
    </row>
    <row r="53">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8"/>
    </row>
    <row r="54">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8"/>
    </row>
    <row r="55">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8"/>
    </row>
    <row r="56">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17"/>
      <c r="AB56" s="18"/>
    </row>
    <row r="57">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8"/>
    </row>
    <row r="58">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8"/>
    </row>
    <row r="59">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17"/>
      <c r="AB59" s="18"/>
    </row>
    <row r="60">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8"/>
    </row>
    <row r="6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8"/>
    </row>
    <row r="62">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8"/>
    </row>
    <row r="63">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8"/>
    </row>
    <row r="64">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8"/>
    </row>
    <row r="65">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8"/>
    </row>
    <row r="66">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8"/>
    </row>
    <row r="67">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8"/>
    </row>
    <row r="68">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8"/>
    </row>
    <row r="69">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8"/>
    </row>
    <row r="70">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8"/>
    </row>
    <row r="7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8"/>
    </row>
    <row r="72">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8"/>
    </row>
    <row r="73">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8"/>
    </row>
    <row r="74">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8"/>
    </row>
    <row r="75">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8"/>
    </row>
    <row r="76">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8"/>
    </row>
    <row r="77">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8"/>
    </row>
    <row r="78">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8"/>
    </row>
    <row r="79">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8"/>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8"/>
    </row>
    <row r="8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8"/>
    </row>
    <row r="82">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8"/>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8"/>
    </row>
    <row r="84">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8"/>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8"/>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8"/>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8"/>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8"/>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8"/>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8"/>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8"/>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8"/>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8"/>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8"/>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8"/>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8"/>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8"/>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8"/>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8"/>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8"/>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8"/>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8"/>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8"/>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8"/>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8"/>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8"/>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8"/>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8"/>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8"/>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8"/>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8"/>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8"/>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8"/>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8"/>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8"/>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8"/>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8"/>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8"/>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8"/>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8"/>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8"/>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8"/>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8"/>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8"/>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8"/>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8"/>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8"/>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8"/>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8"/>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8"/>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8"/>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8"/>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8"/>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8"/>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8"/>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8"/>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8"/>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8"/>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8"/>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8"/>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8"/>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8"/>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8"/>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8"/>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8"/>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8"/>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8"/>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8"/>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8"/>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8"/>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8"/>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8"/>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8"/>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8"/>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8"/>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8"/>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8"/>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8"/>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8"/>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8"/>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8"/>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8"/>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8"/>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8"/>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8"/>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8"/>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8"/>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8"/>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8"/>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8"/>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c r="AB171" s="18"/>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c r="AB172" s="18"/>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c r="AB173" s="18"/>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c r="AB174" s="18"/>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c r="AB175" s="18"/>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8"/>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8"/>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8"/>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8"/>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8"/>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8"/>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8"/>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8"/>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8"/>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8"/>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8"/>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8"/>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8"/>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8"/>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8"/>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8"/>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8"/>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8"/>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8"/>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8"/>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8"/>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8"/>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8"/>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8"/>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8"/>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8"/>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8"/>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8"/>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8"/>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8"/>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8"/>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8"/>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8"/>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8"/>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8"/>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8"/>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8"/>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8"/>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8"/>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8"/>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8"/>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8"/>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8"/>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8"/>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8"/>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8"/>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8"/>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8"/>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8"/>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8"/>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8"/>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8"/>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8"/>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8"/>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8"/>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8"/>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8"/>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8"/>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8"/>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8"/>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8"/>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8"/>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8"/>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8"/>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8"/>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8"/>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8"/>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8"/>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8"/>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8"/>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8"/>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8"/>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8"/>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8"/>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8"/>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8"/>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8"/>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8"/>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8"/>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8"/>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8"/>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8"/>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8"/>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8"/>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8"/>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8"/>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8"/>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8"/>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8"/>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8"/>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8"/>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8"/>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8"/>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8"/>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8"/>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8"/>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8"/>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8"/>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8"/>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8"/>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8"/>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8"/>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8"/>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8"/>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8"/>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8"/>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8"/>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8"/>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8"/>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8"/>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8"/>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8"/>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8"/>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8"/>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8"/>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8"/>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8"/>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8"/>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8"/>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8"/>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8"/>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8"/>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8"/>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8"/>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8"/>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8"/>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8"/>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8"/>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8"/>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8"/>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8"/>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8"/>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8"/>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8"/>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8"/>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8"/>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8"/>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8"/>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8"/>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8"/>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8"/>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8"/>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8"/>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8"/>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8"/>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8"/>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8"/>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8"/>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8"/>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8"/>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8"/>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8"/>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8"/>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8"/>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8"/>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8"/>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8"/>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8"/>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8"/>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8"/>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8"/>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8"/>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8"/>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8"/>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8"/>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8"/>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8"/>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8"/>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8"/>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8"/>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8"/>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8"/>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8"/>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8"/>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8"/>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8"/>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8"/>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8"/>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8"/>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8"/>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8"/>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8"/>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8"/>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8"/>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8"/>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8"/>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8"/>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8"/>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8"/>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8"/>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8"/>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8"/>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8"/>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8"/>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8"/>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8"/>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8"/>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8"/>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8"/>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8"/>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8"/>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8"/>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8"/>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8"/>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8"/>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8"/>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8"/>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8"/>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8"/>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8"/>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8"/>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8"/>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8"/>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8"/>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8"/>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8"/>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8"/>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8"/>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8"/>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8"/>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8"/>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8"/>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8"/>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8"/>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8"/>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8"/>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8"/>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8"/>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8"/>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8"/>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8"/>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8"/>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8"/>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8"/>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8"/>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8"/>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8"/>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8"/>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8"/>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8"/>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8"/>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8"/>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8"/>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8"/>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8"/>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8"/>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8"/>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8"/>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8"/>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8"/>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8"/>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8"/>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8"/>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8"/>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8"/>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8"/>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8"/>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8"/>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8"/>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8"/>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8"/>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8"/>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8"/>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8"/>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8"/>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8"/>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8"/>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8"/>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8"/>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8"/>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8"/>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8"/>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8"/>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8"/>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8"/>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8"/>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8"/>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8"/>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8"/>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8"/>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8"/>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8"/>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8"/>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8"/>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8"/>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8"/>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8"/>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8"/>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8"/>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8"/>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8"/>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8"/>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8"/>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8"/>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8"/>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8"/>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8"/>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8"/>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8"/>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8"/>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8"/>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8"/>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8"/>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8"/>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8"/>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8"/>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8"/>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8"/>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8"/>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8"/>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8"/>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8"/>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8"/>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8"/>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8"/>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8"/>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8"/>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8"/>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8"/>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8"/>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8"/>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8"/>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8"/>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8"/>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8"/>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8"/>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8"/>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8"/>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8"/>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8"/>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8"/>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8"/>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8"/>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8"/>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8"/>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8"/>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8"/>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8"/>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8"/>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8"/>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8"/>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8"/>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8"/>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8"/>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8"/>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8"/>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8"/>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8"/>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8"/>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8"/>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8"/>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8"/>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8"/>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8"/>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8"/>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8"/>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8"/>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8"/>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8"/>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8"/>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8"/>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8"/>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8"/>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8"/>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8"/>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8"/>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8"/>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8"/>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8"/>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8"/>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8"/>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8"/>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8"/>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8"/>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8"/>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8"/>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8"/>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8"/>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8"/>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8"/>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8"/>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8"/>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8"/>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8"/>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8"/>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8"/>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8"/>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8"/>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8"/>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8"/>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8"/>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8"/>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8"/>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8"/>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8"/>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8"/>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8"/>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8"/>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8"/>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8"/>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8"/>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8"/>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8"/>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8"/>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8"/>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8"/>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8"/>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8"/>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8"/>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8"/>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8"/>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8"/>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8"/>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8"/>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8"/>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8"/>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8"/>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8"/>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8"/>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8"/>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8"/>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8"/>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8"/>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8"/>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8"/>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8"/>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8"/>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8"/>
    </row>
  </sheetData>
  <drawing r:id="rId1"/>
</worksheet>
</file>