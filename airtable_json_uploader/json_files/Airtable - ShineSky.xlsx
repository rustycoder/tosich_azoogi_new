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ineSky" sheetId="1" r:id="rId5"/>
  </sheets>
  <definedNames/>
  <calcPr/>
</workbook>
</file>

<file path=xl/sharedStrings.xml><?xml version="1.0" encoding="utf-8"?>
<sst xmlns="http://schemas.openxmlformats.org/spreadsheetml/2006/main" count="68" uniqueCount="59">
  <si>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</si>
  <si>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</si>
  <si>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</si>
  <si>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</si>
  <si>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</si>
  <si>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</si>
  <si>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</si>
  <si>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</si>
  <si>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</si>
  <si>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</si>
  <si>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</si>
  <si>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</si>
  <si>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</si>
  <si>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</si>
  <si>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</si>
  <si>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</si>
  <si>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</si>
  <si>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</si>
  <si>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</si>
  <si>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</si>
  <si>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</si>
  <si>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</si>
  <si>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</si>
  <si>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</si>
  <si>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</si>
  <si>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</si>
  <si>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</si>
  <si>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</si>
  <si>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</si>
  <si>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</si>
  <si>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TV1010</t>
  </si>
  <si>
    <t>Neon Top View</t>
  </si>
  <si>
    <t>simple</t>
  </si>
  <si>
    <t>Top View</t>
  </si>
  <si>
    <t>draft</t>
  </si>
  <si>
    <t>Elevate your space with a mesmerizing, top-bending linear radiance designed to transform ordinary architectural lines into extraordinary visual statements. Crafted to curve effortlessly around contours, this flexible neon lighting solution casts a seamless, elegant glow that enhances high-end commercial environments and sophisticated outdoor landscapes alike. Perfect for visionary designers looking to infuse warmth and modern artistry into their surroundings, it delivers breathtaking atmosphere and timeless brilliance wherever it shines.</t>
  </si>
  <si>
    <t>Transform your space with a seamless, flexible glow designed to effortlessly accentuate contours and bring timeless, vibrant elegance to any environment.</t>
  </si>
  <si>
    <t>TV1010-10W-2.7K-IP65-Black</t>
  </si>
  <si>
    <t>10W/m | 2700K | 24V | IP65 | 10mm (W) x 10mm (H) | 5,000mm (L) | Black</t>
  </si>
  <si>
    <t>Power Consumption Rate | CCT | Voltage | IP Rating | Dimension | Length | Finish</t>
  </si>
  <si>
    <t>{ "SKU": "TV1010-10W-2.7K-IP65-Black", "Power Consumption Rate": "10W/m", "CCT": "2700K", "Voltage": "24V", "IP Rating": "IP65", "Dimension": "10mm (W) x 10mm (H)", "Length": "5,000mm (L)", "Finish": "Black" }</t>
  </si>
  <si>
    <t>{ "Power Consumption Rate": "10W/m", "CCT": [ "2700K", "3000K", "4000K", "6000K" ], "Voltage": "24V", "IP Rating": "IP65", "Dimension": "10mm (W) x 10mm (H)", "Length": "5,000mm (L)", "Finish": "Black" }</t>
  </si>
  <si>
    <t>{
"Options": {
"Power Consumption Rate": [
{"name": "10W/m", "id": "101"}
],
"CCT": [
{"name": "2700K", "id": "102"},
{"name": "3000K", "id": "103"},
{"name": "4000K", "id": "104"},
{"name": "6000K", "id": "105"}
],
"Voltage": [
{"name": "24V", "id": "106"}
],
"IP Rating": [
{"name": "IP65", "id": "107"}
],
"Dimension": [
{"name": "10mm (W) x 10mm (H)", "id": "108"}
],
"Length": [
{"name": "5,000mm (L)", "id": "109"}
],
"Finish": [
{"name": "Black", "id": "110"}
]
},
"Constraints": {},
"sku_mappings": [
{ "sku": "TV1010-10W-2.7K-IP65-Black", "combination": ["101", "102", "106", "107", "108", "109", "110"] },
{ "sku": "TV1010-10W-3K-IP65-Black", "combination": ["101", "103", "106", "107", "108", "109", "110"] },
{ "sku": "TV1010-10W-4K-IP65-Black", "combination": ["101", "104", "106", "107", "108", "109", "110"] },
{ "sku": "TV1010-10W-6K-IP65-Black", "combination": ["101", "105", "106", "107", "108", "109", "110"] }
]
}</t>
  </si>
  <si>
    <t>CHINA - Shine Sky</t>
  </si>
  <si>
    <t>SK-NTB1010V24-C27</t>
  </si>
  <si>
    <t>No</t>
  </si>
  <si>
    <t>Top bend LED neon, IP65 linear light, 2700K warm white neon, Flexible architectural lighting, Black silicone LED strip, 24V linear flex</t>
  </si>
  <si>
    <t>TV1010-10W-3K-IP65-Black</t>
  </si>
  <si>
    <t>10W/m | 3000K | 24V | IP65 | 10mm (W) x 10mm (H) | 5,000mm (L) | Black</t>
  </si>
  <si>
    <t>{ "SKU": "TV1010-10W-3K-IP65-Black", "Power Consumption Rate": "10W/m", "CCT": "3000K", "Voltage": "24V", "IP Rating": "IP65", "Dimension": "10mm (W) x 10mm (H)", "Length": "5,000mm (L)", "Finish": "Black" }</t>
  </si>
  <si>
    <t>SK-NTB1010V24-C30</t>
  </si>
  <si>
    <t>TV1010-10W-4K-IP65-Black</t>
  </si>
  <si>
    <t>10W/m | 4000K | 24V | IP65 | 10mm (W) x 10mm (H) | 5,000mm (L) | Black</t>
  </si>
  <si>
    <t>{ "SKU": "TV1010-10W-4K-IP65-Black", "Power Consumption Rate": "10W/m", "CCT": "4000K", "Voltage": "24V", "IP Rating": "IP65", "Dimension": "10mm (W) x 10mm (H)", "Length": "5,000mm (L)", "Finish": "Black" }</t>
  </si>
  <si>
    <t>SK-NTB1010V24-C40</t>
  </si>
  <si>
    <t>TV1010-10W-6K-IP65-Black</t>
  </si>
  <si>
    <t>10W/m | 6000K | 24V | IP65 | 10mm (W) x 10mm (H) | 5,000mm (L) | Black</t>
  </si>
  <si>
    <t>{ "SKU": "TV1010-10W-6K-IP65-Black", "Power Consumption Rate": "10W/m", "CCT": "6000K", "Voltage": "24V", "IP Rating": "IP65", "Dimension": "10mm (W) x 10mm (H)", "Length": "5,000mm (L)", "Finish": "Black" }</t>
  </si>
  <si>
    <t>SK-NTB1010V24-C65</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</si>
</sst>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DM Sans"/>
    </font>
    <font>
      <b/>
      <sz val="10.0"/>
      <color rgb="FFFFFFFF"/>
      <name val="DM Sans"/>
    </font>
    <font>
      <b/>
      <sz val="10.0"/>
      <color rgb="FF434343"/>
      <name val="DM Sans"/>
    </font>
    <font>
      <sz val="10.0"/>
      <color theme="1"/>
      <name val="DM Sans"/>
    </font>
    <font>
      <sz val="10.0"/>
      <color rgb="FF434343"/>
      <name val="DM Sans"/>
    </font>
    <font>
      <color rgb="FF434343"/>
      <name val="DM Sans"/>
    </font>
    <font>
      <color theme="1"/>
      <name val="Arial"/>
      <scheme val="minor"/>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0" fontId="4"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0" fontId="4" numFmtId="0" xfId="0" applyAlignment="1" applyBorder="1" applyFont="1">
      <alignment readingOrder="0" shrinkToFit="0" vertical="center" wrapText="1"/>
    </xf>
    <xf borderId="1" fillId="7" fontId="4" numFmtId="0" xfId="0" applyAlignment="1" applyBorder="1" applyFill="1" applyFont="1">
      <alignment readingOrder="0" shrinkToFit="0" vertical="center" wrapText="1"/>
    </xf>
    <xf borderId="1" fillId="6" fontId="5" numFmtId="0" xfId="0" applyAlignment="1" applyBorder="1" applyFill="1" applyFont="1">
      <alignment shrinkToFit="0" vertical="center" wrapText="1"/>
    </xf>
    <xf borderId="1" fillId="8" fontId="5" numFmtId="0" xfId="0" applyAlignment="1" applyBorder="1" applyFill="1" applyFont="1">
      <alignment shrinkToFit="0" vertical="center" wrapText="1"/>
    </xf>
    <xf borderId="1" fillId="6" fontId="5" numFmtId="0" xfId="0" applyAlignment="1" applyBorder="1" applyFill="1" applyFont="1">
      <alignment readingOrder="0" shrinkToFit="0" vertical="center" wrapText="1"/>
    </xf>
    <xf borderId="1" fillId="8" fontId="5" numFmtId="0" xfId="0" applyAlignment="1" applyBorder="1" applyFill="1" applyFont="1">
      <alignment readingOrder="0" shrinkToFit="0" vertical="center" wrapText="1"/>
    </xf>
    <xf borderId="1" fillId="9" fontId="6" numFmtId="0" xfId="0" applyAlignment="1" applyBorder="1" applyFill="1" applyFont="1">
      <alignment shrinkToFit="0" vertical="bottom" wrapText="1"/>
    </xf>
    <xf borderId="1" fillId="0" fontId="7" numFmtId="0" xfId="0" applyAlignment="1" applyBorder="1" applyFont="1">
      <alignment readingOrder="0"/>
    </xf>
    <xf borderId="1" fillId="0" fontId="5" numFmtId="0" xfId="0" applyAlignment="1" applyBorder="1" applyFont="1">
      <alignment readingOrder="0" shrinkToFit="0" vertical="center" wrapText="1"/>
    </xf>
    <xf borderId="1" fillId="0" fontId="4" numFmtId="0" xfId="0" applyAlignment="1" applyBorder="1" applyFont="1">
      <alignment shrinkToFit="0" vertical="center" wrapText="1"/>
    </xf>
    <xf borderId="0" fillId="0" fontId="4" numFmtId="0" xfId="0" applyAlignment="1" applyFont="1">
      <alignment shrinkToFit="0" vertical="center" wrapText="1"/>
    </xf>
    <xf borderId="1" fillId="8" fontId="4" numFmtId="0" xfId="0" applyAlignment="1" applyBorder="1" applyFill="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hineSk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V2:X2" displayName="Table_1" name="Table_1" id="1">
  <tableColumns count="3">
    <tableColumn name="Column1" id="1"/>
    <tableColumn name="Column2" id="2"/>
    <tableColumn name="Column3" id="3"/>
  </tableColumns>
  <tableStyleInfo name="ShineSky-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38"/>
    <col customWidth="1" min="2" max="2" width="28.25"/>
    <col customWidth="1" min="3" max="3" width="11.75"/>
    <col customWidth="1" min="4" max="4" width="9.88"/>
    <col customWidth="1" min="5" max="5" width="6.38"/>
    <col customWidth="1" min="6" max="6" width="50.5"/>
    <col customWidth="1" min="7" max="7" width="33.0"/>
    <col customWidth="1" min="8" max="9" width="31.38"/>
    <col customWidth="1" min="10" max="11" width="28.75"/>
    <col customWidth="1" min="12" max="12" width="23.63"/>
    <col customWidth="1" min="13" max="13" width="57.25"/>
    <col customWidth="1" min="14" max="14" width="54.25"/>
    <col customWidth="1" min="15" max="15" width="34.75"/>
    <col customWidth="1" min="16" max="24" width="50.13"/>
    <col customWidth="1" min="25" max="25" width="29.38"/>
    <col customWidth="1" min="26" max="26" width="37.63"/>
    <col customWidth="1" min="27" max="27" width="12.63"/>
    <col customWidth="1" min="29" max="30" width="34.0"/>
  </cols>
  <sheetData>
    <row r="1">
      <c r="A1" s="1" t="s">
        <v>0</v>
      </c>
      <c r="B1" s="1" t="s">
        <v>1</v>
      </c>
      <c r="C1" s="1" t="s">
        <v>2</v>
      </c>
      <c r="D1" s="1" t="s">
        <v>3</v>
      </c>
      <c r="E1" s="1" t="s">
        <v>4</v>
      </c>
      <c r="F1" s="2" t="s">
        <v>5</v>
      </c>
      <c r="G1" s="1" t="s">
        <v>6</v>
      </c>
      <c r="H1" s="2" t="s">
        <v>7</v>
      </c>
      <c r="I1" s="1" t="s">
        <v>8</v>
      </c>
      <c r="J1" s="1" t="s">
        <v>9</v>
      </c>
      <c r="K1" s="1" t="s">
        <v>10</v>
      </c>
      <c r="L1" s="3" t="s">
        <v>11</v>
      </c>
      <c r="M1" s="3" t="s">
        <v>12</v>
      </c>
      <c r="N1" s="2" t="s">
        <v>13</v>
      </c>
      <c r="O1" s="4" t="s">
        <v>14</v>
      </c>
      <c r="P1" s="2" t="s">
        <v>15</v>
      </c>
      <c r="Q1" s="5" t="s">
        <v>16</v>
      </c>
      <c r="R1" s="2" t="s">
        <v>17</v>
      </c>
      <c r="S1" s="1" t="s">
        <v>18</v>
      </c>
      <c r="T1" s="2" t="s">
        <v>19</v>
      </c>
      <c r="U1" s="5" t="s">
        <v>20</v>
      </c>
      <c r="V1" s="1" t="s">
        <v>21</v>
      </c>
      <c r="W1" s="1" t="s">
        <v>22</v>
      </c>
      <c r="X1" s="6" t="s">
        <v>23</v>
      </c>
      <c r="Y1" s="1" t="s">
        <v>24</v>
      </c>
      <c r="Z1" s="1" t="s">
        <v>25</v>
      </c>
      <c r="AA1" s="1" t="s">
        <v>26</v>
      </c>
      <c r="AB1" s="1" t="s">
        <v>27</v>
      </c>
      <c r="AC1" s="2" t="s">
        <v>28</v>
      </c>
      <c r="AD1" s="1" t="s">
        <v>29</v>
      </c>
    </row>
    <row r="2" ht="146.25" customHeight="1">
      <c r="A2" s="7" t="s">
        <v>30</v>
      </c>
      <c r="B2" s="8" t="s">
        <v>31</v>
      </c>
      <c r="C2" s="8" t="s">
        <v>32</v>
      </c>
      <c r="D2" s="8" t="s">
        <v>33</v>
      </c>
      <c r="E2" s="8" t="s">
        <v>34</v>
      </c>
      <c r="F2" s="9" t="str">
        <f>IFERROR(__xludf.DUMMYFUNCTION("AI(""Give me a paragraph marketing spiel for product in this row, no tech specs just marketing fluff "")"),"Elevate your space with a mesmerizing, top-bending linear radiance designed to transform ordinary architectural lines into extraordinary visual statements. Crafted to curve effortlessly around contours, this flexible neon lighting solution casts a seamles"&amp;"s, elegant glow that enhances high-end commercial environments and sophisticated outdoor landscapes alike. Perfect for visionary designers looking to infuse warmth and modern artistry into their surroundings, it delivers breathtaking atmosphere and timele"&amp;"ss brilliance wherever it shines.")</f>
        <v>Elevate your space with a mesmerizing, top-bending linear radiance designed to transform ordinary architectural lines into extraordinary visual statements. Crafted to curve effortlessly around contours, this flexible neon lighting solution casts a seamless, elegant glow that enhances high-end commercial environments and sophisticated outdoor landscapes alike. Perfect for visionary designers looking to infuse warmth and modern artistry into their surroundings, it delivers breathtaking atmosphere and timeless brilliance wherever it shines.</v>
      </c>
      <c r="G2" s="8" t="s">
        <v>35</v>
      </c>
      <c r="H2" s="9" t="str">
        <f>IFERROR(__xludf.DUMMYFUNCTION("AI(""Give me a paragraph marketing spiel for product in this row, no tech specs just marketing fluff under 180 characters "")"),"Transform your space with a seamless, flexible glow designed to effortlessly accentuate contours and bring timeless, vibrant elegance to any environment.")</f>
        <v>Transform your space with a seamless, flexible glow designed to effortlessly accentuate contours and bring timeless, vibrant elegance to any environment.</v>
      </c>
      <c r="I2" s="8" t="s">
        <v>36</v>
      </c>
      <c r="J2" s="10"/>
      <c r="K2" s="10"/>
      <c r="L2" s="11" t="s">
        <v>37</v>
      </c>
      <c r="M2" s="11" t="s">
        <v>38</v>
      </c>
      <c r="N2" s="1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""&amp;M2)"),"Power Consumption Rate | CCT | Voltage | IP Rating | Dimension | Length | Finish")</f>
        <v>Power Consumption Rate | CCT | Voltage | IP Rating | Dimension | Length | Finish</v>
      </c>
      <c r="O2" s="13" t="s">
        <v>39</v>
      </c>
      <c r="P2" s="12" t="str">
        <f>IFERROR(__xludf.DUMMYFUNCTION("AI(""Using the labels""&amp;N2&amp;"" and values ""&amp;M2&amp;"" separated by character '|' and Using ""&amp;L2&amp;"" and key as 'SKU', Create a JSON object"")"),"{ ""SKU"": ""TV1010-10W-2.7K-IP65-Black"", ""Power Consumption Rate"": ""10W/m"", ""CCT"": ""2700K"", ""Voltage"": ""24V"", ""IP Rating"": ""IP65"", ""Dimension"": ""10mm (W) x 10mm (H)"", ""Length"": ""5,000mm (L)"", ""Finish"": ""Black"" }")</f>
        <v>{ "SKU": "TV1010-10W-2.7K-IP65-Black", "Power Consumption Rate": "10W/m", "CCT": "2700K", "Voltage": "24V", "IP Rating": "IP65", "Dimension": "10mm (W) x 10mm (H)", "Length": "5,000mm (L)", "Finish": "Black" }</v>
      </c>
      <c r="Q2" s="13" t="s">
        <v>40</v>
      </c>
      <c r="R2" s="14"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Q2:Q5)"),"{ ""Power Consumption Rate"": ""10W/m"", ""CCT"": [ ""2700K"", ""3000K"", ""4000K"", ""6000K"" ], ""Voltage"": ""24V"", ""IP Rating"": ""IP65"", ""Dimension"": ""10mm (W) x 10mm (H)"", ""Length"": ""5,000mm (L)"", ""Finish"": ""Black"" }")</f>
        <v>{ "Power Consumption Rate": "10W/m", "CCT": [ "2700K", "3000K", "4000K", "6000K" ], "Voltage": "24V", "IP Rating": "IP65", "Dimension": "10mm (W) x 10mm (H)", "Length": "5,000mm (L)", "Finish": "Black" }</v>
      </c>
      <c r="S2" s="14" t="s">
        <v>41</v>
      </c>
      <c r="T2" s="14"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Q2:Q5)"),"{
""Options"": {
""Power Consumption Rate"": [
{""name"": ""10W/m"", ""id"": ""101""}
],
""CCT"": [
{""name"": ""2700K"", ""id"": ""102""},
{""name"": ""3000K"", ""id"": ""103""},
{""name"": ""4000K"", ""id"": ""104""},
{""name"": ""6000K"", ""id"": ""105"&amp;"""}
],
""Voltage"": [
{""name"": ""24V"", ""id"": ""106""}
],
""IP Rating"": [
{""name"": ""IP65"", ""id"": ""107""}
],
""Dimension"": [
{""name"": ""10mm (W) x 10mm (H)"", ""id"": ""108""}
],
""Length"": [
{""name"": ""5,000mm (L)"", ""id"": ""109""}
],
"&amp;"""Finish"": [
{""name"": ""Black"", ""id"": ""110""}
]
},
""Constraints"": {},
""sku_mappings"": [
{ ""sku"": ""TV1010-10W-2.7K-IP65-Black"", ""combination"": [""101"", ""102"", ""106"", ""107"", ""108"", ""109"", ""110""] },
{ ""sku"": ""TV1010-10W-3K-IP"&amp;"65-Black"", ""combination"": [""101"", ""103"", ""106"", ""107"", ""108"", ""109"", ""110""] },
{ ""sku"": ""TV1010-10W-4K-IP65-Black"", ""combination"": [""101"", ""104"", ""106"", ""107"", ""108"", ""109"", ""110""] },
{ ""sku"": ""TV1010-10W-6K-IP65-Bl"&amp;"ack"", ""combination"": [""101"", ""105"", ""106"", ""107"", ""108"", ""109"", ""110""] }
]
}")</f>
        <v>{
"Options": {
"Power Consumption Rate": [
{"name": "10W/m", "id": "101"}
],
"CCT": [
{"name": "2700K", "id": "102"},
{"name": "3000K", "id": "103"},
{"name": "4000K", "id": "104"},
{"name": "6000K", "id": "105"}
],
"Voltage": [
{"name": "24V", "id": "106"}
],
"IP Rating": [
{"name": "IP65", "id": "107"}
],
"Dimension": [
{"name": "10mm (W) x 10mm (H)", "id": "108"}
],
"Length": [
{"name": "5,000mm (L)", "id": "109"}
],
"Finish": [
{"name": "Black", "id": "110"}
]
},
"Constraints": {},
"sku_mappings": [
{ "sku": "TV1010-10W-2.7K-IP65-Black", "combination": ["101", "102", "106", "107", "108", "109", "110"] },
{ "sku": "TV1010-10W-3K-IP65-Black", "combination": ["101", "103", "106", "107", "108", "109", "110"] },
{ "sku": "TV1010-10W-4K-IP65-Black", "combination": ["101", "104", "106", "107", "108", "109", "110"] },
{ "sku": "TV1010-10W-6K-IP65-Black", "combination": ["101", "105", "106", "107", "108", "109", "110"] }
]
}</v>
      </c>
      <c r="U2" s="15" t="s">
        <v>42</v>
      </c>
      <c r="V2" s="16" t="str">
        <f>IFERROR(__xludf.DUMMYFUNCTION("AI(""Extract options object from the json"", U2)"),"{""Power Consumption Rate"": [{""name"": ""10W/m"", ""id"": ""101""}], ""CCT"": [{""name"": ""2700K"", ""id"": ""102""}, {""name"": ""3000K"", ""id"": ""103""}, {""name"": ""4000K"", ""id"": ""104""}, {""name"": ""6000K"", ""id"": ""105""}], ""Voltage"": "&amp;"[{""name"": ""24V"", ""id"": ""106""}], ""IP Rating"": [{""name"": ""IP65"", ""id"": ""107""}], ""Dimension"": [{""name"": ""10mm (W) x 10mm (H)"", ""id"": ""108""}], ""Length"": [{""name"": ""5,000mm (L)"", ""id"": ""109""}], ""Finish"": [{""name"": ""Bl"&amp;"ack"", ""id"": ""110""}]}")</f>
        <v>{"Power Consumption Rate": [{"name": "10W/m", "id": "101"}], "CCT": [{"name": "2700K", "id": "102"}, {"name": "3000K", "id": "103"}, {"name": "4000K", "id": "104"}, {"name": "6000K", "id": "105"}], "Voltage": [{"name": "24V", "id": "106"}], "IP Rating": [{"name": "IP65", "id": "107"}], "Dimension": [{"name": "10mm (W) x 10mm (H)", "id": "108"}], "Length": [{"name": "5,000mm (L)", "id": "109"}], "Finish": [{"name": "Black", "id": "110"}]}</v>
      </c>
      <c r="W2" s="16" t="str">
        <f>IFERROR(__xludf.DUMMYFUNCTION("AI(""Extract constraints object from the json"", U2)"),"{}")</f>
        <v>{}</v>
      </c>
      <c r="X2" s="16" t="str">
        <f>IFERROR(__xludf.DUMMYFUNCTION("AI(""Extract sku_mappings object from the json"", U2)"),"[{""sku"": ""TV1010-10W-2.7K-IP65-Black"", ""combination"": [""101"", ""102"", ""106"", ""107"", ""108"", ""109"", ""110""]}, {""sku"": ""TV1010-10W-3K-IP65-Black"", ""combination"": [""101"", ""103"", ""106"", ""107"", ""108"", ""109"", ""110""]}, {""sku"&amp;""": ""TV1010-10W-4K-IP65-Black"", ""combination"": [""101"", ""104"", ""106"", ""107"", ""108"", ""109"", ""110""]}, {""sku"": ""TV1010-10W-6K-IP65-Black"", ""combination"": [""101"", ""105"", ""106"", ""107"", ""108"", ""109"", ""110""]}]")</f>
        <v>[{"sku": "TV1010-10W-2.7K-IP65-Black", "combination": ["101", "102", "106", "107", "108", "109", "110"]}, {"sku": "TV1010-10W-3K-IP65-Black", "combination": ["101", "103", "106", "107", "108", "109", "110"]}, {"sku": "TV1010-10W-4K-IP65-Black", "combination": ["101", "104", "106", "107", "108", "109", "110"]}, {"sku": "TV1010-10W-6K-IP65-Black", "combination": ["101", "105", "106", "107", "108", "109", "110"]}]</v>
      </c>
      <c r="Y2" s="17" t="s">
        <v>43</v>
      </c>
      <c r="Z2" s="17" t="s">
        <v>44</v>
      </c>
      <c r="AA2" s="18" t="s">
        <v>45</v>
      </c>
      <c r="AB2" s="19"/>
      <c r="AC2" s="19" t="str">
        <f>IFERROR(__xludf.DUMMYFUNCTION("AI(""Generate 6 powerful unique keywords for the product in this row"")"),"Top bend LED neon, IP65 linear light, 2700K warm white neon, Flexible architectural lighting, Black silicone LED strip, 24V linear flex")</f>
        <v>Top bend LED neon, IP65 linear light, 2700K warm white neon, Flexible architectural lighting, Black silicone LED strip, 24V linear flex</v>
      </c>
      <c r="AD2" s="20" t="s">
        <v>46</v>
      </c>
    </row>
    <row r="3">
      <c r="A3" s="7"/>
      <c r="B3" s="19"/>
      <c r="C3" s="19"/>
      <c r="D3" s="19"/>
      <c r="E3" s="19"/>
      <c r="F3" s="19"/>
      <c r="G3" s="19"/>
      <c r="H3" s="19"/>
      <c r="I3" s="19"/>
      <c r="J3" s="19"/>
      <c r="K3" s="19"/>
      <c r="L3" s="11" t="s">
        <v>47</v>
      </c>
      <c r="M3" s="11" t="s">
        <v>48</v>
      </c>
      <c r="N3" s="1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""&amp;M3)"),"Power Consumption Rate | CCT | Voltage | IP Rating | Dimension | Length | Finish")</f>
        <v>Power Consumption Rate | CCT | Voltage | IP Rating | Dimension | Length | Finish</v>
      </c>
      <c r="O3" s="21" t="s">
        <v>39</v>
      </c>
      <c r="P3" s="12" t="str">
        <f>IFERROR(__xludf.DUMMYFUNCTION("AI(""Using the labels""&amp;N3&amp;"" and values ""&amp;M3&amp;"" separated by character '|' and Using ""&amp;L3&amp;"" and key as 'SKU', Create a JSON object"")"),"{ ""SKU"": ""TV1010-10W-3K-IP65-Black"", ""Power Consumption Rate"": ""10W/m"", ""CCT"": ""3000K"", ""Voltage"": ""24V"", ""IP Rating"": ""IP65"", ""Dimension"": ""10mm (W) x 10mm (H)"", ""Length"": ""5,000mm (L)"", ""Finish"": ""Black"" }")</f>
        <v>{ "SKU": "TV1010-10W-3K-IP65-Black", "Power Consumption Rate": "10W/m", "CCT": "3000K", "Voltage": "24V", "IP Rating": "IP65", "Dimension": "10mm (W) x 10mm (H)", "Length": "5,000mm (L)", "Finish": "Black" }</v>
      </c>
      <c r="Q3" s="21" t="s">
        <v>49</v>
      </c>
      <c r="R3" s="19"/>
      <c r="S3" s="19"/>
      <c r="T3" s="19"/>
      <c r="U3" s="19"/>
      <c r="V3" s="19"/>
      <c r="W3" s="19"/>
      <c r="X3" s="19"/>
      <c r="Y3" s="7" t="s">
        <v>43</v>
      </c>
      <c r="Z3" s="17" t="s">
        <v>50</v>
      </c>
      <c r="AA3" s="18" t="s">
        <v>45</v>
      </c>
      <c r="AB3" s="19"/>
      <c r="AC3" s="19"/>
      <c r="AD3" s="20"/>
    </row>
    <row r="4">
      <c r="A4" s="7"/>
      <c r="B4" s="19"/>
      <c r="C4" s="19"/>
      <c r="D4" s="19"/>
      <c r="E4" s="19"/>
      <c r="F4" s="19"/>
      <c r="G4" s="19"/>
      <c r="H4" s="19"/>
      <c r="I4" s="19"/>
      <c r="J4" s="19"/>
      <c r="K4" s="19"/>
      <c r="L4" s="11" t="s">
        <v>51</v>
      </c>
      <c r="M4" s="11" t="s">
        <v>52</v>
      </c>
      <c r="N4" s="1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""&amp;M4)"),"Power Consumption Rate | CCT | Voltage | IP Rating | Dimension | Length | Finish")</f>
        <v>Power Consumption Rate | CCT | Voltage | IP Rating | Dimension | Length | Finish</v>
      </c>
      <c r="O4" s="21" t="s">
        <v>39</v>
      </c>
      <c r="P4" s="12" t="str">
        <f>IFERROR(__xludf.DUMMYFUNCTION("AI(""Using the labels""&amp;N4&amp;"" and values ""&amp;M4&amp;"" separated by character '|' and Using ""&amp;L4&amp;"" and key as 'SKU', Create a JSON object"")"),"{ ""SKU"": ""TV1010-10W-4K-IP65-Black"", ""Power Consumption Rate"": ""10W/m"", ""CCT"": ""4000K"", ""Voltage"": ""24V"", ""IP Rating"": ""IP65"", ""Dimension"": ""10mm (W) x 10mm (H)"", ""Length"": ""5,000mm (L)"", ""Finish"": ""Black"" }")</f>
        <v>{ "SKU": "TV1010-10W-4K-IP65-Black", "Power Consumption Rate": "10W/m", "CCT": "4000K", "Voltage": "24V", "IP Rating": "IP65", "Dimension": "10mm (W) x 10mm (H)", "Length": "5,000mm (L)", "Finish": "Black" }</v>
      </c>
      <c r="Q4" s="21" t="s">
        <v>53</v>
      </c>
      <c r="R4" s="19"/>
      <c r="S4" s="19"/>
      <c r="T4" s="19"/>
      <c r="U4" s="19"/>
      <c r="V4" s="19"/>
      <c r="W4" s="19"/>
      <c r="X4" s="19"/>
      <c r="Y4" s="7" t="s">
        <v>43</v>
      </c>
      <c r="Z4" s="17" t="s">
        <v>54</v>
      </c>
      <c r="AA4" s="18" t="s">
        <v>45</v>
      </c>
      <c r="AB4" s="19"/>
      <c r="AC4" s="19"/>
      <c r="AD4" s="20"/>
    </row>
    <row r="5">
      <c r="A5" s="7"/>
      <c r="B5" s="19"/>
      <c r="C5" s="19"/>
      <c r="D5" s="19"/>
      <c r="E5" s="19"/>
      <c r="F5" s="19"/>
      <c r="G5" s="19"/>
      <c r="H5" s="19"/>
      <c r="I5" s="19"/>
      <c r="J5" s="19"/>
      <c r="K5" s="19"/>
      <c r="L5" s="11" t="s">
        <v>55</v>
      </c>
      <c r="M5" s="11" t="s">
        <v>56</v>
      </c>
      <c r="N5" s="12"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RGBW, TW, RGB, RED)
- CCT (Example 3000K, 4000K)
- Voltage (Example 20V, 12V/24V)
- Current Type (Example AC/DC)
- IP Rating (Example IP67, IP68, IP20)
- Impact Strength ("&amp;"Example IK10, IK10 with Neon-AluProfile-1617)
- Optics (Example SYS30°)
- Finish (Example Black finish, Silver)
- Channel Configuration (Example Singel-Sided, Double-Sided, Bendable Single-Sided, Bendable Double-Sided)
- Dimension (Example 53mm (W) x 14mm"&amp;" (H), 480mm (L) x 240mm (W))
- Length (Example Max 11,000mm (L), 5,000mm (L))
- Strip Width (Example 8mm, 12mm, 8mm (W))
- Depth (Example 13mm (D))
- Power Consumption Rate (Example 8W/m, 5W/m)
- Profile Length (Example 1,000mm)
- AC Phase-Cut (Example Tr"&amp;"iac)
- Current Sinking (Example 0-10V)
- Current Sourcing (Example 1-10V)
- Duty Cycle (Example PWM)
- Variable Resistance (Example Potentiometer)
- Resolution (Example 12 Pixels/m)
- Control Protocol (Example DMX, SPI)
- Cut Interval (Example Free Cut)
-"&amp;" Glare Control (Example Honeycomb Anti Glare Louvre)
- Beam Angle (Example 30°, 36°, 360°)
### STRICT OUTPUT RULES
1. Output ONLY the corresponding labels mentioned above separated by pipes ('|'). 
2. Do not include the values in your output.
3. Do not i"&amp;"nclude any conversational text, introductory remarks, or markdown formatting blocks.
4. The number of labels in your output must exactly match the number of values provided in the input.
---
### FEW-SHOT EXAMPLES
#### Example 1 (Standard Neon Strip)
In"&amp;"put: 1.2W | SYM30° | 3000K | IP67 | IK10
Output: Power|Optics|CCT|IP Rating|Impact Strength
Input: 7W | Warm White | 12V/24V | AC/DC | IP67 | Black finish
Output: Power | Light Color | Current Type | IP Rating | Finish
---
### YOUR TASK
Generate outpu"&amp;"t for the values text ""&amp;M5)"),"Power Consumption Rate | CCT | Voltage | IP Rating | Dimension | Length | Finish")</f>
        <v>Power Consumption Rate | CCT | Voltage | IP Rating | Dimension | Length | Finish</v>
      </c>
      <c r="O5" s="21" t="s">
        <v>39</v>
      </c>
      <c r="P5" s="12" t="str">
        <f>IFERROR(__xludf.DUMMYFUNCTION("AI(""Using the labels""&amp;N5&amp;"" and values ""&amp;M5&amp;"" separated by character '|' and Using ""&amp;L5&amp;"" and key as 'SKU', Create a JSON object"")"),"{ ""SKU"": ""TV1010-10W-6K-IP65-Black"", ""Power Consumption Rate"": ""10W/m"", ""CCT"": ""6000K"", ""Voltage"": ""24V"", ""IP Rating"": ""IP65"", ""Dimension"": ""10mm (W) x 10mm (H)"", ""Length"": ""5,000mm (L)"", ""Finish"": ""Black"" }")</f>
        <v>{ "SKU": "TV1010-10W-6K-IP65-Black", "Power Consumption Rate": "10W/m", "CCT": "6000K", "Voltage": "24V", "IP Rating": "IP65", "Dimension": "10mm (W) x 10mm (H)", "Length": "5,000mm (L)", "Finish": "Black" }</v>
      </c>
      <c r="Q5" s="21" t="s">
        <v>57</v>
      </c>
      <c r="R5" s="19"/>
      <c r="S5" s="19"/>
      <c r="T5" s="19"/>
      <c r="U5" s="19"/>
      <c r="V5" s="19"/>
      <c r="W5" s="19"/>
      <c r="X5" s="19"/>
      <c r="Y5" s="7" t="s">
        <v>43</v>
      </c>
      <c r="Z5" s="17" t="s">
        <v>58</v>
      </c>
      <c r="AA5" s="18" t="s">
        <v>45</v>
      </c>
      <c r="AB5" s="19"/>
      <c r="AC5" s="19"/>
      <c r="AD5" s="20"/>
    </row>
    <row r="6">
      <c r="A6" s="19"/>
      <c r="B6" s="19"/>
      <c r="C6" s="19"/>
      <c r="D6" s="19"/>
      <c r="E6" s="19"/>
      <c r="F6" s="19"/>
      <c r="G6" s="19"/>
      <c r="H6" s="19"/>
      <c r="I6" s="19"/>
      <c r="J6" s="19"/>
      <c r="K6" s="19"/>
      <c r="L6" s="19"/>
      <c r="M6" s="19"/>
      <c r="N6" s="19"/>
      <c r="O6" s="19"/>
      <c r="P6" s="19"/>
      <c r="Q6" s="19"/>
      <c r="R6" s="19"/>
      <c r="S6" s="19"/>
      <c r="T6" s="19"/>
      <c r="U6" s="19"/>
      <c r="V6" s="19"/>
      <c r="W6" s="19"/>
      <c r="X6" s="19"/>
      <c r="Y6" s="19"/>
      <c r="Z6" s="17"/>
      <c r="AA6" s="19"/>
      <c r="AB6" s="19"/>
      <c r="AC6" s="19"/>
      <c r="AD6" s="20"/>
    </row>
    <row r="7">
      <c r="A7" s="19"/>
      <c r="B7" s="19"/>
      <c r="C7" s="19"/>
      <c r="D7" s="19"/>
      <c r="E7" s="19"/>
      <c r="F7" s="19"/>
      <c r="G7" s="19"/>
      <c r="H7" s="19"/>
      <c r="I7" s="19"/>
      <c r="J7" s="19"/>
      <c r="K7" s="19"/>
      <c r="L7" s="19"/>
      <c r="M7" s="19"/>
      <c r="N7" s="19"/>
      <c r="O7" s="19"/>
      <c r="P7" s="19"/>
      <c r="Q7" s="19"/>
      <c r="R7" s="19"/>
      <c r="S7" s="19"/>
      <c r="T7" s="19"/>
      <c r="U7" s="19"/>
      <c r="V7" s="19"/>
      <c r="W7" s="19"/>
      <c r="X7" s="19"/>
      <c r="Y7" s="19"/>
      <c r="Z7" s="7"/>
      <c r="AA7" s="19"/>
      <c r="AB7" s="19"/>
      <c r="AC7" s="19"/>
      <c r="AD7" s="20"/>
    </row>
    <row r="8">
      <c r="A8" s="19"/>
      <c r="B8" s="19"/>
      <c r="C8" s="19"/>
      <c r="D8" s="19"/>
      <c r="E8" s="19"/>
      <c r="F8" s="19"/>
      <c r="G8" s="19"/>
      <c r="H8" s="19"/>
      <c r="I8" s="19"/>
      <c r="J8" s="19"/>
      <c r="K8" s="19"/>
      <c r="L8" s="19"/>
      <c r="M8" s="19"/>
      <c r="N8" s="19"/>
      <c r="O8" s="19"/>
      <c r="P8" s="19"/>
      <c r="Q8" s="19"/>
      <c r="R8" s="19"/>
      <c r="S8" s="19"/>
      <c r="T8" s="19"/>
      <c r="U8" s="19"/>
      <c r="V8" s="19"/>
      <c r="W8" s="19"/>
      <c r="X8" s="19"/>
      <c r="Y8" s="19"/>
      <c r="Z8" s="7"/>
      <c r="AA8" s="19"/>
      <c r="AB8" s="19"/>
      <c r="AC8" s="19"/>
      <c r="AD8" s="20"/>
    </row>
    <row r="9">
      <c r="A9" s="19"/>
      <c r="B9" s="19"/>
      <c r="C9" s="19"/>
      <c r="D9" s="19"/>
      <c r="E9" s="19"/>
      <c r="F9" s="19"/>
      <c r="G9" s="19"/>
      <c r="H9" s="19"/>
      <c r="I9" s="19"/>
      <c r="J9" s="19"/>
      <c r="K9" s="19"/>
      <c r="L9" s="19"/>
      <c r="M9" s="19"/>
      <c r="N9" s="19"/>
      <c r="O9" s="19"/>
      <c r="P9" s="19"/>
      <c r="Q9" s="19"/>
      <c r="R9" s="19"/>
      <c r="S9" s="19"/>
      <c r="T9" s="19"/>
      <c r="U9" s="19"/>
      <c r="V9" s="19"/>
      <c r="W9" s="19"/>
      <c r="X9" s="19"/>
      <c r="Y9" s="19"/>
      <c r="Z9" s="7"/>
      <c r="AA9" s="19"/>
      <c r="AB9" s="19"/>
      <c r="AC9" s="19"/>
      <c r="AD9" s="20"/>
    </row>
    <row r="10">
      <c r="A10" s="19"/>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20"/>
    </row>
    <row r="11">
      <c r="A11" s="19"/>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20"/>
    </row>
    <row r="12">
      <c r="A12" s="19"/>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20"/>
    </row>
    <row r="13">
      <c r="A13" s="19"/>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20"/>
    </row>
    <row r="14">
      <c r="A14" s="19"/>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20"/>
    </row>
    <row r="15">
      <c r="A15" s="19"/>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20"/>
    </row>
    <row r="16">
      <c r="A16" s="19"/>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20"/>
    </row>
    <row r="17">
      <c r="A17" s="19"/>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20"/>
    </row>
    <row r="18">
      <c r="A18" s="19"/>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20"/>
    </row>
    <row r="19">
      <c r="A19" s="19"/>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20"/>
    </row>
    <row r="20">
      <c r="A20" s="19"/>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20"/>
    </row>
    <row r="21">
      <c r="A21" s="19"/>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20"/>
    </row>
    <row r="22">
      <c r="A22" s="19"/>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20"/>
    </row>
    <row r="23">
      <c r="A23" s="19"/>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20"/>
    </row>
    <row r="24">
      <c r="A24" s="19"/>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20"/>
    </row>
    <row r="25">
      <c r="A25" s="19"/>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20"/>
    </row>
    <row r="26">
      <c r="A26" s="19"/>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20"/>
    </row>
    <row r="27">
      <c r="A27" s="19"/>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20"/>
    </row>
    <row r="28">
      <c r="A28" s="19"/>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20"/>
    </row>
    <row r="29">
      <c r="A29" s="19"/>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20"/>
    </row>
    <row r="30">
      <c r="A30" s="19"/>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20"/>
    </row>
    <row r="31">
      <c r="A31" s="19"/>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20"/>
    </row>
    <row r="32">
      <c r="A32" s="19"/>
      <c r="B32" s="19"/>
      <c r="C32" s="19"/>
      <c r="D32" s="19"/>
      <c r="E32" s="19"/>
      <c r="F32" s="19"/>
      <c r="G32" s="19"/>
      <c r="H32" s="19"/>
      <c r="I32" s="19"/>
      <c r="J32" s="19"/>
      <c r="K32" s="19"/>
      <c r="L32" s="19"/>
      <c r="M32" s="19"/>
      <c r="N32" s="19"/>
      <c r="O32" s="19"/>
      <c r="P32" s="19"/>
      <c r="Q32" s="19"/>
      <c r="R32" s="19"/>
      <c r="S32" s="19"/>
      <c r="T32" s="19"/>
      <c r="U32" s="19"/>
      <c r="V32" s="19"/>
      <c r="W32" s="19"/>
      <c r="X32" s="19"/>
      <c r="Y32" s="19"/>
      <c r="Z32" s="19"/>
      <c r="AA32" s="19"/>
      <c r="AB32" s="19"/>
      <c r="AC32" s="19"/>
      <c r="AD32" s="20"/>
    </row>
    <row r="33">
      <c r="A33" s="19"/>
      <c r="B33" s="19"/>
      <c r="C33" s="19"/>
      <c r="D33" s="19"/>
      <c r="E33" s="19"/>
      <c r="F33" s="19"/>
      <c r="G33" s="19"/>
      <c r="H33" s="19"/>
      <c r="I33" s="19"/>
      <c r="J33" s="19"/>
      <c r="K33" s="19"/>
      <c r="L33" s="19"/>
      <c r="M33" s="19"/>
      <c r="N33" s="19"/>
      <c r="O33" s="19"/>
      <c r="P33" s="19"/>
      <c r="Q33" s="19"/>
      <c r="R33" s="19"/>
      <c r="S33" s="19"/>
      <c r="T33" s="19"/>
      <c r="U33" s="19"/>
      <c r="V33" s="19"/>
      <c r="W33" s="19"/>
      <c r="X33" s="19"/>
      <c r="Y33" s="19"/>
      <c r="Z33" s="19"/>
      <c r="AA33" s="19"/>
      <c r="AB33" s="19"/>
      <c r="AC33" s="19"/>
      <c r="AD33" s="20"/>
    </row>
    <row r="34">
      <c r="A34" s="19"/>
      <c r="B34" s="19"/>
      <c r="C34" s="19"/>
      <c r="D34" s="19"/>
      <c r="E34" s="19"/>
      <c r="F34" s="19"/>
      <c r="G34" s="19"/>
      <c r="H34" s="19"/>
      <c r="I34" s="19"/>
      <c r="J34" s="19"/>
      <c r="K34" s="19"/>
      <c r="L34" s="19"/>
      <c r="M34" s="19"/>
      <c r="N34" s="19"/>
      <c r="O34" s="19"/>
      <c r="P34" s="19"/>
      <c r="Q34" s="19"/>
      <c r="R34" s="19"/>
      <c r="S34" s="19"/>
      <c r="T34" s="19"/>
      <c r="U34" s="19"/>
      <c r="V34" s="19"/>
      <c r="W34" s="19"/>
      <c r="X34" s="19"/>
      <c r="Y34" s="19"/>
      <c r="Z34" s="19"/>
      <c r="AA34" s="19"/>
      <c r="AB34" s="19"/>
      <c r="AC34" s="19"/>
      <c r="AD34" s="20"/>
    </row>
    <row r="35">
      <c r="A35" s="19"/>
      <c r="B35" s="19"/>
      <c r="C35" s="19"/>
      <c r="D35" s="19"/>
      <c r="E35" s="19"/>
      <c r="F35" s="19"/>
      <c r="G35" s="19"/>
      <c r="H35" s="19"/>
      <c r="I35" s="19"/>
      <c r="J35" s="19"/>
      <c r="K35" s="19"/>
      <c r="L35" s="19"/>
      <c r="M35" s="19"/>
      <c r="N35" s="19"/>
      <c r="O35" s="19"/>
      <c r="P35" s="19"/>
      <c r="Q35" s="19"/>
      <c r="R35" s="19"/>
      <c r="S35" s="19"/>
      <c r="T35" s="19"/>
      <c r="U35" s="19"/>
      <c r="V35" s="19"/>
      <c r="W35" s="19"/>
      <c r="X35" s="19"/>
      <c r="Y35" s="19"/>
      <c r="Z35" s="19"/>
      <c r="AA35" s="19"/>
      <c r="AB35" s="19"/>
      <c r="AC35" s="19"/>
      <c r="AD35" s="20"/>
    </row>
    <row r="36">
      <c r="A36" s="19"/>
      <c r="B36" s="19"/>
      <c r="C36" s="19"/>
      <c r="D36" s="19"/>
      <c r="E36" s="19"/>
      <c r="F36" s="19"/>
      <c r="G36" s="19"/>
      <c r="H36" s="19"/>
      <c r="I36" s="19"/>
      <c r="J36" s="19"/>
      <c r="K36" s="19"/>
      <c r="L36" s="19"/>
      <c r="M36" s="19"/>
      <c r="N36" s="19"/>
      <c r="O36" s="19"/>
      <c r="P36" s="19"/>
      <c r="Q36" s="19"/>
      <c r="R36" s="19"/>
      <c r="S36" s="19"/>
      <c r="T36" s="19"/>
      <c r="U36" s="19"/>
      <c r="V36" s="19"/>
      <c r="W36" s="19"/>
      <c r="X36" s="19"/>
      <c r="Y36" s="19"/>
      <c r="Z36" s="19"/>
      <c r="AA36" s="19"/>
      <c r="AB36" s="19"/>
      <c r="AC36" s="19"/>
      <c r="AD36" s="20"/>
    </row>
    <row r="37">
      <c r="A37" s="19"/>
      <c r="B37" s="19"/>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20"/>
    </row>
    <row r="38">
      <c r="A38" s="19"/>
      <c r="B38" s="19"/>
      <c r="C38" s="19"/>
      <c r="D38" s="19"/>
      <c r="E38" s="19"/>
      <c r="F38" s="19"/>
      <c r="G38" s="19"/>
      <c r="H38" s="19"/>
      <c r="I38" s="19"/>
      <c r="J38" s="19"/>
      <c r="K38" s="19"/>
      <c r="L38" s="19"/>
      <c r="M38" s="19"/>
      <c r="N38" s="19"/>
      <c r="O38" s="19"/>
      <c r="P38" s="19"/>
      <c r="Q38" s="19"/>
      <c r="R38" s="19"/>
      <c r="S38" s="19"/>
      <c r="T38" s="19"/>
      <c r="U38" s="19"/>
      <c r="V38" s="19"/>
      <c r="W38" s="19"/>
      <c r="X38" s="19"/>
      <c r="Y38" s="19"/>
      <c r="Z38" s="19"/>
      <c r="AA38" s="19"/>
      <c r="AB38" s="19"/>
      <c r="AC38" s="19"/>
      <c r="AD38" s="20"/>
    </row>
    <row r="39">
      <c r="A39" s="19"/>
      <c r="B39" s="19"/>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20"/>
    </row>
    <row r="40">
      <c r="A40" s="19"/>
      <c r="B40" s="19"/>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20"/>
    </row>
    <row r="41">
      <c r="A41" s="19"/>
      <c r="B41" s="19"/>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20"/>
    </row>
    <row r="42">
      <c r="A42" s="19"/>
      <c r="B42" s="19"/>
      <c r="C42" s="19"/>
      <c r="D42" s="19"/>
      <c r="E42" s="19"/>
      <c r="F42" s="19"/>
      <c r="G42" s="19"/>
      <c r="H42" s="19"/>
      <c r="I42" s="19"/>
      <c r="J42" s="19"/>
      <c r="K42" s="19"/>
      <c r="L42" s="19"/>
      <c r="M42" s="19"/>
      <c r="N42" s="19"/>
      <c r="O42" s="19"/>
      <c r="P42" s="19"/>
      <c r="Q42" s="19"/>
      <c r="R42" s="19"/>
      <c r="S42" s="19"/>
      <c r="T42" s="19"/>
      <c r="U42" s="19"/>
      <c r="V42" s="19"/>
      <c r="W42" s="19"/>
      <c r="X42" s="19"/>
      <c r="Y42" s="19"/>
      <c r="Z42" s="19"/>
      <c r="AA42" s="19"/>
      <c r="AB42" s="19"/>
      <c r="AC42" s="19"/>
      <c r="AD42" s="20"/>
    </row>
    <row r="43">
      <c r="A43" s="19"/>
      <c r="B43" s="19"/>
      <c r="C43" s="19"/>
      <c r="D43" s="19"/>
      <c r="E43" s="19"/>
      <c r="F43" s="19"/>
      <c r="G43" s="19"/>
      <c r="H43" s="19"/>
      <c r="I43" s="19"/>
      <c r="J43" s="19"/>
      <c r="K43" s="19"/>
      <c r="L43" s="19"/>
      <c r="M43" s="19"/>
      <c r="N43" s="19"/>
      <c r="O43" s="19"/>
      <c r="P43" s="19"/>
      <c r="Q43" s="19"/>
      <c r="R43" s="19"/>
      <c r="S43" s="19"/>
      <c r="T43" s="19"/>
      <c r="U43" s="19"/>
      <c r="V43" s="19"/>
      <c r="W43" s="19"/>
      <c r="X43" s="19"/>
      <c r="Y43" s="19"/>
      <c r="Z43" s="19"/>
      <c r="AA43" s="19"/>
      <c r="AB43" s="19"/>
      <c r="AC43" s="19"/>
      <c r="AD43" s="20"/>
    </row>
    <row r="44">
      <c r="A44" s="19"/>
      <c r="B44" s="19"/>
      <c r="C44" s="19"/>
      <c r="D44" s="19"/>
      <c r="E44" s="19"/>
      <c r="F44" s="19"/>
      <c r="G44" s="19"/>
      <c r="H44" s="19"/>
      <c r="I44" s="19"/>
      <c r="J44" s="19"/>
      <c r="K44" s="19"/>
      <c r="L44" s="19"/>
      <c r="M44" s="19"/>
      <c r="N44" s="19"/>
      <c r="O44" s="19"/>
      <c r="P44" s="19"/>
      <c r="Q44" s="19"/>
      <c r="R44" s="19"/>
      <c r="S44" s="19"/>
      <c r="T44" s="19"/>
      <c r="U44" s="19"/>
      <c r="V44" s="19"/>
      <c r="W44" s="19"/>
      <c r="X44" s="19"/>
      <c r="Y44" s="19"/>
      <c r="Z44" s="19"/>
      <c r="AA44" s="19"/>
      <c r="AB44" s="19"/>
      <c r="AC44" s="19"/>
      <c r="AD44" s="20"/>
    </row>
    <row r="45">
      <c r="A45" s="19"/>
      <c r="B45" s="19"/>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20"/>
    </row>
    <row r="46">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20"/>
    </row>
    <row r="47">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19"/>
      <c r="AA47" s="19"/>
      <c r="AB47" s="19"/>
      <c r="AC47" s="19"/>
      <c r="AD47" s="20"/>
    </row>
    <row r="48">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19"/>
      <c r="AA48" s="19"/>
      <c r="AB48" s="19"/>
      <c r="AC48" s="19"/>
      <c r="AD48" s="20"/>
    </row>
    <row r="49">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19"/>
      <c r="AA49" s="19"/>
      <c r="AB49" s="19"/>
      <c r="AC49" s="19"/>
      <c r="AD49" s="20"/>
    </row>
    <row r="50">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19"/>
      <c r="AA50" s="19"/>
      <c r="AB50" s="19"/>
      <c r="AC50" s="19"/>
      <c r="AD50" s="20"/>
    </row>
    <row r="51">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19"/>
      <c r="AA51" s="19"/>
      <c r="AB51" s="19"/>
      <c r="AC51" s="19"/>
      <c r="AD51" s="20"/>
    </row>
    <row r="52">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19"/>
      <c r="AD52" s="20"/>
    </row>
    <row r="5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9"/>
      <c r="AD53" s="20"/>
    </row>
    <row r="54">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c r="AA54" s="19"/>
      <c r="AB54" s="19"/>
      <c r="AC54" s="19"/>
      <c r="AD54" s="20"/>
    </row>
    <row r="55">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c r="AA55" s="19"/>
      <c r="AB55" s="19"/>
      <c r="AC55" s="19"/>
      <c r="AD55" s="20"/>
    </row>
    <row r="56">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c r="AA56" s="19"/>
      <c r="AB56" s="19"/>
      <c r="AC56" s="19"/>
      <c r="AD56" s="20"/>
    </row>
    <row r="57">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20"/>
    </row>
    <row r="58">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c r="AA58" s="19"/>
      <c r="AB58" s="19"/>
      <c r="AC58" s="19"/>
      <c r="AD58" s="20"/>
    </row>
    <row r="59">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20"/>
    </row>
    <row r="60">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c r="AA60" s="19"/>
      <c r="AB60" s="19"/>
      <c r="AC60" s="19"/>
      <c r="AD60" s="20"/>
    </row>
    <row r="6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20"/>
    </row>
    <row r="62">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20"/>
    </row>
    <row r="6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20"/>
    </row>
    <row r="64">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20"/>
    </row>
    <row r="65">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c r="AA65" s="19"/>
      <c r="AB65" s="19"/>
      <c r="AC65" s="19"/>
      <c r="AD65" s="20"/>
    </row>
    <row r="66">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20"/>
    </row>
    <row r="67">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20"/>
    </row>
    <row r="68">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c r="AA68" s="19"/>
      <c r="AB68" s="19"/>
      <c r="AC68" s="19"/>
      <c r="AD68" s="20"/>
    </row>
    <row r="69">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c r="AA69" s="19"/>
      <c r="AB69" s="19"/>
      <c r="AC69" s="19"/>
      <c r="AD69" s="20"/>
    </row>
    <row r="70">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c r="AA70" s="19"/>
      <c r="AB70" s="19"/>
      <c r="AC70" s="19"/>
      <c r="AD70" s="20"/>
    </row>
    <row r="7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c r="AA71" s="19"/>
      <c r="AB71" s="19"/>
      <c r="AC71" s="19"/>
      <c r="AD71" s="20"/>
    </row>
    <row r="72">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c r="AA72" s="19"/>
      <c r="AB72" s="19"/>
      <c r="AC72" s="19"/>
      <c r="AD72" s="20"/>
    </row>
    <row r="73">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c r="AA73" s="19"/>
      <c r="AB73" s="19"/>
      <c r="AC73" s="19"/>
      <c r="AD73" s="20"/>
    </row>
    <row r="74">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c r="AA74" s="19"/>
      <c r="AB74" s="19"/>
      <c r="AC74" s="19"/>
      <c r="AD74" s="20"/>
    </row>
    <row r="75">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c r="AA75" s="19"/>
      <c r="AB75" s="19"/>
      <c r="AC75" s="19"/>
      <c r="AD75" s="20"/>
    </row>
    <row r="76">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c r="AA76" s="19"/>
      <c r="AB76" s="19"/>
      <c r="AC76" s="19"/>
      <c r="AD76" s="20"/>
    </row>
    <row r="77">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c r="AA77" s="19"/>
      <c r="AB77" s="19"/>
      <c r="AC77" s="19"/>
      <c r="AD77" s="20"/>
    </row>
    <row r="78">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c r="AA78" s="19"/>
      <c r="AB78" s="19"/>
      <c r="AC78" s="19"/>
      <c r="AD78" s="20"/>
    </row>
    <row r="79">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c r="AA79" s="19"/>
      <c r="AB79" s="19"/>
      <c r="AC79" s="19"/>
      <c r="AD79" s="20"/>
    </row>
    <row r="80">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c r="AA80" s="19"/>
      <c r="AB80" s="19"/>
      <c r="AC80" s="19"/>
      <c r="AD80" s="20"/>
    </row>
    <row r="8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c r="AA81" s="19"/>
      <c r="AB81" s="19"/>
      <c r="AC81" s="19"/>
      <c r="AD81" s="20"/>
    </row>
    <row r="82">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c r="AA82" s="19"/>
      <c r="AB82" s="19"/>
      <c r="AC82" s="19"/>
      <c r="AD82" s="20"/>
    </row>
    <row r="83">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c r="AA83" s="19"/>
      <c r="AB83" s="19"/>
      <c r="AC83" s="19"/>
      <c r="AD83" s="20"/>
    </row>
    <row r="84">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c r="AA84" s="19"/>
      <c r="AB84" s="19"/>
      <c r="AC84" s="19"/>
      <c r="AD84" s="20"/>
    </row>
    <row r="85">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c r="AA85" s="19"/>
      <c r="AB85" s="19"/>
      <c r="AC85" s="19"/>
      <c r="AD85" s="20"/>
    </row>
    <row r="86">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c r="AA86" s="19"/>
      <c r="AB86" s="19"/>
      <c r="AC86" s="19"/>
      <c r="AD86" s="20"/>
    </row>
    <row r="87">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c r="AA87" s="19"/>
      <c r="AB87" s="19"/>
      <c r="AC87" s="19"/>
      <c r="AD87" s="20"/>
    </row>
    <row r="88">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c r="AA88" s="19"/>
      <c r="AB88" s="19"/>
      <c r="AC88" s="19"/>
      <c r="AD88" s="20"/>
    </row>
    <row r="89">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c r="AA89" s="19"/>
      <c r="AB89" s="19"/>
      <c r="AC89" s="19"/>
      <c r="AD89" s="20"/>
    </row>
    <row r="90">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9"/>
      <c r="AD90" s="20"/>
    </row>
    <row r="9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c r="AA91" s="19"/>
      <c r="AB91" s="19"/>
      <c r="AC91" s="19"/>
      <c r="AD91" s="20"/>
    </row>
    <row r="92">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c r="AA92" s="19"/>
      <c r="AB92" s="19"/>
      <c r="AC92" s="19"/>
      <c r="AD92" s="20"/>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c r="AA93" s="19"/>
      <c r="AB93" s="19"/>
      <c r="AC93" s="19"/>
      <c r="AD93" s="20"/>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c r="AA94" s="19"/>
      <c r="AB94" s="19"/>
      <c r="AC94" s="19"/>
      <c r="AD94" s="20"/>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c r="AA95" s="19"/>
      <c r="AB95" s="19"/>
      <c r="AC95" s="19"/>
      <c r="AD95" s="20"/>
    </row>
    <row r="96">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c r="AA96" s="19"/>
      <c r="AB96" s="19"/>
      <c r="AC96" s="19"/>
      <c r="AD96" s="20"/>
    </row>
    <row r="97">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c r="AA97" s="19"/>
      <c r="AB97" s="19"/>
      <c r="AC97" s="19"/>
      <c r="AD97" s="20"/>
    </row>
    <row r="98">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c r="AA98" s="19"/>
      <c r="AB98" s="19"/>
      <c r="AC98" s="19"/>
      <c r="AD98" s="20"/>
    </row>
    <row r="99">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20"/>
    </row>
    <row r="100">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c r="AA100" s="19"/>
      <c r="AB100" s="19"/>
      <c r="AC100" s="19"/>
      <c r="AD100" s="20"/>
    </row>
    <row r="10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c r="AA101" s="19"/>
      <c r="AB101" s="19"/>
      <c r="AC101" s="19"/>
      <c r="AD101" s="20"/>
    </row>
    <row r="102">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c r="AA102" s="19"/>
      <c r="AB102" s="19"/>
      <c r="AC102" s="19"/>
      <c r="AD102" s="20"/>
    </row>
    <row r="1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c r="AA103" s="19"/>
      <c r="AB103" s="19"/>
      <c r="AC103" s="19"/>
      <c r="AD103" s="20"/>
    </row>
    <row r="104">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c r="AA104" s="19"/>
      <c r="AB104" s="19"/>
      <c r="AC104" s="19"/>
      <c r="AD104" s="20"/>
    </row>
    <row r="10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20"/>
    </row>
    <row r="106">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c r="AA106" s="19"/>
      <c r="AB106" s="19"/>
      <c r="AC106" s="19"/>
      <c r="AD106" s="20"/>
    </row>
    <row r="10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c r="AA107" s="19"/>
      <c r="AB107" s="19"/>
      <c r="AC107" s="19"/>
      <c r="AD107" s="20"/>
    </row>
    <row r="108">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c r="AA108" s="19"/>
      <c r="AB108" s="19"/>
      <c r="AC108" s="19"/>
      <c r="AD108" s="20"/>
    </row>
    <row r="109">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c r="AA109" s="19"/>
      <c r="AB109" s="19"/>
      <c r="AC109" s="19"/>
      <c r="AD109" s="20"/>
    </row>
    <row r="110">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c r="AA110" s="19"/>
      <c r="AB110" s="19"/>
      <c r="AC110" s="19"/>
      <c r="AD110" s="20"/>
    </row>
    <row r="11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c r="AA111" s="19"/>
      <c r="AB111" s="19"/>
      <c r="AC111" s="19"/>
      <c r="AD111" s="20"/>
    </row>
    <row r="112">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20"/>
    </row>
    <row r="11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c r="AA113" s="19"/>
      <c r="AB113" s="19"/>
      <c r="AC113" s="19"/>
      <c r="AD113" s="20"/>
    </row>
    <row r="114">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c r="AA114" s="19"/>
      <c r="AB114" s="19"/>
      <c r="AC114" s="19"/>
      <c r="AD114" s="20"/>
    </row>
    <row r="11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c r="AA115" s="19"/>
      <c r="AB115" s="19"/>
      <c r="AC115" s="19"/>
      <c r="AD115" s="20"/>
    </row>
    <row r="116">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c r="AA116" s="19"/>
      <c r="AB116" s="19"/>
      <c r="AC116" s="19"/>
      <c r="AD116" s="20"/>
    </row>
    <row r="11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c r="AA117" s="19"/>
      <c r="AB117" s="19"/>
      <c r="AC117" s="19"/>
      <c r="AD117" s="20"/>
    </row>
    <row r="118">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c r="AA118" s="19"/>
      <c r="AB118" s="19"/>
      <c r="AC118" s="19"/>
      <c r="AD118" s="20"/>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c r="AA119" s="19"/>
      <c r="AB119" s="19"/>
      <c r="AC119" s="19"/>
      <c r="AD119" s="20"/>
    </row>
    <row r="120">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c r="AA120" s="19"/>
      <c r="AB120" s="19"/>
      <c r="AC120" s="19"/>
      <c r="AD120" s="20"/>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c r="AA121" s="19"/>
      <c r="AB121" s="19"/>
      <c r="AC121" s="19"/>
      <c r="AD121" s="20"/>
    </row>
    <row r="122">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c r="AA122" s="19"/>
      <c r="AB122" s="19"/>
      <c r="AC122" s="19"/>
      <c r="AD122" s="20"/>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c r="AA123" s="19"/>
      <c r="AB123" s="19"/>
      <c r="AC123" s="19"/>
      <c r="AD123" s="20"/>
    </row>
    <row r="124">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c r="AA124" s="19"/>
      <c r="AB124" s="19"/>
      <c r="AC124" s="19"/>
      <c r="AD124" s="20"/>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c r="AA125" s="19"/>
      <c r="AB125" s="19"/>
      <c r="AC125" s="19"/>
      <c r="AD125" s="20"/>
    </row>
    <row r="126">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c r="AA126" s="19"/>
      <c r="AB126" s="19"/>
      <c r="AC126" s="19"/>
      <c r="AD126" s="20"/>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c r="AA127" s="19"/>
      <c r="AB127" s="19"/>
      <c r="AC127" s="19"/>
      <c r="AD127" s="20"/>
    </row>
    <row r="128">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c r="AA128" s="19"/>
      <c r="AB128" s="19"/>
      <c r="AC128" s="19"/>
      <c r="AD128" s="20"/>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c r="AA129" s="19"/>
      <c r="AB129" s="19"/>
      <c r="AC129" s="19"/>
      <c r="AD129" s="20"/>
    </row>
    <row r="130">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c r="AA130" s="19"/>
      <c r="AB130" s="19"/>
      <c r="AC130" s="19"/>
      <c r="AD130" s="20"/>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c r="AA131" s="19"/>
      <c r="AB131" s="19"/>
      <c r="AC131" s="19"/>
      <c r="AD131" s="20"/>
    </row>
    <row r="132">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c r="AA132" s="19"/>
      <c r="AB132" s="19"/>
      <c r="AC132" s="19"/>
      <c r="AD132" s="20"/>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c r="AA133" s="19"/>
      <c r="AB133" s="19"/>
      <c r="AC133" s="19"/>
      <c r="AD133" s="20"/>
    </row>
    <row r="134">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9"/>
      <c r="AD134" s="20"/>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c r="AA135" s="19"/>
      <c r="AB135" s="19"/>
      <c r="AC135" s="19"/>
      <c r="AD135" s="20"/>
    </row>
    <row r="136">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c r="AA136" s="19"/>
      <c r="AB136" s="19"/>
      <c r="AC136" s="19"/>
      <c r="AD136" s="20"/>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c r="AA137" s="19"/>
      <c r="AB137" s="19"/>
      <c r="AC137" s="19"/>
      <c r="AD137" s="20"/>
    </row>
    <row r="138">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c r="AA138" s="19"/>
      <c r="AB138" s="19"/>
      <c r="AC138" s="19"/>
      <c r="AD138" s="20"/>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c r="AA139" s="19"/>
      <c r="AB139" s="19"/>
      <c r="AC139" s="19"/>
      <c r="AD139" s="20"/>
    </row>
    <row r="140">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c r="AA140" s="19"/>
      <c r="AB140" s="19"/>
      <c r="AC140" s="19"/>
      <c r="AD140" s="20"/>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c r="AA141" s="19"/>
      <c r="AB141" s="19"/>
      <c r="AC141" s="19"/>
      <c r="AD141" s="20"/>
    </row>
    <row r="142">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c r="AA142" s="19"/>
      <c r="AB142" s="19"/>
      <c r="AC142" s="19"/>
      <c r="AD142" s="20"/>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c r="AA143" s="19"/>
      <c r="AB143" s="19"/>
      <c r="AC143" s="19"/>
      <c r="AD143" s="20"/>
    </row>
    <row r="144">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c r="AA144" s="19"/>
      <c r="AB144" s="19"/>
      <c r="AC144" s="19"/>
      <c r="AD144" s="20"/>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c r="AA145" s="19"/>
      <c r="AB145" s="19"/>
      <c r="AC145" s="19"/>
      <c r="AD145" s="20"/>
    </row>
    <row r="14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20"/>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c r="AA147" s="19"/>
      <c r="AB147" s="19"/>
      <c r="AC147" s="19"/>
      <c r="AD147" s="20"/>
    </row>
    <row r="148">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c r="AA148" s="19"/>
      <c r="AB148" s="19"/>
      <c r="AC148" s="19"/>
      <c r="AD148" s="20"/>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c r="AA149" s="19"/>
      <c r="AB149" s="19"/>
      <c r="AC149" s="19"/>
      <c r="AD149" s="20"/>
    </row>
    <row r="150">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c r="AA150" s="19"/>
      <c r="AB150" s="19"/>
      <c r="AC150" s="19"/>
      <c r="AD150" s="20"/>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20"/>
    </row>
    <row r="152">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c r="AA152" s="19"/>
      <c r="AB152" s="19"/>
      <c r="AC152" s="19"/>
      <c r="AD152" s="20"/>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c r="AA153" s="19"/>
      <c r="AB153" s="19"/>
      <c r="AC153" s="19"/>
      <c r="AD153" s="20"/>
    </row>
    <row r="154">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c r="AA154" s="19"/>
      <c r="AB154" s="19"/>
      <c r="AC154" s="19"/>
      <c r="AD154" s="20"/>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c r="AA155" s="19"/>
      <c r="AB155" s="19"/>
      <c r="AC155" s="19"/>
      <c r="AD155" s="20"/>
    </row>
    <row r="15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c r="AA156" s="19"/>
      <c r="AB156" s="19"/>
      <c r="AC156" s="19"/>
      <c r="AD156" s="20"/>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20"/>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c r="AA158" s="19"/>
      <c r="AB158" s="19"/>
      <c r="AC158" s="19"/>
      <c r="AD158" s="20"/>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c r="AA159" s="19"/>
      <c r="AB159" s="19"/>
      <c r="AC159" s="19"/>
      <c r="AD159" s="20"/>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c r="AA160" s="19"/>
      <c r="AB160" s="19"/>
      <c r="AC160" s="19"/>
      <c r="AD160" s="20"/>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c r="AA161" s="19"/>
      <c r="AB161" s="19"/>
      <c r="AC161" s="19"/>
      <c r="AD161" s="20"/>
    </row>
    <row r="162">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c r="AA162" s="19"/>
      <c r="AB162" s="19"/>
      <c r="AC162" s="19"/>
      <c r="AD162" s="20"/>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c r="AA163" s="19"/>
      <c r="AB163" s="19"/>
      <c r="AC163" s="19"/>
      <c r="AD163" s="20"/>
    </row>
    <row r="164">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c r="AA164" s="19"/>
      <c r="AB164" s="19"/>
      <c r="AC164" s="19"/>
      <c r="AD164" s="20"/>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c r="AA165" s="19"/>
      <c r="AB165" s="19"/>
      <c r="AC165" s="19"/>
      <c r="AD165" s="20"/>
    </row>
    <row r="16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c r="AA166" s="19"/>
      <c r="AB166" s="19"/>
      <c r="AC166" s="19"/>
      <c r="AD166" s="20"/>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c r="AA167" s="19"/>
      <c r="AB167" s="19"/>
      <c r="AC167" s="19"/>
      <c r="AD167" s="20"/>
    </row>
    <row r="168">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c r="AA168" s="19"/>
      <c r="AB168" s="19"/>
      <c r="AC168" s="19"/>
      <c r="AD168" s="20"/>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c r="AA169" s="19"/>
      <c r="AB169" s="19"/>
      <c r="AC169" s="19"/>
      <c r="AD169" s="20"/>
    </row>
    <row r="170">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c r="AA170" s="19"/>
      <c r="AB170" s="19"/>
      <c r="AC170" s="19"/>
      <c r="AD170" s="20"/>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c r="AA171" s="19"/>
      <c r="AB171" s="19"/>
      <c r="AC171" s="19"/>
      <c r="AD171" s="20"/>
    </row>
    <row r="172">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c r="AA172" s="19"/>
      <c r="AB172" s="19"/>
      <c r="AC172" s="19"/>
      <c r="AD172" s="20"/>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c r="AA173" s="19"/>
      <c r="AB173" s="19"/>
      <c r="AC173" s="19"/>
      <c r="AD173" s="20"/>
    </row>
    <row r="174">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c r="AA174" s="19"/>
      <c r="AB174" s="19"/>
      <c r="AC174" s="19"/>
      <c r="AD174" s="20"/>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c r="AA175" s="19"/>
      <c r="AB175" s="19"/>
      <c r="AC175" s="19"/>
      <c r="AD175" s="20"/>
    </row>
    <row r="17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c r="AA176" s="19"/>
      <c r="AB176" s="19"/>
      <c r="AC176" s="19"/>
      <c r="AD176" s="20"/>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c r="AA177" s="19"/>
      <c r="AB177" s="19"/>
      <c r="AC177" s="19"/>
      <c r="AD177" s="20"/>
    </row>
    <row r="178">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c r="AA178" s="19"/>
      <c r="AB178" s="19"/>
      <c r="AC178" s="19"/>
      <c r="AD178" s="20"/>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c r="AA179" s="19"/>
      <c r="AB179" s="19"/>
      <c r="AC179" s="19"/>
      <c r="AD179" s="20"/>
    </row>
    <row r="180">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c r="AA180" s="19"/>
      <c r="AB180" s="19"/>
      <c r="AC180" s="19"/>
      <c r="AD180" s="20"/>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c r="AA181" s="19"/>
      <c r="AB181" s="19"/>
      <c r="AC181" s="19"/>
      <c r="AD181" s="20"/>
    </row>
    <row r="182">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c r="AA182" s="19"/>
      <c r="AB182" s="19"/>
      <c r="AC182" s="19"/>
      <c r="AD182" s="20"/>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c r="AA183" s="19"/>
      <c r="AB183" s="19"/>
      <c r="AC183" s="19"/>
      <c r="AD183" s="20"/>
    </row>
    <row r="184">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c r="AA184" s="19"/>
      <c r="AB184" s="19"/>
      <c r="AC184" s="19"/>
      <c r="AD184" s="20"/>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9"/>
      <c r="AD185" s="20"/>
    </row>
    <row r="18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c r="AA186" s="19"/>
      <c r="AB186" s="19"/>
      <c r="AC186" s="19"/>
      <c r="AD186" s="20"/>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c r="AA187" s="19"/>
      <c r="AB187" s="19"/>
      <c r="AC187" s="19"/>
      <c r="AD187" s="20"/>
    </row>
    <row r="188">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9"/>
      <c r="AD188" s="20"/>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c r="AA189" s="19"/>
      <c r="AB189" s="19"/>
      <c r="AC189" s="19"/>
      <c r="AD189" s="20"/>
    </row>
    <row r="190">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c r="AA190" s="19"/>
      <c r="AB190" s="19"/>
      <c r="AC190" s="19"/>
      <c r="AD190" s="20"/>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c r="AA191" s="19"/>
      <c r="AB191" s="19"/>
      <c r="AC191" s="19"/>
      <c r="AD191" s="20"/>
    </row>
    <row r="192">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c r="AA192" s="19"/>
      <c r="AB192" s="19"/>
      <c r="AC192" s="19"/>
      <c r="AD192" s="20"/>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c r="AA193" s="19"/>
      <c r="AB193" s="19"/>
      <c r="AC193" s="19"/>
      <c r="AD193" s="20"/>
    </row>
    <row r="194">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c r="AA194" s="19"/>
      <c r="AB194" s="19"/>
      <c r="AC194" s="19"/>
      <c r="AD194" s="20"/>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c r="AA195" s="19"/>
      <c r="AB195" s="19"/>
      <c r="AC195" s="19"/>
      <c r="AD195" s="20"/>
    </row>
    <row r="19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c r="AA196" s="19"/>
      <c r="AB196" s="19"/>
      <c r="AC196" s="19"/>
      <c r="AD196" s="20"/>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c r="AA197" s="19"/>
      <c r="AB197" s="19"/>
      <c r="AC197" s="19"/>
      <c r="AD197" s="20"/>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c r="AA198" s="19"/>
      <c r="AB198" s="19"/>
      <c r="AC198" s="19"/>
      <c r="AD198" s="20"/>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c r="AA199" s="19"/>
      <c r="AB199" s="19"/>
      <c r="AC199" s="19"/>
      <c r="AD199" s="20"/>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c r="AA200" s="19"/>
      <c r="AB200" s="19"/>
      <c r="AC200" s="19"/>
      <c r="AD200" s="20"/>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c r="AA201" s="19"/>
      <c r="AB201" s="19"/>
      <c r="AC201" s="19"/>
      <c r="AD201" s="20"/>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c r="AA202" s="19"/>
      <c r="AB202" s="19"/>
      <c r="AC202" s="19"/>
      <c r="AD202" s="20"/>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c r="AA203" s="19"/>
      <c r="AB203" s="19"/>
      <c r="AC203" s="19"/>
      <c r="AD203" s="20"/>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c r="AA204" s="19"/>
      <c r="AB204" s="19"/>
      <c r="AC204" s="19"/>
      <c r="AD204" s="20"/>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c r="AA205" s="19"/>
      <c r="AB205" s="19"/>
      <c r="AC205" s="19"/>
      <c r="AD205" s="20"/>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9"/>
      <c r="AD206" s="20"/>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c r="AA207" s="19"/>
      <c r="AB207" s="19"/>
      <c r="AC207" s="19"/>
      <c r="AD207" s="20"/>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c r="AA208" s="19"/>
      <c r="AB208" s="19"/>
      <c r="AC208" s="19"/>
      <c r="AD208" s="20"/>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9"/>
      <c r="AD209" s="20"/>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c r="AA210" s="19"/>
      <c r="AB210" s="19"/>
      <c r="AC210" s="19"/>
      <c r="AD210" s="20"/>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c r="AA211" s="19"/>
      <c r="AB211" s="19"/>
      <c r="AC211" s="19"/>
      <c r="AD211" s="20"/>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c r="AA212" s="19"/>
      <c r="AB212" s="19"/>
      <c r="AC212" s="19"/>
      <c r="AD212" s="20"/>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c r="AA213" s="19"/>
      <c r="AB213" s="19"/>
      <c r="AC213" s="19"/>
      <c r="AD213" s="20"/>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c r="AA214" s="19"/>
      <c r="AB214" s="19"/>
      <c r="AC214" s="19"/>
      <c r="AD214" s="20"/>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c r="AA215" s="19"/>
      <c r="AB215" s="19"/>
      <c r="AC215" s="19"/>
      <c r="AD215" s="20"/>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c r="AA216" s="19"/>
      <c r="AB216" s="19"/>
      <c r="AC216" s="19"/>
      <c r="AD216" s="20"/>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c r="AA217" s="19"/>
      <c r="AB217" s="19"/>
      <c r="AC217" s="19"/>
      <c r="AD217" s="20"/>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c r="AA218" s="19"/>
      <c r="AB218" s="19"/>
      <c r="AC218" s="19"/>
      <c r="AD218" s="20"/>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c r="AA219" s="19"/>
      <c r="AB219" s="19"/>
      <c r="AC219" s="19"/>
      <c r="AD219" s="20"/>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c r="AA220" s="19"/>
      <c r="AB220" s="19"/>
      <c r="AC220" s="19"/>
      <c r="AD220" s="20"/>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20"/>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20"/>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20"/>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20"/>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20"/>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20"/>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20"/>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20"/>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20"/>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20"/>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20"/>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20"/>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20"/>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20"/>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20"/>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20"/>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20"/>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20"/>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20"/>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20"/>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20"/>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20"/>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20"/>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20"/>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20"/>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20"/>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20"/>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20"/>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20"/>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20"/>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20"/>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20"/>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20"/>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20"/>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20"/>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20"/>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20"/>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20"/>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20"/>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20"/>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20"/>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20"/>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20"/>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20"/>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20"/>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20"/>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20"/>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20"/>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20"/>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20"/>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20"/>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20"/>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20"/>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20"/>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20"/>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20"/>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20"/>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20"/>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20"/>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20"/>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20"/>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20"/>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20"/>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20"/>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20"/>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20"/>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20"/>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20"/>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20"/>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20"/>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20"/>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20"/>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20"/>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20"/>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20"/>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20"/>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20"/>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20"/>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20"/>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20"/>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20"/>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20"/>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20"/>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20"/>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20"/>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20"/>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20"/>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20"/>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20"/>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20"/>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20"/>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20"/>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20"/>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20"/>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20"/>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20"/>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20"/>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20"/>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20"/>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20"/>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20"/>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20"/>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20"/>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20"/>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20"/>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20"/>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20"/>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20"/>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20"/>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20"/>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20"/>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20"/>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20"/>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20"/>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20"/>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20"/>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20"/>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20"/>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20"/>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20"/>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20"/>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20"/>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20"/>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20"/>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20"/>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20"/>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20"/>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20"/>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20"/>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20"/>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20"/>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20"/>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20"/>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20"/>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20"/>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20"/>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20"/>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20"/>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20"/>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20"/>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20"/>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20"/>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20"/>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20"/>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20"/>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20"/>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20"/>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20"/>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20"/>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20"/>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20"/>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20"/>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20"/>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20"/>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20"/>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20"/>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20"/>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20"/>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20"/>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20"/>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20"/>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20"/>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20"/>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20"/>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20"/>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20"/>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20"/>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20"/>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20"/>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20"/>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20"/>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20"/>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20"/>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20"/>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20"/>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20"/>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20"/>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20"/>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20"/>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20"/>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20"/>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20"/>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20"/>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20"/>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20"/>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20"/>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20"/>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20"/>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20"/>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20"/>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20"/>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20"/>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20"/>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20"/>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20"/>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20"/>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20"/>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20"/>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20"/>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20"/>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20"/>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20"/>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20"/>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20"/>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20"/>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20"/>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20"/>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20"/>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20"/>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20"/>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20"/>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20"/>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20"/>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20"/>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20"/>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20"/>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20"/>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20"/>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20"/>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20"/>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20"/>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20"/>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20"/>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20"/>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20"/>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20"/>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20"/>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20"/>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20"/>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20"/>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20"/>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20"/>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20"/>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20"/>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20"/>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20"/>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20"/>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20"/>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20"/>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20"/>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20"/>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20"/>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20"/>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20"/>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20"/>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20"/>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20"/>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20"/>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20"/>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20"/>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20"/>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20"/>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20"/>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20"/>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20"/>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20"/>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20"/>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20"/>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20"/>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20"/>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20"/>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20"/>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20"/>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20"/>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20"/>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20"/>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20"/>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20"/>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20"/>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20"/>
    </row>
    <row r="49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20"/>
    </row>
    <row r="492">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20"/>
    </row>
    <row r="493">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20"/>
    </row>
    <row r="494">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20"/>
    </row>
    <row r="495">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20"/>
    </row>
    <row r="496">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20"/>
    </row>
    <row r="497">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20"/>
    </row>
    <row r="498">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20"/>
    </row>
    <row r="499">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20"/>
    </row>
    <row r="500">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20"/>
    </row>
    <row r="50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20"/>
    </row>
    <row r="502">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20"/>
    </row>
    <row r="503">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20"/>
    </row>
    <row r="504">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20"/>
    </row>
    <row r="505">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20"/>
    </row>
    <row r="506">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20"/>
    </row>
    <row r="507">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20"/>
    </row>
    <row r="508">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20"/>
    </row>
    <row r="509">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20"/>
    </row>
    <row r="510">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20"/>
    </row>
    <row r="51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20"/>
    </row>
    <row r="512">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20"/>
    </row>
    <row r="513">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20"/>
    </row>
    <row r="514">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20"/>
    </row>
    <row r="515">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20"/>
    </row>
    <row r="516">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20"/>
    </row>
    <row r="517">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20"/>
    </row>
    <row r="518">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20"/>
    </row>
    <row r="519">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20"/>
    </row>
    <row r="520">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20"/>
    </row>
    <row r="52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20"/>
    </row>
    <row r="522">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20"/>
    </row>
    <row r="523">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20"/>
    </row>
    <row r="524">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20"/>
    </row>
    <row r="525">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20"/>
    </row>
    <row r="526">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20"/>
    </row>
    <row r="527">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20"/>
    </row>
    <row r="528">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20"/>
    </row>
    <row r="529">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20"/>
    </row>
    <row r="530">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20"/>
    </row>
    <row r="53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20"/>
    </row>
    <row r="532">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20"/>
    </row>
    <row r="533">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20"/>
    </row>
    <row r="534">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20"/>
    </row>
    <row r="535">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20"/>
    </row>
    <row r="536">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20"/>
    </row>
    <row r="537">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20"/>
    </row>
    <row r="538">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20"/>
    </row>
    <row r="539">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20"/>
    </row>
    <row r="540">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20"/>
    </row>
    <row r="54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20"/>
    </row>
    <row r="542">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20"/>
    </row>
    <row r="543">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20"/>
    </row>
    <row r="544">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20"/>
    </row>
    <row r="545">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20"/>
    </row>
    <row r="546">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20"/>
    </row>
    <row r="547">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20"/>
    </row>
    <row r="548">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20"/>
    </row>
    <row r="549">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20"/>
    </row>
    <row r="550">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20"/>
    </row>
    <row r="55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20"/>
    </row>
    <row r="552">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20"/>
    </row>
    <row r="553">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20"/>
    </row>
    <row r="554">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20"/>
    </row>
    <row r="555">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20"/>
    </row>
    <row r="556">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20"/>
    </row>
    <row r="557">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20"/>
    </row>
    <row r="558">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20"/>
    </row>
    <row r="559">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20"/>
    </row>
    <row r="560">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20"/>
    </row>
    <row r="56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20"/>
    </row>
    <row r="562">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20"/>
    </row>
    <row r="563">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20"/>
    </row>
    <row r="564">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20"/>
    </row>
    <row r="565">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20"/>
    </row>
    <row r="566">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20"/>
    </row>
    <row r="567">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20"/>
    </row>
    <row r="568">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20"/>
    </row>
    <row r="569">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20"/>
    </row>
    <row r="570">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20"/>
    </row>
    <row r="57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20"/>
    </row>
    <row r="572">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20"/>
    </row>
    <row r="573">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20"/>
    </row>
    <row r="574">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20"/>
    </row>
    <row r="575">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20"/>
    </row>
    <row r="576">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20"/>
    </row>
    <row r="577">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20"/>
    </row>
    <row r="578">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20"/>
    </row>
    <row r="579">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20"/>
    </row>
    <row r="580">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20"/>
    </row>
    <row r="58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20"/>
    </row>
    <row r="582">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20"/>
    </row>
    <row r="583">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20"/>
    </row>
    <row r="584">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20"/>
    </row>
    <row r="585">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20"/>
    </row>
    <row r="586">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20"/>
    </row>
    <row r="587">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20"/>
    </row>
    <row r="588">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20"/>
    </row>
    <row r="589">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20"/>
    </row>
    <row r="590">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20"/>
    </row>
    <row r="59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20"/>
    </row>
    <row r="592">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20"/>
    </row>
    <row r="593">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20"/>
    </row>
    <row r="594">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20"/>
    </row>
    <row r="595">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20"/>
    </row>
    <row r="596">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20"/>
    </row>
    <row r="597">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20"/>
    </row>
    <row r="598">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20"/>
    </row>
    <row r="599">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20"/>
    </row>
    <row r="600">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20"/>
    </row>
    <row r="60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20"/>
    </row>
    <row r="602">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20"/>
    </row>
    <row r="603">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20"/>
    </row>
  </sheetData>
  <drawing r:id="rId1"/>
  <tableParts count="1">
    <tablePart r:id="rId3"/>
  </tableParts>
</worksheet>
</file>