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ineSky" sheetId="1" r:id="rId5"/>
  </sheets>
  <definedNames/>
  <calcPr/>
</workbook>
</file>

<file path=xl/sharedStrings.xml><?xml version="1.0" encoding="utf-8"?>
<sst xmlns="http://schemas.openxmlformats.org/spreadsheetml/2006/main" count="68" uniqueCount="59">
  <si>
    <t>Product Code</t>
  </si>
  <si>
    <t>Name</t>
  </si>
  <si>
    <t>Product type</t>
  </si>
  <si>
    <t>Categories</t>
  </si>
  <si>
    <t>Status</t>
  </si>
  <si>
    <t>AI Product description</t>
  </si>
  <si>
    <t>Product description</t>
  </si>
  <si>
    <t>AI Product short description</t>
  </si>
  <si>
    <t>Product short description</t>
  </si>
  <si>
    <t>Product image</t>
  </si>
  <si>
    <t>Product gallery</t>
  </si>
  <si>
    <t>SKU Code</t>
  </si>
  <si>
    <t>Specification</t>
  </si>
  <si>
    <t>AI Labels</t>
  </si>
  <si>
    <t>Labels</t>
  </si>
  <si>
    <t>AI Features</t>
  </si>
  <si>
    <t>Features</t>
  </si>
  <si>
    <t>AI Attributes</t>
  </si>
  <si>
    <t>Attributes</t>
  </si>
  <si>
    <t xml:space="preserve">AI Options and Constraints </t>
  </si>
  <si>
    <t>Options and Constraints</t>
  </si>
  <si>
    <t>Options</t>
  </si>
  <si>
    <t>Constraints</t>
  </si>
  <si>
    <t>SKU Mappings</t>
  </si>
  <si>
    <t>Supplier Name</t>
  </si>
  <si>
    <t>Supplier Code</t>
  </si>
  <si>
    <t>Datasheet</t>
  </si>
  <si>
    <t>Stocked Item</t>
  </si>
  <si>
    <t>AI Meta Keywords</t>
  </si>
  <si>
    <t>Meta Keywords</t>
  </si>
  <si>
    <t>TV1010</t>
  </si>
  <si>
    <t>Neon Top View</t>
  </si>
  <si>
    <t>simple</t>
  </si>
  <si>
    <t>Black Neon</t>
  </si>
  <si>
    <t>draft</t>
  </si>
  <si>
    <t>Elevate your space with a mesmerizing, top-bending linear radiance designed to transform ordinary architectural lines into extraordinary visual statements. Crafted to curve effortlessly around contours, this flexible neon lighting solution casts a seamless, elegant glow that enhances high-end commercial environments and sophisticated outdoor landscapes alike. Perfect for visionary designers looking to infuse warmth and modern artistry into their surroundings, it delivers breathtaking atmosphere and timeless brilliance wherever it shines.</t>
  </si>
  <si>
    <t>Transform your space with a seamless, flexible glow designed to effortlessly accentuate contours and bring timeless, vibrant elegance to any environment.</t>
  </si>
  <si>
    <t>TV1010-10W-2.7K-IP65-Black</t>
  </si>
  <si>
    <t>10W/m | 2700K | 24V | IP65 | 10mm (W) x 10mm (H) | 5,000mm (L) | Black</t>
  </si>
  <si>
    <t>Power Consumption Rate | Color Temperature | Voltage | IP Rating | Dimension | Length | Finish</t>
  </si>
  <si>
    <t>{
"Power Consumption Rate": "10W/m",
"Color Temperature": "2700K",
"Voltage": "24V",
"IP Rating": "IP65",
"Dimension": "10mm (W) x 10mm (H)",
"Length": "5,000mm (L)",
"Finish": "Black",
"SKU": "TV1010-10W-2.7K-IP65-Black"
}</t>
  </si>
  <si>
    <t>{ "Power Consumption Rate": "10W/m", "Color Temperature": [ "2700K", "3000K", "4000K", "6000K" ], "Voltage": "24V", "IP Rating": "IP65", "Dimension": "10mm (W) x 10mm (H)", "Length": "5,000mm (L)", "Finish": "Black", "SKU": [ "TV1010-10W-2.7K-IP65-Black", "TV1010-10W-3K-IP65-Black", "TV1010-10W-4K-IP65-Black", "TV1010-10W-6K-IP65-Black" ] }</t>
  </si>
  <si>
    <t>{ "Options": { "Power Consumption Rate": [ {"name": "10W/m", "id": "101"} ], "Color Temperature": [ {"name": "2700K", "id": "102"}, {"name": "3000K", "id": "103"}, {"name": "4000K", "id": "104"}, {"name": "6000K", "id": "105"} ], "Voltage": [ {"name": "24V", "id": "106"} ], "IP Rating": [ {"name": "IP65", "id": "107"} ], "Dimension": [ {"name": "10mm (W) x 10mm (H)", "id": "108"} ], "Length": [ {"name": "5,000mm (L)", "id": "109"} ], "Finish": [ {"name": "Black", "id": "110"} ] }, "Constraints": {}, "sku_mappings": [ { "sku": "TV1010-10W-2.7K-IP65-Black", "combination": ["101", "102", "106", "107", "108", "109", "110"] }, { "sku": "TV1010-10W-3K-IP65-Black", "combination": ["101", "103", "106", "107", "108", "109", "110"] }, { "sku": "TV1010-10W-4K-IP65-Black", "combination": ["101", "104", "106", "107", "108", "109", "110"] }, { "sku": "TV1010-10W-6K-IP65-Black", "combination": ["101", "105", "106", "107", "108", "109", "110"] } ] }</t>
  </si>
  <si>
    <t>CHINA - Shine Sky</t>
  </si>
  <si>
    <t>SK-NTB1010V24-C27</t>
  </si>
  <si>
    <t>No</t>
  </si>
  <si>
    <t>Top bend LED neon, IP65 linear light, 2700K warm white neon, Flexible architectural lighting, Black silicone LED strip, 24V linear flex</t>
  </si>
  <si>
    <t>TV1010-10W-3K-IP65-Black</t>
  </si>
  <si>
    <t>10W/m | 3000K | 24V | IP65 | 10mm (W) x 10mm (H) | 5,000mm (L) | Black</t>
  </si>
  <si>
    <t>{
"Power Consumption Rate": "10W/m",
"Color Temperature": "3000K",
"Voltage": "24V",
"IP Rating": "IP65",
"Dimension": "10mm (W) x 10mm (H)",
"Length": "5,000mm (L)",
"Finish": "Black",
"SKU": "TV1010-10W-3K-IP65-Black"
}</t>
  </si>
  <si>
    <t>SK-NTB1010V24-C30</t>
  </si>
  <si>
    <t>TV1010-10W-4K-IP65-Black</t>
  </si>
  <si>
    <t>10W/m | 4000K | 24V | IP65 | 10mm (W) x 10mm (H) | 5,000mm (L) | Black</t>
  </si>
  <si>
    <t>{
"Power Consumption Rate": "10W/m",
"Color Temperature": "4000K",
"Voltage": "24V",
"IP Rating": "IP65",
"Dimension": "10mm (W) x 10mm (H)",
"Length": "5,000mm (L)",
"Finish": "Black",
"SKU": "TV1010-10W-4K-IP65-Black"
}</t>
  </si>
  <si>
    <t>SK-NTB1010V24-C40</t>
  </si>
  <si>
    <t>TV1010-10W-6K-IP65-Black</t>
  </si>
  <si>
    <t>10W/m | 6000K | 24V | IP65 | 10mm (W) x 10mm (H) | 5,000mm (L) | Black</t>
  </si>
  <si>
    <t>{
"Power Consumption Rate": "10W/m",
"Color Temperature": "6000K",
"Voltage": "24V",
"IP Rating": "IP65",
"Dimension": "10mm (W) x 10mm (H)",
"Length": "5,000mm (L)",
"Finish": "Black",
"SKU": "TV1010-10W-6K-IP65-Black"
}</t>
  </si>
  <si>
    <t>SK-NTB1010V24-C65</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</si>
</sst>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0.0"/>
      <color theme="1"/>
      <name val="DM Sans"/>
    </font>
    <font>
      <b/>
      <sz val="10.0"/>
      <color rgb="FFFFFFFF"/>
      <name val="DM Sans"/>
    </font>
    <font>
      <b/>
      <sz val="10.0"/>
      <color rgb="FF434343"/>
      <name val="DM Sans"/>
    </font>
    <font>
      <sz val="10.0"/>
      <color theme="1"/>
      <name val="DM Sans"/>
    </font>
    <font>
      <sz val="10.0"/>
      <color rgb="FF434343"/>
      <name val="DM Sans"/>
    </font>
    <font>
      <color rgb="FF434343"/>
      <name val="DM Sans"/>
    </font>
    <font>
      <color theme="1"/>
      <name val="Arial"/>
      <scheme val="minor"/>
    </font>
  </fonts>
  <fills count="10">
    <fill>
      <patternFill patternType="none"/>
    </fill>
    <fill>
      <patternFill patternType="lightGray"/>
    </fill>
    <fill>
      <patternFill patternType="solid">
        <fgColor rgb="FFFFD966"/>
        <bgColor rgb="FFFFD966"/>
      </patternFill>
    </fill>
    <fill>
      <patternFill patternType="solid">
        <fgColor rgb="FF93C47D"/>
        <bgColor rgb="FF93C47D"/>
      </patternFill>
    </fill>
    <fill>
      <patternFill patternType="solid">
        <fgColor rgb="FF9900FF"/>
        <bgColor rgb="FF9900FF"/>
      </patternFill>
    </fill>
    <fill>
      <patternFill patternType="solid">
        <fgColor rgb="FF1155CC"/>
        <bgColor rgb="FF1155CC"/>
      </patternFill>
    </fill>
    <fill>
      <patternFill patternType="solid">
        <fgColor rgb="FFD9EAD3"/>
        <bgColor rgb="FFD9EAD3"/>
      </patternFill>
    </fill>
    <fill>
      <patternFill patternType="solid">
        <fgColor rgb="FFD9D2E9"/>
        <bgColor rgb="FFD9D2E9"/>
      </patternFill>
    </fill>
    <fill>
      <patternFill patternType="solid">
        <fgColor rgb="FFC9DAF8"/>
        <bgColor rgb="FFC9DAF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0" fontId="4"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6" fontId="4" numFmtId="0" xfId="0" applyAlignment="1" applyBorder="1" applyFill="1" applyFont="1">
      <alignment readingOrder="0" shrinkToFit="0" vertical="center" wrapText="1"/>
    </xf>
    <xf borderId="1" fillId="0" fontId="4" numFmtId="0" xfId="0" applyAlignment="1" applyBorder="1" applyFont="1">
      <alignment readingOrder="0" shrinkToFit="0" vertical="center" wrapText="1"/>
    </xf>
    <xf borderId="1" fillId="7" fontId="4" numFmtId="0" xfId="0" applyAlignment="1" applyBorder="1" applyFill="1" applyFont="1">
      <alignment readingOrder="0" shrinkToFit="0" vertical="center" wrapText="1"/>
    </xf>
    <xf borderId="1" fillId="6" fontId="5" numFmtId="0" xfId="0" applyAlignment="1" applyBorder="1" applyFill="1" applyFont="1">
      <alignment shrinkToFit="0" vertical="center" wrapText="1"/>
    </xf>
    <xf borderId="1" fillId="8" fontId="5" numFmtId="0" xfId="0" applyAlignment="1" applyBorder="1" applyFill="1" applyFont="1">
      <alignment shrinkToFit="0" vertical="center" wrapText="1"/>
    </xf>
    <xf borderId="1" fillId="6" fontId="5" numFmtId="0" xfId="0" applyAlignment="1" applyBorder="1" applyFill="1" applyFont="1">
      <alignment readingOrder="0" shrinkToFit="0" vertical="center" wrapText="1"/>
    </xf>
    <xf borderId="1" fillId="8" fontId="5" numFmtId="0" xfId="0" applyAlignment="1" applyBorder="1" applyFill="1" applyFont="1">
      <alignment readingOrder="0" shrinkToFit="0" vertical="center" wrapText="1"/>
    </xf>
    <xf borderId="1" fillId="9" fontId="6" numFmtId="0" xfId="0" applyAlignment="1" applyBorder="1" applyFill="1" applyFont="1">
      <alignment shrinkToFit="0" vertical="bottom" wrapText="1"/>
    </xf>
    <xf borderId="1" fillId="0" fontId="7" numFmtId="0" xfId="0" applyAlignment="1" applyBorder="1" applyFont="1">
      <alignment readingOrder="0"/>
    </xf>
    <xf borderId="1" fillId="0" fontId="5" numFmtId="0" xfId="0" applyAlignment="1" applyBorder="1" applyFont="1">
      <alignment readingOrder="0" shrinkToFit="0" vertical="center" wrapText="1"/>
    </xf>
    <xf borderId="1" fillId="0" fontId="4" numFmtId="0" xfId="0" applyAlignment="1" applyBorder="1" applyFont="1">
      <alignment shrinkToFit="0" vertical="center" wrapText="1"/>
    </xf>
    <xf borderId="0" fillId="0" fontId="4" numFmtId="0" xfId="0" applyAlignment="1" applyFont="1">
      <alignment shrinkToFit="0" vertical="center" wrapText="1"/>
    </xf>
    <xf borderId="1" fillId="8" fontId="4" numFmtId="0" xfId="0" applyAlignment="1" applyBorder="1" applyFill="1" applyFont="1">
      <alignment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ShineSky-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V2:X2" displayName="Table_1" name="Table_1" id="1">
  <tableColumns count="3">
    <tableColumn name="Column1" id="1"/>
    <tableColumn name="Column2" id="2"/>
    <tableColumn name="Column3" id="3"/>
  </tableColumns>
  <tableStyleInfo name="ShineSk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38"/>
    <col customWidth="1" min="2" max="2" width="28.25"/>
    <col customWidth="1" min="3" max="3" width="11.75"/>
    <col customWidth="1" min="4" max="4" width="9.88"/>
    <col customWidth="1" min="5" max="5" width="6.38"/>
    <col customWidth="1" min="6" max="6" width="50.5"/>
    <col customWidth="1" min="7" max="7" width="33.0"/>
    <col customWidth="1" min="8" max="9" width="31.38"/>
    <col customWidth="1" min="10" max="11" width="28.75"/>
    <col customWidth="1" min="12" max="12" width="23.63"/>
    <col customWidth="1" min="13" max="13" width="57.25"/>
    <col customWidth="1" min="14" max="14" width="54.25"/>
    <col customWidth="1" min="15" max="15" width="34.75"/>
    <col customWidth="1" min="16" max="24" width="50.13"/>
    <col customWidth="1" min="25" max="25" width="29.38"/>
    <col customWidth="1" min="26" max="26" width="37.63"/>
    <col customWidth="1" min="27" max="27" width="12.63"/>
    <col customWidth="1" min="29" max="30" width="34.0"/>
  </cols>
  <sheetData>
    <row r="1">
      <c r="A1" s="1" t="s">
        <v>0</v>
      </c>
      <c r="B1" s="1" t="s">
        <v>1</v>
      </c>
      <c r="C1" s="1" t="s">
        <v>2</v>
      </c>
      <c r="D1" s="1" t="s">
        <v>3</v>
      </c>
      <c r="E1" s="1" t="s">
        <v>4</v>
      </c>
      <c r="F1" s="2" t="s">
        <v>5</v>
      </c>
      <c r="G1" s="1" t="s">
        <v>6</v>
      </c>
      <c r="H1" s="2" t="s">
        <v>7</v>
      </c>
      <c r="I1" s="1" t="s">
        <v>8</v>
      </c>
      <c r="J1" s="1" t="s">
        <v>9</v>
      </c>
      <c r="K1" s="1" t="s">
        <v>10</v>
      </c>
      <c r="L1" s="3" t="s">
        <v>11</v>
      </c>
      <c r="M1" s="3" t="s">
        <v>12</v>
      </c>
      <c r="N1" s="2" t="s">
        <v>13</v>
      </c>
      <c r="O1" s="4" t="s">
        <v>14</v>
      </c>
      <c r="P1" s="2" t="s">
        <v>15</v>
      </c>
      <c r="Q1" s="5" t="s">
        <v>16</v>
      </c>
      <c r="R1" s="2" t="s">
        <v>17</v>
      </c>
      <c r="S1" s="1" t="s">
        <v>18</v>
      </c>
      <c r="T1" s="2" t="s">
        <v>19</v>
      </c>
      <c r="U1" s="5" t="s">
        <v>20</v>
      </c>
      <c r="V1" s="1" t="s">
        <v>21</v>
      </c>
      <c r="W1" s="1" t="s">
        <v>22</v>
      </c>
      <c r="X1" s="6" t="s">
        <v>23</v>
      </c>
      <c r="Y1" s="1" t="s">
        <v>24</v>
      </c>
      <c r="Z1" s="1" t="s">
        <v>25</v>
      </c>
      <c r="AA1" s="1" t="s">
        <v>26</v>
      </c>
      <c r="AB1" s="1" t="s">
        <v>27</v>
      </c>
      <c r="AC1" s="2" t="s">
        <v>28</v>
      </c>
      <c r="AD1" s="1" t="s">
        <v>29</v>
      </c>
    </row>
    <row r="2" ht="146.25" customHeight="1">
      <c r="A2" s="7" t="s">
        <v>30</v>
      </c>
      <c r="B2" s="8" t="s">
        <v>31</v>
      </c>
      <c r="C2" s="8" t="s">
        <v>32</v>
      </c>
      <c r="D2" s="8" t="s">
        <v>33</v>
      </c>
      <c r="E2" s="8" t="s">
        <v>34</v>
      </c>
      <c r="F2" s="9" t="str">
        <f>IFERROR(__xludf.DUMMYFUNCTION("AI(""Give me a paragraph marketing spiel for product in this row, no tech specs just marketing fluff "")"),"Elevate your space with a mesmerizing, top-bending linear radiance designed to transform ordinary architectural lines into extraordinary visual statements. Crafted to curve effortlessly around contours, this flexible neon lighting solution casts a seamles"&amp;"s, elegant glow that enhances high-end commercial environments and sophisticated outdoor landscapes alike. Perfect for visionary designers looking to infuse warmth and modern artistry into their surroundings, it delivers breathtaking atmosphere and timele"&amp;"ss brilliance wherever it shines.")</f>
        <v>Elevate your space with a mesmerizing, top-bending linear radiance designed to transform ordinary architectural lines into extraordinary visual statements. Crafted to curve effortlessly around contours, this flexible neon lighting solution casts a seamless, elegant glow that enhances high-end commercial environments and sophisticated outdoor landscapes alike. Perfect for visionary designers looking to infuse warmth and modern artistry into their surroundings, it delivers breathtaking atmosphere and timeless brilliance wherever it shines.</v>
      </c>
      <c r="G2" s="8" t="s">
        <v>35</v>
      </c>
      <c r="H2" s="9" t="str">
        <f>IFERROR(__xludf.DUMMYFUNCTION("AI(""Give me a paragraph marketing spiel for product in this row, no tech specs just marketing fluff under 180 characters "")"),"Transform your space with a seamless, flexible glow designed to effortlessly accentuate contours and bring timeless, vibrant elegance to any environment.")</f>
        <v>Transform your space with a seamless, flexible glow designed to effortlessly accentuate contours and bring timeless, vibrant elegance to any environment.</v>
      </c>
      <c r="I2" s="8" t="s">
        <v>36</v>
      </c>
      <c r="J2" s="10"/>
      <c r="K2" s="10"/>
      <c r="L2" s="11" t="s">
        <v>37</v>
      </c>
      <c r="M2" s="11" t="s">
        <v>38</v>
      </c>
      <c r="N2" s="12"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mentio"&amp;"ned above separated by pipes ('|'). 
2. Do not include the values in your output.
3. Do not include any conversational text, introductory remarks, or markdown formatting blocks.
4. The number of labels in your output must exactly match the number of value"&amp;"s provided in the input.
---
### FEW-SHOT EXAMPLES
#### Example 1 (Standard Neon Strip)
Input: 1.2W | SYM30° | 3000K | IP67 | IK10
Output: Power|Optics|Color Temperature|IP Rating|Impact Strength
Input: 7W | Warm White | 12V/24V | AC/DC | IP67 | Black"&amp;"
Output: Power | Light Color | Current Type | IP Rating | Finish
---
### YOUR TASK
Generate output for the values text ""&amp;M2)"),"Power Consumption Rate | Color Temperature | Voltage | IP Rating | Dimension | Length | Finish")</f>
        <v>Power Consumption Rate | Color Temperature | Voltage | IP Rating | Dimension | Length | Finish</v>
      </c>
      <c r="O2" s="13" t="s">
        <v>39</v>
      </c>
      <c r="P2" s="12"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""&amp;O2&amp;"", Values: ""&amp;M2&amp; "" and SKU Code: ""&amp;L2"&amp;")"),"{
""Power Consumption Rate"": ""10W/m"",
""Color Temperature"": ""2700K"",
""Voltage"": ""24V"",
""IP Rating"": ""IP65"",
""Dimension"": ""10mm (W) x 10mm (H)"",
""Length"": ""5,000mm (L)"",
""Finish"": ""Black"",
""SKU"": ""TV1010-10W-2.7K-IP65-Black""
}")</f>
        <v>{
"Power Consumption Rate": "10W/m",
"Color Temperature": "2700K",
"Voltage": "24V",
"IP Rating": "IP65",
"Dimension": "10mm (W) x 10mm (H)",
"Length": "5,000mm (L)",
"Finish": "Black",
"SKU": "TV1010-10W-2.7K-IP65-Black"
}</v>
      </c>
      <c r="Q2" s="13" t="s">
        <v>40</v>
      </c>
      <c r="R2" s="14"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Q2:Q5)"),"{ ""Power Consumption Rate"": ""10W/m"", ""Color Temperature"": [ ""2700K"", ""3000K"", ""4000K"", ""6000K"" ], ""Voltage"": ""24V"", ""IP Rating"": ""IP65"", ""Dimension"": ""10mm (W) x 10mm (H)"", ""Length"": ""5,000mm (L)"", ""Finish"": ""Black"", ""SK"&amp;"U"": [ ""TV1010-10W-2.7K-IP65-Black"", ""TV1010-10W-3K-IP65-Black"", ""TV1010-10W-4K-IP65-Black"", ""TV1010-10W-6K-IP65-Black"" ] }")</f>
        <v>{ "Power Consumption Rate": "10W/m", "Color Temperature": [ "2700K", "3000K", "4000K", "6000K" ], "Voltage": "24V", "IP Rating": "IP65", "Dimension": "10mm (W) x 10mm (H)", "Length": "5,000mm (L)", "Finish": "Black", "SKU": [ "TV1010-10W-2.7K-IP65-Black", "TV1010-10W-3K-IP65-Black", "TV1010-10W-4K-IP65-Black", "TV1010-10W-6K-IP65-Black" ] }</v>
      </c>
      <c r="S2" s="14" t="s">
        <v>41</v>
      </c>
      <c r="T2" s="14"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and """"Constraints"""" JSON:"", Q2:Q5)"),"{ ""Options"": { ""Power Consumption Rate"": [ {""name"": ""10W/m"", ""id"": ""101""} ], ""Color Temperature"": [ {""name"": ""2700K"", ""id"": ""102""}, {""name"": ""3000K"", ""id"": ""103""}, {""name"": ""4000K"", ""id"": ""104""}, {""name"": ""6000K"","&amp;" ""id"": ""105""} ], ""Voltage"": [ {""name"": ""24V"", ""id"": ""106""} ], ""IP Rating"": [ {""name"": ""IP65"", ""id"": ""107""} ], ""Dimension"": [ {""name"": ""10mm (W) x 10mm (H)"", ""id"": ""108""} ], ""Length"": [ {""name"": ""5,000mm (L)"", ""id"""&amp;": ""109""} ], ""Finish"": [ {""name"": ""Black"", ""id"": ""110""} ] }, ""Constraints"": {}, ""sku_mappings"": [ { ""sku"": ""TV1010-10W-2.7K-IP65-Black"", ""combination"": [""101"", ""102"", ""106"", ""107"", ""108"", ""109"", ""110""] }, { ""sku"": ""TV"&amp;"1010-10W-3K-IP65-Black"", ""combination"": [""101"", ""103"", ""106"", ""107"", ""108"", ""109"", ""110""] }, { ""sku"": ""TV1010-10W-4K-IP65-Black"", ""combination"": [""101"", ""104"", ""106"", ""107"", ""108"", ""109"", ""110""] }, { ""sku"": ""TV1010-"&amp;"10W-6K-IP65-Black"", ""combination"": [""101"", ""105"", ""106"", ""107"", ""108"", ""109"", ""110""] } ] }")</f>
        <v>{ "Options": { "Power Consumption Rate": [ {"name": "10W/m", "id": "101"} ], "Color Temperature": [ {"name": "2700K", "id": "102"}, {"name": "3000K", "id": "103"}, {"name": "4000K", "id": "104"}, {"name": "6000K", "id": "105"} ], "Voltage": [ {"name": "24V", "id": "106"} ], "IP Rating": [ {"name": "IP65", "id": "107"} ], "Dimension": [ {"name": "10mm (W) x 10mm (H)", "id": "108"} ], "Length": [ {"name": "5,000mm (L)", "id": "109"} ], "Finish": [ {"name": "Black", "id": "110"} ] }, "Constraints": {}, "sku_mappings": [ { "sku": "TV1010-10W-2.7K-IP65-Black", "combination": ["101", "102", "106", "107", "108", "109", "110"] }, { "sku": "TV1010-10W-3K-IP65-Black", "combination": ["101", "103", "106", "107", "108", "109", "110"] }, { "sku": "TV1010-10W-4K-IP65-Black", "combination": ["101", "104", "106", "107", "108", "109", "110"] }, { "sku": "TV1010-10W-6K-IP65-Black", "combination": ["101", "105", "106", "107", "108", "109", "110"] } ] }</v>
      </c>
      <c r="U2" s="15" t="s">
        <v>42</v>
      </c>
      <c r="V2" s="16" t="str">
        <f>IFERROR(__xludf.DUMMYFUNCTION("AI(""Extract options object from the json"", U2)"),"{""Power Consumption Rate"": [{""name"": ""10W/m"", ""id"": ""101""}], ""Color Temperature"": [{""name"": ""2700K"", ""id"": ""102""}, {""name"": ""3000K"", ""id"": ""103""}, {""name"": ""4000K"", ""id"": ""104""}, {""name"": ""6000K"", ""id"": ""105""}],"&amp;" ""Voltage"": [{""name"": ""24V"", ""id"": ""106""}], ""IP Rating"": [{""name"": ""IP65"", ""id"": ""107""}], ""Dimension"": [{""name"": ""10mm (W) x 10mm (H)"", ""id"": ""108""}], ""Length"": [{""name"": ""5,000mm (L)"", ""id"": ""109""}], ""Finish"": [{"&amp;"""name"": ""Black"", ""id"": ""110""}]}")</f>
        <v>{"Power Consumption Rate": [{"name": "10W/m", "id": "101"}], "Color Temperature": [{"name": "2700K", "id": "102"}, {"name": "3000K", "id": "103"}, {"name": "4000K", "id": "104"}, {"name": "6000K", "id": "105"}], "Voltage": [{"name": "24V", "id": "106"}], "IP Rating": [{"name": "IP65", "id": "107"}], "Dimension": [{"name": "10mm (W) x 10mm (H)", "id": "108"}], "Length": [{"name": "5,000mm (L)", "id": "109"}], "Finish": [{"name": "Black", "id": "110"}]}</v>
      </c>
      <c r="W2" s="16" t="str">
        <f>IFERROR(__xludf.DUMMYFUNCTION("AI(""Extract constraints object from the json"", U2)"),"{}")</f>
        <v>{}</v>
      </c>
      <c r="X2" s="16" t="str">
        <f>IFERROR(__xludf.DUMMYFUNCTION("AI(""Extract sku_mappings object from the json"", U2)"),"[{""sku"": ""TV1010-10W-2.7K-IP65-Black"", ""combination"": [""101"", ""102"", ""106"", ""107"", ""108"", ""109"", ""110""]}, {""sku"": ""TV1010-10W-3K-IP65-Black"", ""combination"": [""101"", ""103"", ""106"", ""107"", ""108"", ""109"", ""110""]}, {""sku"&amp;""": ""TV1010-10W-4K-IP65-Black"", ""combination"": [""101"", ""104"", ""106"", ""107"", ""108"", ""109"", ""110""]}, {""sku"": ""TV1010-10W-6K-IP65-Black"", ""combination"": [""101"", ""105"", ""106"", ""107"", ""108"", ""109"", ""110""]}]")</f>
        <v>[{"sku": "TV1010-10W-2.7K-IP65-Black", "combination": ["101", "102", "106", "107", "108", "109", "110"]}, {"sku": "TV1010-10W-3K-IP65-Black", "combination": ["101", "103", "106", "107", "108", "109", "110"]}, {"sku": "TV1010-10W-4K-IP65-Black", "combination": ["101", "104", "106", "107", "108", "109", "110"]}, {"sku": "TV1010-10W-6K-IP65-Black", "combination": ["101", "105", "106", "107", "108", "109", "110"]}]</v>
      </c>
      <c r="Y2" s="17" t="s">
        <v>43</v>
      </c>
      <c r="Z2" s="17" t="s">
        <v>44</v>
      </c>
      <c r="AA2" s="18" t="s">
        <v>45</v>
      </c>
      <c r="AB2" s="19"/>
      <c r="AC2" s="19" t="str">
        <f>IFERROR(__xludf.DUMMYFUNCTION("AI(""Generate 6 powerful unique keywords for the product in this row"")"),"Top bend LED neon, IP65 linear light, 2700K warm white neon, Flexible architectural lighting, Black silicone LED strip, 24V linear flex")</f>
        <v>Top bend LED neon, IP65 linear light, 2700K warm white neon, Flexible architectural lighting, Black silicone LED strip, 24V linear flex</v>
      </c>
      <c r="AD2" s="20" t="s">
        <v>46</v>
      </c>
    </row>
    <row r="3">
      <c r="A3" s="7"/>
      <c r="B3" s="19"/>
      <c r="C3" s="19"/>
      <c r="D3" s="19"/>
      <c r="E3" s="19"/>
      <c r="F3" s="19"/>
      <c r="G3" s="19"/>
      <c r="H3" s="19"/>
      <c r="I3" s="19"/>
      <c r="J3" s="19"/>
      <c r="K3" s="19"/>
      <c r="L3" s="11" t="s">
        <v>47</v>
      </c>
      <c r="M3" s="11" t="s">
        <v>48</v>
      </c>
      <c r="N3" s="12"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mentio"&amp;"ned above separated by pipes ('|'). 
2. Do not include the values in your output.
3. Do not include any conversational text, introductory remarks, or markdown formatting blocks.
4. The number of labels in your output must exactly match the number of value"&amp;"s provided in the input.
---
### FEW-SHOT EXAMPLES
#### Example 1 (Standard Neon Strip)
Input: 1.2W | SYM30° | 3000K | IP67 | IK10
Output: Power|Optics|Color Temperature|IP Rating|Impact Strength
Input: 7W | Warm White | 12V/24V | AC/DC | IP67 | Black"&amp;"
Output: Power | Light Color | Current Type | IP Rating | Finish
---
### YOUR TASK
Generate output for the values text ""&amp;M3)"),"Power Consumption Rate | Color Temperature | Voltage | IP Rating | Dimension | Length | Finish")</f>
        <v>Power Consumption Rate | Color Temperature | Voltage | IP Rating | Dimension | Length | Finish</v>
      </c>
      <c r="O3" s="21" t="s">
        <v>39</v>
      </c>
      <c r="P3" s="12"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""&amp;O3&amp;"", Values: ""&amp;M3&amp; "" and SKU Code: ""&amp;L3"&amp;")"),"{
""Power Consumption Rate"": ""10W/m"",
""Color Temperature"": ""3000K"",
""Voltage"": ""24V"",
""IP Rating"": ""IP65"",
""Dimension"": ""10mm (W) x 10mm (H)"",
""Length"": ""5,000mm (L)"",
""Finish"": ""Black"",
""SKU"": ""TV1010-10W-3K-IP65-Black""
}")</f>
        <v>{
"Power Consumption Rate": "10W/m",
"Color Temperature": "3000K",
"Voltage": "24V",
"IP Rating": "IP65",
"Dimension": "10mm (W) x 10mm (H)",
"Length": "5,000mm (L)",
"Finish": "Black",
"SKU": "TV1010-10W-3K-IP65-Black"
}</v>
      </c>
      <c r="Q3" s="21" t="s">
        <v>49</v>
      </c>
      <c r="R3" s="19"/>
      <c r="S3" s="19"/>
      <c r="T3" s="19"/>
      <c r="U3" s="19"/>
      <c r="V3" s="19"/>
      <c r="W3" s="19"/>
      <c r="X3" s="19"/>
      <c r="Y3" s="7" t="s">
        <v>43</v>
      </c>
      <c r="Z3" s="17" t="s">
        <v>50</v>
      </c>
      <c r="AA3" s="18" t="s">
        <v>45</v>
      </c>
      <c r="AB3" s="19"/>
      <c r="AC3" s="19"/>
      <c r="AD3" s="20"/>
    </row>
    <row r="4">
      <c r="A4" s="7"/>
      <c r="B4" s="19"/>
      <c r="C4" s="19"/>
      <c r="D4" s="19"/>
      <c r="E4" s="19"/>
      <c r="F4" s="19"/>
      <c r="G4" s="19"/>
      <c r="H4" s="19"/>
      <c r="I4" s="19"/>
      <c r="J4" s="19"/>
      <c r="K4" s="19"/>
      <c r="L4" s="11" t="s">
        <v>51</v>
      </c>
      <c r="M4" s="11" t="s">
        <v>52</v>
      </c>
      <c r="N4" s="12"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mentio"&amp;"ned above separated by pipes ('|'). 
2. Do not include the values in your output.
3. Do not include any conversational text, introductory remarks, or markdown formatting blocks.
4. The number of labels in your output must exactly match the number of value"&amp;"s provided in the input.
---
### FEW-SHOT EXAMPLES
#### Example 1 (Standard Neon Strip)
Input: 1.2W | SYM30° | 3000K | IP67 | IK10
Output: Power|Optics|Color Temperature|IP Rating|Impact Strength
Input: 7W | Warm White | 12V/24V | AC/DC | IP67 | Black"&amp;"
Output: Power | Light Color | Current Type | IP Rating | Finish
---
### YOUR TASK
Generate output for the values text ""&amp;M4)"),"Power Consumption Rate | Color Temperature | Voltage | IP Rating | Dimension | Length | Finish")</f>
        <v>Power Consumption Rate | Color Temperature | Voltage | IP Rating | Dimension | Length | Finish</v>
      </c>
      <c r="O4" s="21" t="s">
        <v>39</v>
      </c>
      <c r="P4" s="12"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""&amp;O4&amp;"", Values: ""&amp;M4&amp; "" and SKU Code: ""&amp;L4"&amp;")"),"{
""Power Consumption Rate"": ""10W/m"",
""Color Temperature"": ""4000K"",
""Voltage"": ""24V"",
""IP Rating"": ""IP65"",
""Dimension"": ""10mm (W) x 10mm (H)"",
""Length"": ""5,000mm (L)"",
""Finish"": ""Black"",
""SKU"": ""TV1010-10W-4K-IP65-Black""
}")</f>
        <v>{
"Power Consumption Rate": "10W/m",
"Color Temperature": "4000K",
"Voltage": "24V",
"IP Rating": "IP65",
"Dimension": "10mm (W) x 10mm (H)",
"Length": "5,000mm (L)",
"Finish": "Black",
"SKU": "TV1010-10W-4K-IP65-Black"
}</v>
      </c>
      <c r="Q4" s="21" t="s">
        <v>53</v>
      </c>
      <c r="R4" s="19"/>
      <c r="S4" s="19"/>
      <c r="T4" s="19"/>
      <c r="U4" s="19"/>
      <c r="V4" s="19"/>
      <c r="W4" s="19"/>
      <c r="X4" s="19"/>
      <c r="Y4" s="7" t="s">
        <v>43</v>
      </c>
      <c r="Z4" s="17" t="s">
        <v>54</v>
      </c>
      <c r="AA4" s="18" t="s">
        <v>45</v>
      </c>
      <c r="AB4" s="19"/>
      <c r="AC4" s="19"/>
      <c r="AD4" s="20"/>
    </row>
    <row r="5">
      <c r="A5" s="7"/>
      <c r="B5" s="19"/>
      <c r="C5" s="19"/>
      <c r="D5" s="19"/>
      <c r="E5" s="19"/>
      <c r="F5" s="19"/>
      <c r="G5" s="19"/>
      <c r="H5" s="19"/>
      <c r="I5" s="19"/>
      <c r="J5" s="19"/>
      <c r="K5" s="19"/>
      <c r="L5" s="11" t="s">
        <v>55</v>
      </c>
      <c r="M5" s="11" t="s">
        <v>56</v>
      </c>
      <c r="N5" s="12"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RGB+TW (2700K-6500K), 2700K-4000K, 2300K-4000K)
- Voltage (Example "&amp;"20V, 12V/24V)
- Current Type (Example AC/DC)
- IP Rating (Example IP67, IP68, IP20)
- Impact Strength (Example IK10, IK10 with Neon-AluProfile-1617)
- Optics (Example SYS30°)
- Finish (Example Black, Silver)
- Channel Configuration (Example Singel-Sided, "&amp;"Double-Sided, Bendable Single-Sided, Bendable Double-Sided)
- Dimension (Example 53mm (W) x 14mm (H), 480mm (L) x 240mm (W))
- Length (Example Max 11,000mm (L), 5,000mm (L))
- Strip Width (Example 8mm, 12mm)
- Power Consumption Rate (Example 8W/m, 5W/m)
-"&amp;" Profile Length (Example 1,000mm)
- AC Phase-Cut (Example Triac)
- Current Sinking (Example 0-10V)
- Current Sourcing (Example 1-10V)
- Duty Cycle (Example PWM)
- Variable Resistance (Example Potentiometer)
- Pixel (Example 12 Pixels/m)
- Control Protocol"&amp;" (Example DMX, SPI)
- Cut Interval (Example Free Cut)
- Glare Control (Example Honeycomb Anti Glare Louvre)
- Beam Angle (Example 30°, 36°, 360°)
- View (Example Top View, Side View)
### STRICT OUTPUT RULES
1. Output ONLY the corresponding labels mentio"&amp;"ned above separated by pipes ('|'). 
2. Do not include the values in your output.
3. Do not include any conversational text, introductory remarks, or markdown formatting blocks.
4. The number of labels in your output must exactly match the number of value"&amp;"s provided in the input.
---
### FEW-SHOT EXAMPLES
#### Example 1 (Standard Neon Strip)
Input: 1.2W | SYM30° | 3000K | IP67 | IK10
Output: Power|Optics|Color Temperature|IP Rating|Impact Strength
Input: 7W | Warm White | 12V/24V | AC/DC | IP67 | Black"&amp;"
Output: Power | Light Color | Current Type | IP Rating | Finish
---
### YOUR TASK
Generate output for the values text ""&amp;M5)"),"Power Consumption Rate | Color Temperature | Voltage | IP Rating | Dimension | Length | Finish")</f>
        <v>Power Consumption Rate | Color Temperature | Voltage | IP Rating | Dimension | Length | Finish</v>
      </c>
      <c r="O5" s="21" t="s">
        <v>39</v>
      </c>
      <c r="P5" s="12"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""&amp;O5&amp;"", Values: ""&amp;M5&amp; "" and SKU Code: ""&amp;L5"&amp;")"),"{
""Power Consumption Rate"": ""10W/m"",
""Color Temperature"": ""6000K"",
""Voltage"": ""24V"",
""IP Rating"": ""IP65"",
""Dimension"": ""10mm (W) x 10mm (H)"",
""Length"": ""5,000mm (L)"",
""Finish"": ""Black"",
""SKU"": ""TV1010-10W-6K-IP65-Black""
}")</f>
        <v>{
"Power Consumption Rate": "10W/m",
"Color Temperature": "6000K",
"Voltage": "24V",
"IP Rating": "IP65",
"Dimension": "10mm (W) x 10mm (H)",
"Length": "5,000mm (L)",
"Finish": "Black",
"SKU": "TV1010-10W-6K-IP65-Black"
}</v>
      </c>
      <c r="Q5" s="21" t="s">
        <v>57</v>
      </c>
      <c r="R5" s="19"/>
      <c r="S5" s="19"/>
      <c r="T5" s="19"/>
      <c r="U5" s="19"/>
      <c r="V5" s="19"/>
      <c r="W5" s="19"/>
      <c r="X5" s="19"/>
      <c r="Y5" s="7" t="s">
        <v>43</v>
      </c>
      <c r="Z5" s="17" t="s">
        <v>58</v>
      </c>
      <c r="AA5" s="18" t="s">
        <v>45</v>
      </c>
      <c r="AB5" s="19"/>
      <c r="AC5" s="19"/>
      <c r="AD5" s="20"/>
    </row>
    <row r="6">
      <c r="A6" s="19"/>
      <c r="B6" s="19"/>
      <c r="C6" s="19"/>
      <c r="D6" s="19"/>
      <c r="E6" s="19"/>
      <c r="F6" s="19"/>
      <c r="G6" s="19"/>
      <c r="H6" s="19"/>
      <c r="I6" s="19"/>
      <c r="J6" s="19"/>
      <c r="K6" s="19"/>
      <c r="L6" s="19"/>
      <c r="M6" s="19"/>
      <c r="N6" s="19"/>
      <c r="O6" s="19"/>
      <c r="P6" s="19"/>
      <c r="Q6" s="19"/>
      <c r="R6" s="19"/>
      <c r="S6" s="19"/>
      <c r="T6" s="19"/>
      <c r="U6" s="19"/>
      <c r="V6" s="19"/>
      <c r="W6" s="19"/>
      <c r="X6" s="19"/>
      <c r="Y6" s="19"/>
      <c r="Z6" s="17"/>
      <c r="AA6" s="19"/>
      <c r="AB6" s="19"/>
      <c r="AC6" s="19"/>
      <c r="AD6" s="20"/>
    </row>
    <row r="7">
      <c r="A7" s="19"/>
      <c r="B7" s="19"/>
      <c r="C7" s="19"/>
      <c r="D7" s="19"/>
      <c r="E7" s="19"/>
      <c r="F7" s="19"/>
      <c r="G7" s="19"/>
      <c r="H7" s="19"/>
      <c r="I7" s="19"/>
      <c r="J7" s="19"/>
      <c r="K7" s="19"/>
      <c r="L7" s="19"/>
      <c r="M7" s="19"/>
      <c r="N7" s="19"/>
      <c r="O7" s="19"/>
      <c r="P7" s="19"/>
      <c r="Q7" s="19"/>
      <c r="R7" s="19"/>
      <c r="S7" s="19"/>
      <c r="T7" s="19"/>
      <c r="U7" s="19"/>
      <c r="V7" s="19"/>
      <c r="W7" s="19"/>
      <c r="X7" s="19"/>
      <c r="Y7" s="19"/>
      <c r="Z7" s="7"/>
      <c r="AA7" s="19"/>
      <c r="AB7" s="19"/>
      <c r="AC7" s="19"/>
      <c r="AD7" s="20"/>
    </row>
    <row r="8">
      <c r="A8" s="19"/>
      <c r="B8" s="19"/>
      <c r="C8" s="19"/>
      <c r="D8" s="19"/>
      <c r="E8" s="19"/>
      <c r="F8" s="19"/>
      <c r="G8" s="19"/>
      <c r="H8" s="19"/>
      <c r="I8" s="19"/>
      <c r="J8" s="19"/>
      <c r="K8" s="19"/>
      <c r="L8" s="19"/>
      <c r="M8" s="19"/>
      <c r="N8" s="19"/>
      <c r="O8" s="19"/>
      <c r="P8" s="19"/>
      <c r="Q8" s="19"/>
      <c r="R8" s="19"/>
      <c r="S8" s="19"/>
      <c r="T8" s="19"/>
      <c r="U8" s="19"/>
      <c r="V8" s="19"/>
      <c r="W8" s="19"/>
      <c r="X8" s="19"/>
      <c r="Y8" s="19"/>
      <c r="Z8" s="7"/>
      <c r="AA8" s="19"/>
      <c r="AB8" s="19"/>
      <c r="AC8" s="19"/>
      <c r="AD8" s="20"/>
    </row>
    <row r="9">
      <c r="A9" s="19"/>
      <c r="B9" s="19"/>
      <c r="C9" s="19"/>
      <c r="D9" s="19"/>
      <c r="E9" s="19"/>
      <c r="F9" s="19"/>
      <c r="G9" s="19"/>
      <c r="H9" s="19"/>
      <c r="I9" s="19"/>
      <c r="J9" s="19"/>
      <c r="K9" s="19"/>
      <c r="L9" s="19"/>
      <c r="M9" s="19"/>
      <c r="N9" s="19"/>
      <c r="O9" s="19"/>
      <c r="P9" s="19"/>
      <c r="Q9" s="19"/>
      <c r="R9" s="19"/>
      <c r="S9" s="19"/>
      <c r="T9" s="19"/>
      <c r="U9" s="19"/>
      <c r="V9" s="19"/>
      <c r="W9" s="19"/>
      <c r="X9" s="19"/>
      <c r="Y9" s="19"/>
      <c r="Z9" s="7"/>
      <c r="AA9" s="19"/>
      <c r="AB9" s="19"/>
      <c r="AC9" s="19"/>
      <c r="AD9" s="20"/>
    </row>
    <row r="10">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20"/>
    </row>
    <row r="11">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20"/>
    </row>
    <row r="12">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20"/>
    </row>
    <row r="13">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20"/>
    </row>
    <row r="14">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20"/>
    </row>
    <row r="1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20"/>
    </row>
    <row r="16">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20"/>
    </row>
    <row r="17">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20"/>
    </row>
    <row r="18">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20"/>
    </row>
    <row r="19">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20"/>
    </row>
    <row r="20">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20"/>
    </row>
    <row r="2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20"/>
    </row>
    <row r="22">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20"/>
    </row>
    <row r="2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20"/>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20"/>
    </row>
    <row r="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20"/>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20"/>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20"/>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20"/>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20"/>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20"/>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20"/>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20"/>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20"/>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20"/>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20"/>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20"/>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20"/>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20"/>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20"/>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20"/>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20"/>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20"/>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20"/>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20"/>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20"/>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20"/>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20"/>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20"/>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20"/>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20"/>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20"/>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20"/>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20"/>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20"/>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20"/>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20"/>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20"/>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20"/>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20"/>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20"/>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20"/>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20"/>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20"/>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20"/>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20"/>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20"/>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20"/>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20"/>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20"/>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20"/>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20"/>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20"/>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20"/>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20"/>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20"/>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20"/>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20"/>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20"/>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20"/>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20"/>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20"/>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20"/>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20"/>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20"/>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20"/>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20"/>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20"/>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20"/>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20"/>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20"/>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20"/>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20"/>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20"/>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20"/>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20"/>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20"/>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20"/>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20"/>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20"/>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20"/>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20"/>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20"/>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20"/>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20"/>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20"/>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20"/>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20"/>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20"/>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20"/>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20"/>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20"/>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20"/>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20"/>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20"/>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20"/>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20"/>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20"/>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20"/>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20"/>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20"/>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20"/>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20"/>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20"/>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20"/>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20"/>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20"/>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20"/>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20"/>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20"/>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20"/>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20"/>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20"/>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20"/>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20"/>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20"/>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20"/>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20"/>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20"/>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20"/>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20"/>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20"/>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20"/>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20"/>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20"/>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20"/>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20"/>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20"/>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20"/>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20"/>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20"/>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20"/>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20"/>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20"/>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20"/>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20"/>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20"/>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20"/>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20"/>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20"/>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20"/>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20"/>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20"/>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20"/>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20"/>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20"/>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20"/>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20"/>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20"/>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20"/>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20"/>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20"/>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20"/>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20"/>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20"/>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20"/>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20"/>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20"/>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20"/>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20"/>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20"/>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20"/>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20"/>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20"/>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20"/>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20"/>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20"/>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20"/>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20"/>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20"/>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20"/>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20"/>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20"/>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20"/>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20"/>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20"/>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20"/>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20"/>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20"/>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20"/>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20"/>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20"/>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20"/>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20"/>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20"/>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20"/>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20"/>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20"/>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20"/>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20"/>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20"/>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20"/>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20"/>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20"/>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20"/>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20"/>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20"/>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20"/>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20"/>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20"/>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20"/>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20"/>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20"/>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20"/>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20"/>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20"/>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20"/>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20"/>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20"/>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20"/>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20"/>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20"/>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20"/>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20"/>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20"/>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20"/>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20"/>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20"/>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20"/>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20"/>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20"/>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20"/>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20"/>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20"/>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20"/>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20"/>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20"/>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20"/>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20"/>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20"/>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20"/>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20"/>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20"/>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20"/>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20"/>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20"/>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20"/>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20"/>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20"/>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20"/>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20"/>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20"/>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20"/>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20"/>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20"/>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20"/>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20"/>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20"/>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20"/>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20"/>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20"/>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20"/>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20"/>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20"/>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20"/>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20"/>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20"/>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20"/>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20"/>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20"/>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20"/>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20"/>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20"/>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20"/>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20"/>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20"/>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20"/>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20"/>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20"/>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20"/>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20"/>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20"/>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20"/>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20"/>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20"/>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20"/>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20"/>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20"/>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20"/>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20"/>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20"/>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20"/>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20"/>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20"/>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20"/>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20"/>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20"/>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20"/>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20"/>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20"/>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20"/>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20"/>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20"/>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20"/>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20"/>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20"/>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20"/>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20"/>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20"/>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20"/>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20"/>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20"/>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20"/>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20"/>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20"/>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20"/>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20"/>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20"/>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20"/>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20"/>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20"/>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20"/>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20"/>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20"/>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20"/>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20"/>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20"/>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20"/>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20"/>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20"/>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20"/>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20"/>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20"/>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20"/>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20"/>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20"/>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20"/>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20"/>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20"/>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20"/>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20"/>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20"/>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20"/>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20"/>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20"/>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20"/>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20"/>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20"/>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20"/>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20"/>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20"/>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20"/>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20"/>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20"/>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20"/>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20"/>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20"/>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20"/>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20"/>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20"/>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20"/>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20"/>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20"/>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20"/>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20"/>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20"/>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20"/>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20"/>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20"/>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20"/>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20"/>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20"/>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20"/>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20"/>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20"/>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20"/>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20"/>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20"/>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20"/>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20"/>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20"/>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20"/>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20"/>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20"/>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20"/>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20"/>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20"/>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20"/>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20"/>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20"/>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20"/>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20"/>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20"/>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20"/>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20"/>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20"/>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20"/>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20"/>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20"/>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20"/>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20"/>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20"/>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20"/>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20"/>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20"/>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20"/>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20"/>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20"/>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20"/>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20"/>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20"/>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20"/>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20"/>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20"/>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20"/>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20"/>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20"/>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20"/>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20"/>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20"/>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20"/>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20"/>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20"/>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20"/>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20"/>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20"/>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20"/>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20"/>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20"/>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20"/>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20"/>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20"/>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20"/>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20"/>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20"/>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20"/>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20"/>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20"/>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20"/>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20"/>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20"/>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20"/>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20"/>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20"/>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20"/>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20"/>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20"/>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20"/>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20"/>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20"/>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20"/>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20"/>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20"/>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20"/>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20"/>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20"/>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20"/>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20"/>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20"/>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20"/>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20"/>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20"/>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20"/>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20"/>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20"/>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20"/>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20"/>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20"/>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20"/>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20"/>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20"/>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20"/>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20"/>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20"/>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20"/>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20"/>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20"/>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20"/>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20"/>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20"/>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20"/>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20"/>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20"/>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20"/>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20"/>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20"/>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20"/>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20"/>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20"/>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20"/>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20"/>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20"/>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20"/>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20"/>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20"/>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20"/>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20"/>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20"/>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20"/>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20"/>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20"/>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20"/>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20"/>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20"/>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20"/>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20"/>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20"/>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20"/>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20"/>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20"/>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20"/>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20"/>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20"/>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20"/>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20"/>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20"/>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20"/>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20"/>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20"/>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20"/>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20"/>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20"/>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20"/>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20"/>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20"/>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20"/>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20"/>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20"/>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20"/>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20"/>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20"/>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20"/>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20"/>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20"/>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20"/>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20"/>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20"/>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20"/>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20"/>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20"/>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20"/>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20"/>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20"/>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20"/>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20"/>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20"/>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20"/>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20"/>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20"/>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20"/>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20"/>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20"/>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20"/>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20"/>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20"/>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20"/>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20"/>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20"/>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20"/>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20"/>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20"/>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20"/>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20"/>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20"/>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20"/>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20"/>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20"/>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20"/>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20"/>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20"/>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20"/>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20"/>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20"/>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20"/>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20"/>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20"/>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20"/>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20"/>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20"/>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20"/>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20"/>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20"/>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20"/>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20"/>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20"/>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20"/>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20"/>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20"/>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20"/>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20"/>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20"/>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20"/>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20"/>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20"/>
    </row>
  </sheetData>
  <drawing r:id="rId1"/>
  <tableParts count="1">
    <tablePart r:id="rId3"/>
  </tableParts>
</worksheet>
</file>