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DLuz Accessories" sheetId="1" r:id="rId5"/>
  </sheets>
  <definedNames/>
  <calcPr/>
</workbook>
</file>

<file path=xl/sharedStrings.xml><?xml version="1.0" encoding="utf-8"?>
<sst xmlns="http://schemas.openxmlformats.org/spreadsheetml/2006/main" count="318" uniqueCount="190">
  <si>
    <t>Product Code</t>
  </si>
  <si>
    <t>Name</t>
  </si>
  <si>
    <t>Product type</t>
  </si>
  <si>
    <t>Categories</t>
  </si>
  <si>
    <t>Status</t>
  </si>
  <si>
    <t>AI Product description</t>
  </si>
  <si>
    <t>Product description</t>
  </si>
  <si>
    <t>AI Product short description</t>
  </si>
  <si>
    <t>Product short description</t>
  </si>
  <si>
    <t>Product image</t>
  </si>
  <si>
    <t>Product gallery</t>
  </si>
  <si>
    <t>Specification</t>
  </si>
  <si>
    <t>AI Labels</t>
  </si>
  <si>
    <t>Labels</t>
  </si>
  <si>
    <t>AI Features</t>
  </si>
  <si>
    <t>Features</t>
  </si>
  <si>
    <t>AI Attributes</t>
  </si>
  <si>
    <t>Attributes</t>
  </si>
  <si>
    <t xml:space="preserve">AI Options and Constraints </t>
  </si>
  <si>
    <t>Options and Constraints</t>
  </si>
  <si>
    <t>Options</t>
  </si>
  <si>
    <t>Constraints</t>
  </si>
  <si>
    <t>Supplier Name</t>
  </si>
  <si>
    <t>Supplier Code</t>
  </si>
  <si>
    <t>Datasheet</t>
  </si>
  <si>
    <t>Stocked Item</t>
  </si>
  <si>
    <t>AI Meta Keywords</t>
  </si>
  <si>
    <t>Meta Keywords</t>
  </si>
  <si>
    <t>PR021-LC-BLK-DN</t>
  </si>
  <si>
    <t>L-Connector (Corner)</t>
  </si>
  <si>
    <t>simple</t>
  </si>
  <si>
    <t>Accessories</t>
  </si>
  <si>
    <t>draft</t>
  </si>
  <si>
    <t>Elevate your architectural lighting design with the sleek and stylish L-Connector in versatile black. Engineered to create seamless, continuous lines of light, this essential accessory allows you to effortlessly navigate angles and transform any space with a modern, sophisticated aesthetic. Perfectly blending form and function, it adds dynamic visual interest and a polished, high-end finish to your custom lighting installation.</t>
  </si>
  <si>
    <t>Elevate your lighting design with our stylish L-Connector in sleek black. Effortlessly navigate angles and create seamless, modern lines of light for a high-end finish.</t>
  </si>
  <si>
    <t>Black | Shining Light Down | PR127</t>
  </si>
  <si>
    <t>CHINA - LEDLUZ CO. LIMITED</t>
  </si>
  <si>
    <t>L-connector, black corner connector, LED profile accessory, downlight connector, linear lighting corner, PR127 connector</t>
  </si>
  <si>
    <t>PR021-Suspension</t>
  </si>
  <si>
    <t>Suspension Kit</t>
  </si>
  <si>
    <t>Transform your environment with the sleek PR021 Suspension Kit, designed to give your lighting fixtures an enchanting, floating presence. By suspending your illumination effortlessly, this stylish accessory adds dynamic spatial dimension and a refined, contemporary aesthetic to any interior space. Experience the perfect harmony of modern design and effortless elegance as your lighting takes center stage.</t>
  </si>
  <si>
    <t>Transform your space with this sleek Suspension Kit. Give your lighting fixtures a floating, modern presence while creating an elegant architectural aesthetic.</t>
  </si>
  <si>
    <t>PR021</t>
  </si>
  <si>
    <t>Suspension Kit, LED Hanging Hardware, Light Profile Mount, Pendant Wire Cable, Modern Suspended Lighting, Fixture Wire Mount</t>
  </si>
  <si>
    <t>PR127-180deg-Coupler</t>
  </si>
  <si>
    <t>PR0127 180-degree coupler with screws</t>
  </si>
  <si>
    <t>Effortlessly expand your lighting horizons with the PR0127 180-degree coupler, designed to create seamless, uninterrupted runs of mesmerizing illumination. This indispensable connector allows you to achieve extended lines of light with perfectly smooth transitions, enhancing the architectural beauty and sophisticated flow of any modern setting. Bring your creative vision to life with flawless continuity and clean elegance.</t>
  </si>
  <si>
    <t>Extend your light runs seamlessly with our premium 180-Degree Coupler. Create continuous, professional-grade illumination with flawless transitions and style.</t>
  </si>
  <si>
    <t>180 Degree Coupler, LED Profile Connector, Channel Joiner Screws, Linear Light Coupler, Straight Profile Connector, Seamless Strip Extension</t>
  </si>
  <si>
    <t>PR130-Endcap-White</t>
  </si>
  <si>
    <t>PR130 End Cap</t>
  </si>
  <si>
    <t>Achieve a refined and pristine architectural aesthetic with the PR130 White End Caps. Tailored to provide a clean, elegant finish to your lighting profiles, these stylish end caps ensure every detail of your installation exudes sophistication. Perfectly completing your lighting setup, they bring effortless modern charm and a polished look to any high-end interior.</t>
  </si>
  <si>
    <t>Deliver a flawless, professional finish with our premium White End Caps. Add a sleek, refined touch that effortlessly completes your modern lighting setup.</t>
  </si>
  <si>
    <t>With &amp; Without Holes |  White</t>
  </si>
  <si>
    <t>PR130 End Cap, White Profile Caps, LED Channel End Cap, Profile Finishing Caps, White Aluminum End Covers, LED Strip Accessories</t>
  </si>
  <si>
    <t>PR133 - Endcap</t>
  </si>
  <si>
    <t>Black End cap</t>
  </si>
  <si>
    <t>Complete your custom lighting installation with the sleek elegance of our Black End Caps. Masterfully designed to provide a smooth, professional border, these end caps add a touch of dramatic modern sophistication to your spaces. Enhance the clean lines of your linear lighting while delivering a beautifully finished appearance that captivates and inspires.</t>
  </si>
  <si>
    <t>Complete your custom lighting setup with our sleek black end caps. Add a refined, modern touch for a polished, professional finish in any space.</t>
  </si>
  <si>
    <t>Black end caps, one with hole, one without hole</t>
  </si>
  <si>
    <t>Black End Cap, LED Profile End Caps, Cable Hole End Cap, Channel Finish Cover, Black Profile Accessories, Linear Light End Cap</t>
  </si>
  <si>
    <t>PR001-EndCap-Silver</t>
  </si>
  <si>
    <t>PR001 End Cap</t>
  </si>
  <si>
    <t>Imbue your custom lighting projects with effortless sophistication using the PR001 Silver End Caps. Crafted to deliver a bright, polished accent to your linear light fixtures, these end caps add the perfect finishing touch of contemporary luxury. Transform your lighting displays into stunning architectural highlights with a clean, high-end finish.</t>
  </si>
  <si>
    <t>Achieve a flawless finish for your custom lighting project with our silver end caps. Bring elegant style and practical wire management versatility to your space.</t>
  </si>
  <si>
    <t>With &amp; Without Holes |  Silver</t>
  </si>
  <si>
    <t>PR001 end cap, silver end cap, LED profile end cap, linear light cap, channel end cap, silver lighting accessory</t>
  </si>
  <si>
    <t>PR002-MetalClips</t>
  </si>
  <si>
    <t>Meta Mounting Clips</t>
  </si>
  <si>
    <t>Effortlessly secure your architectural lighting vision with these sleek, reliable metal mounting clips. Designed for ultimate stability and seamless integration, they provide a strong, discrete anchor that lets your linear light fixtures take center stage with modern elegance and flawless precision.</t>
  </si>
  <si>
    <t>Secure your lighting setup with sleek metal mounting clips. Designed for ultimate stability, they offer hidden support and a clean, professional look for any modern space.</t>
  </si>
  <si>
    <t>PR002 &amp; PR006</t>
  </si>
  <si>
    <t>metal mounting clips, LED mounting clip, profile mounting bracket, linear light clip, PR002 clip, PR006 clip</t>
  </si>
  <si>
    <t>PR131-EndCap-White</t>
  </si>
  <si>
    <t>PR131 End Cap</t>
  </si>
  <si>
    <t>Elevate your linear LED lighting setup with these sleek white end caps. Engineered to deliver a clean, continuous aesthetic, they hide raw edges and complete your custom lighting design with refined simplicity, effortless modern elegance, and a pristine, high-end look.</t>
  </si>
  <si>
    <t>Achieve a flawless finish with sleek white end caps. Perfect for a clean, modern edge, these accessories add a refined and polished touch to your custom lighting designs.</t>
  </si>
  <si>
    <t>With &amp; Without Holes | White</t>
  </si>
  <si>
    <t>PR131 end cap, white end cap, LED channel cap, profile end cap, white lighting accessory, linear light cap</t>
  </si>
  <si>
    <t>PR002-EndCap</t>
  </si>
  <si>
    <t>PR002 End Cap</t>
  </si>
  <si>
    <t>Give your architectural lighting a pristine, flawless finish with these premium end caps. Crafted to add effortless sophistication to any space, they neatly seal off profile ends, transforming custom LED runs into sleek, cohesive architectural features with an elevated modern aesthetic.</t>
  </si>
  <si>
    <t>Complete your architectural lighting with a sleek, modern end cap. Designed to seamlessly seal profiles for a pristine, polished finish in any setting.</t>
  </si>
  <si>
    <t>With &amp; Without Holes</t>
  </si>
  <si>
    <t>PR002 end cap, profile end cap, LED channel cap, linear lighting cap, architectural light cap, channel end cover</t>
  </si>
  <si>
    <t>PR008-EndCap</t>
  </si>
  <si>
    <t>PR008 End Cap</t>
  </si>
  <si>
    <t>Achieve a refined and professional finish with our premium PR008 end caps. Designed to seamlessly cap your lighting channels, they conceal unfinished ends to deliver a sophisticated, polished look that elevates the ambiance of modern interiors with effortless style.</t>
  </si>
  <si>
    <t>Give your lighting setup a sleek, professional finish with premium end caps. Conceal wiring effortlessly for a refined and sophisticated modern aesthetic.</t>
  </si>
  <si>
    <t>PR008 end cap, profile end cap, LED channel cap, linear light cap, channel end cover, architectural profile cap</t>
  </si>
  <si>
    <t>PR008-MetalClips</t>
  </si>
  <si>
    <t>Seamlessly secure your PR008 profile setup with these premium metal mounting clips. Engineered for invisible support and perfect structural alignment, they ensure your custom linear lighting mounts easily while maintaining a sleek, uninterrupted aesthetic.</t>
  </si>
  <si>
    <t>Elevate your lighting design with durable mounting clips. Designed for seamless support, they keep your custom installations perfectly aligned and beautifully displayed.</t>
  </si>
  <si>
    <t>PR008</t>
  </si>
  <si>
    <t>PR008 mounting clip, metal profile clip, LED channel clip, mounting bracket, linear light clip, channel mounting hardware</t>
  </si>
  <si>
    <t>PR009-MetalClips</t>
  </si>
  <si>
    <t>Securely mount your PR009 LED profiles with total confidence and style. These sleek metal mounting clips offer a clean, discrete installation solution, ensuring your linear lighting remains perfectly aligned while providing a crisp, modern finish for any contemporary space.</t>
  </si>
  <si>
    <t>Secure your LED profiles with precision using premium metal mounting clips. Enjoy effortless installation and a sleek, professional finish for your lighting vision.</t>
  </si>
  <si>
    <t>PR009</t>
  </si>
  <si>
    <t>PR009 mounting clips, metal profile clips, LED strip profile mount, linear lighting accessories, PR009 LED clip, aluminum channel mounting clip</t>
  </si>
  <si>
    <t>PR008-Diffuser-3m</t>
  </si>
  <si>
    <t>PR008 Opal Diffuser</t>
  </si>
  <si>
    <t>Softly disperse light and eliminate harsh glare with the PR008 Opal Diffuser. Designed to transform raw LED output into a smooth, uniform glow, this essential lens effortlessly elevates your room's ambiance with refined elegance and serene, continuous illumination.</t>
  </si>
  <si>
    <t>Transform your space with smooth, beautifully balanced illumination. This opal diffuser softens glare to create a warm, inviting, and sophisticated atmosphere.</t>
  </si>
  <si>
    <t>3m</t>
  </si>
  <si>
    <t>PR008 opal diffuser, 3m LED diffuser lens, linear light diffuser, opal cover LED channel, LED profile diffuser 3m, anti-glare light cover</t>
  </si>
  <si>
    <t>PR027-EndCap</t>
  </si>
  <si>
    <t>PR027 End Cap</t>
  </si>
  <si>
    <t>Elevate your lighting layout with these sleek silver end caps designed for a refined, tailored appearance. Providing a clean and decorative closure to your profiles, they infuse modern elegance and metallic sophistication into every custom installation.</t>
  </si>
  <si>
    <t>Add the perfect finishing touch to your custom lighting. These premium end caps deliver a clean, modern aesthetic that effortlessly elevates any architectural design.</t>
  </si>
  <si>
    <t>With &amp; Without Holes | Silver</t>
  </si>
  <si>
    <t>PR027 end cap, silver LED profile caps, LED channel end caps, profile end caps with holes, linear lighting accessories, aluminum profile cover cap</t>
  </si>
  <si>
    <t>DIFF-PROM</t>
  </si>
  <si>
    <t>PROM Diffuser</t>
  </si>
  <si>
    <t>Elevate your interior environment with the PROM Diffuser. Skillfully engineered to soften illumination and eliminate harsh shadows, it crafts a warm, glare-free ambiance that adds a subtle, modern touch of luxury to your architectural lighting setup.</t>
  </si>
  <si>
    <t>Bask in the smooth, elegant glow of the PROM diffuser. Designed to softly disperse light, it creates a warm, inviting ambiance with a clean, modern finish.</t>
  </si>
  <si>
    <t>PROM diffuser, linear lighting diffuser, LED profile lens cover, glare-free light diffuser, architectural lighting accessory, smooth LED diffuser</t>
  </si>
  <si>
    <t>DIFF-STD</t>
  </si>
  <si>
    <t>Standard Diffuser</t>
  </si>
  <si>
    <t>Transform your space with our Standard Diffuser, crafted to deliver beautifully soft, even illumination. By gently smoothing out harsh LED points, it creates a warm, welcoming atmosphere that enhances your interior design with effortless, timeless elegance.</t>
  </si>
  <si>
    <t>Enhance your ambiance with soft, balanced illumination. This standard diffuser eliminates harsh shadows, bringing effortless elegance and refined style to your space.</t>
  </si>
  <si>
    <t>PR001/PR002/PR005/PR006/PR009 Diffuser</t>
  </si>
  <si>
    <t>standard LED diffuser, PR001 PR002 PR005 diffuser, PR006 PR009 diffuser lens, linear LED cover, light profile diffuser, LED channel lens cover</t>
  </si>
  <si>
    <t>DIFF-007</t>
  </si>
  <si>
    <t>PR007 Diffuser</t>
  </si>
  <si>
    <t>Bring seamless beauty to your room with the PR007 Diffuser. Creating a smooth, continuous ribbon of light, it softens harsh shadows and infuses your architectural lighting scheme with effortless modern sophistication and comfortable visual warmth.</t>
  </si>
  <si>
    <t>Create a smooth, continuous glow with the PR007 Diffuser. Soften harsh shadows and instantly elevate your space with a captivating, modern lighting experience.</t>
  </si>
  <si>
    <t>PR007 diffuser, LED profile diffuser, continuous light cover, linear lighting accessory, channel light lens, soft glow diffuser</t>
  </si>
  <si>
    <t>DIFF-008</t>
  </si>
  <si>
    <t>PR008 Diffuser</t>
  </si>
  <si>
    <t>Reinvent your lighting experience with the PR008 Diffuser. Designed to effortlessly soften intense light source points into a captivating, gentle glow, it ensures your linear lighting delivers an alluring, sophisticated atmosphere in any setting.</t>
  </si>
  <si>
    <t>Elevate your room with a mesmerizing, soft glow. The PR008 Diffuser eliminates harsh glare to deliver a clean, sophisticated ambiance you'll love.</t>
  </si>
  <si>
    <t>PR008 diffuser, anti-glare light cover, linear channel lens, strip light diffuser, LED profile cover, glare reduction lens</t>
  </si>
  <si>
    <t>DIFF-016</t>
  </si>
  <si>
    <t>PR016 Diffuser</t>
  </si>
  <si>
    <t>Elevate your interior lighting with the PR016 Diffuser. Turning harsh light into a smooth, enchanting radiance, it brings modern elegance and comforting warmth to your home or office, giving your linear fixtures a high-end, professionally finished feel.</t>
  </si>
  <si>
    <t>Bring modern elegance to your lighting design. The PR016 Diffuser transforms harsh light into a smooth, warm glow for a polished and inviting atmosphere.</t>
  </si>
  <si>
    <t>PR016 diffuser, architectural light cover, LED channel lens, linear fixture diffuser, frosted profile lens, smooth illumination cover</t>
  </si>
  <si>
    <t>DIFF-017</t>
  </si>
  <si>
    <t>PR017 Diffuser</t>
  </si>
  <si>
    <t>Enhance your space with the stylish PR017 Diffuser. Engineered for optimal optical comfort, it converts raw illumination into a soft, captivating glow that creates an inviting atmosphere while delivering a clean, modern aesthetic to your custom light runs.</t>
  </si>
  <si>
    <t>Enjoy mesmerizing illumination with flawless continuity. The PR017 Diffuser softens light seamlessly to provide the ultimate finishing touch for modern spaces.</t>
  </si>
  <si>
    <t>PR017 diffuser, optical light diffuser, custom LED channel cover, continuous ribbon lens, linear profile cover, soft light lens</t>
  </si>
  <si>
    <t>DIFF-018</t>
  </si>
  <si>
    <t>PR018 Diffuser</t>
  </si>
  <si>
    <t>Soften intense lighting into a smooth, ambient glow with the PR018 Diffuser. Perfectly diffusing output across the channel, it adds warmth, modern luxury, and a high-end architectural finish that enhances the visual comfort of any contemporary environment.</t>
  </si>
  <si>
    <t>Add a touch of high-end elegance with the PR018 Diffuser. It creates a smooth, ambient glow that effortlessly transforms your space into an inviting retreat.</t>
  </si>
  <si>
    <t>PR018 diffuser, ambient lighting lens, architectural profile cover, LED channel diffuser, linear extrusion cover, high-end light cover</t>
  </si>
  <si>
    <t>DIFF-021</t>
  </si>
  <si>
    <t>PR021 Diffuser</t>
  </si>
  <si>
    <t>Transform bright LED strips into a seamless, captivating line of light with the PR021 Diffuser. Adding an effortlessly elegant, professional finish to your profile runs, it ensures your lighting produces a beautifully balanced glow without distracting glare.</t>
  </si>
  <si>
    <t>Achieve a sleek linear light effect with the PR021 Diffuser. Designed to soften harsh light into a continuous glow, it brings refined beauty to any room.</t>
  </si>
  <si>
    <t>PR021 diffuser, LED profile diffuser, linear light diffuser, seamless LED cover, glare-free diffuser, LED strip lens</t>
  </si>
  <si>
    <t>DIFF-034</t>
  </si>
  <si>
    <t>PR034 Diffuser</t>
  </si>
  <si>
    <t>Elevate your lighting design with the sleek PR034 Diffuser. Designed to soften glare into a smooth, mesmerizing beam, it produces seamless lines of light that bring architectural elegance and modern luxury to custom residential or commercial spaces.</t>
  </si>
  <si>
    <t>Elevate your interior design with soft, balanced light. The PR034 Diffuser creates continuous lines of glow for a high-end, modern finish that impresses.</t>
  </si>
  <si>
    <t>PR034  Diffuser</t>
  </si>
  <si>
    <t>PR034 diffuser, architectural light diffuser, LED profile cover, linear lighting diffuser, continuous glow diffuser, sleek LED diffuser</t>
  </si>
  <si>
    <t>DIFF-115</t>
  </si>
  <si>
    <t>PR115 Diffuser</t>
  </si>
  <si>
    <t>Transform your interior spaces with the PR115 Diffuser. Creating a beautifully continuous, softened glow, it effortlessly infuses warmth and modern elegance into your custom lighting, turning functional fixtures into impressive decorative statements.</t>
  </si>
  <si>
    <t>Experience smooth, professional-grade light diffusion with the PR115. Eliminate glare and add warmth, sophistication, and elegance to your custom LED setup.</t>
  </si>
  <si>
    <t>PR115 diffuser, LED strip diffuser, professional light diffuser, custom LED cover, glare elimination lens, linear profile accessory</t>
  </si>
  <si>
    <t>DIFF-126</t>
  </si>
  <si>
    <t>PR126 Diffuser</t>
  </si>
  <si>
    <t>Upgrade your ambient lighting with the PR126 Diffuser. Crafted to deliver a soft, unbroken ribbon of light, it adds effortless elegance and modern luxury to your custom profile setup, ensuring a peaceful, glare-free environment.</t>
  </si>
  <si>
    <t>Transform ordinary lighting into a luxurious visual experience. The PR126 Diffuser softens light to deliver a smooth, sophisticated glow in any room.</t>
  </si>
  <si>
    <t>PR126 diffuser, ambient light diffuser, LED channel cover, continuous ribbon diffuser, glare-free LED cover, profile light diffuser</t>
  </si>
  <si>
    <t>DIFF-127</t>
  </si>
  <si>
    <t>PR127 Diffuser</t>
  </si>
  <si>
    <t>Elevate your linear lighting with the PR127 Diffuser. Delivering a smooth, flawless spread of light, it effortlessly introduces warm elegance and sophisticated modernity to any room, giving your architectural fixtures a clean, refined presence.</t>
  </si>
  <si>
    <t>Refine your space with a smooth, flawless glow. The PR127 Diffuser softens light to create a warm, stylish ambiance for residential and commercial settings.</t>
  </si>
  <si>
    <t>PR127 diffuser, linear lighting diffuser, architectural LED cover, smooth glow diffuser, LED profile lens, commercial light diffuser</t>
  </si>
  <si>
    <t>DIFF-130/131</t>
  </si>
  <si>
    <t>PR130/PR131 Diffuser</t>
  </si>
  <si>
    <t>Elevate your interior ambiance with the PR130/PR131 Diffuser. Expertly designed to soften harsh illumination into a smooth, continuous glow, this stylish lens transforms bright light sources into a soothing visual experience. Bring modern warmth, seamless elegance, and sophisticated architectural flair to any residential or commercial space with this essential lighting companion.</t>
  </si>
  <si>
    <t>Transform your space with the PR130/PR131 Diffuser. Soften illumination into a continuous glow that adds elegant, modern sophistication to any custom lighting setup.</t>
  </si>
  <si>
    <t>PR130 diffuser, PR131 diffuser, LED light diffuser, continuous glow lens, linear lighting lens, LED profile diffuser</t>
  </si>
  <si>
    <t>DIFF-132</t>
  </si>
  <si>
    <t>PR132 Diffuser</t>
  </si>
  <si>
    <t>Transform any atmosphere with the PR132 Diffuser. Effortlessly smoothing out bright light into a gentle, inviting radiance, this elegant diffuser adds a refined touch of modern sophistication to your lighting setup. Perfect for creating seamless visual comfort, it enhances the overall aesthetic appeal of your environment while establishing an ambiance of pure luxury and warmth.</t>
  </si>
  <si>
    <t>Elevate your lighting with the PR132 Diffuser. Effortlessly soften and blend light to create a smooth, continuous glow that brings warmth and modern sophistication.</t>
  </si>
  <si>
    <t>PR132 diffuser, LED profile diffuser, light softening lens, linear lighting accessory, diffuse light cover, LED channel lens</t>
  </si>
  <si>
    <t>Concord Suspension</t>
  </si>
  <si>
    <t>Suspension Wire</t>
  </si>
  <si>
    <t>Elevate your lighting concept to new heights with our modern Suspension Wire. Designed to give your linear fixtures an intriguing, floating presence, this premium accessory creates an effortless sense of spatial elegance and contemporary luxury. Bring clean architectural lines and stunning visual impact to any floating installation with a sleek, minimalist touch.</t>
  </si>
  <si>
    <t>Bring an effortless sense of elegance to your space with our Suspension Wire. Create a sleek floating presence that complements any contemporary interior.</t>
  </si>
  <si>
    <t>316 Stainless Steel | PR127</t>
  </si>
  <si>
    <t>suspension wire, 316 stainless steel wire, PR127 suspension kit, hanging light kit, linear fixture suspension, pendant hanging wire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</si>
</sst>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DM Sans"/>
    </font>
    <font>
      <b/>
      <sz val="10.0"/>
      <color rgb="FFFFFFFF"/>
      <name val="DM Sans"/>
    </font>
    <font>
      <b/>
      <color theme="1"/>
      <name val="DM Sans"/>
    </font>
    <font>
      <sz val="10.0"/>
      <color theme="1"/>
      <name val="DM Sans"/>
    </font>
  </fonts>
  <fills count="7">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0"/>
    </xf>
    <xf borderId="1" fillId="2" fontId="1" numFmtId="0" xfId="0" applyAlignment="1" applyBorder="1" applyFill="1" applyFont="1">
      <alignment horizontal="center" readingOrder="0" shrinkToFit="0" vertical="center" wrapText="0"/>
    </xf>
    <xf borderId="1" fillId="4" fontId="2"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bottom" wrapText="1"/>
    </xf>
    <xf borderId="1" fillId="2" fontId="3" numFmtId="0" xfId="0" applyAlignment="1" applyBorder="1" applyFill="1" applyFont="1">
      <alignment horizontal="center" shrinkToFit="0" vertical="bottom" wrapText="1"/>
    </xf>
    <xf borderId="1" fillId="0" fontId="4" numFmtId="0" xfId="0" applyAlignment="1" applyBorder="1" applyFont="1">
      <alignment readingOrder="0" shrinkToFit="0" vertical="center" wrapText="1"/>
    </xf>
    <xf borderId="1" fillId="6" fontId="4" numFmtId="0" xfId="0" applyAlignment="1" applyBorder="1" applyFill="1" applyFont="1">
      <alignment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4.5"/>
    <col customWidth="1" min="2" max="2" width="36.38"/>
    <col customWidth="1" min="3" max="3" width="11.75"/>
    <col customWidth="1" min="4" max="4" width="12.0"/>
    <col customWidth="1" min="5" max="5" width="6.38"/>
    <col customWidth="1" min="6" max="6" width="64.5"/>
    <col customWidth="1" min="7" max="7" width="64.25"/>
    <col customWidth="1" min="8" max="9" width="31.38"/>
    <col customWidth="1" min="10" max="11" width="28.75"/>
    <col customWidth="1" min="12" max="12" width="61.5"/>
    <col customWidth="1" min="13" max="14" width="34.75"/>
    <col customWidth="1" min="15" max="22" width="50.13"/>
    <col customWidth="1" min="23" max="23" width="29.38"/>
    <col customWidth="1" min="24" max="25" width="12.63"/>
  </cols>
  <sheetData>
    <row r="1">
      <c r="A1" s="1" t="s">
        <v>0</v>
      </c>
      <c r="B1" s="1" t="s">
        <v>1</v>
      </c>
      <c r="C1" s="1" t="s">
        <v>2</v>
      </c>
      <c r="D1" s="1" t="s">
        <v>3</v>
      </c>
      <c r="E1" s="1" t="s">
        <v>4</v>
      </c>
      <c r="F1" s="2" t="s">
        <v>5</v>
      </c>
      <c r="G1" s="3" t="s">
        <v>6</v>
      </c>
      <c r="H1" s="2" t="s">
        <v>7</v>
      </c>
      <c r="I1" s="3" t="s">
        <v>8</v>
      </c>
      <c r="J1" s="1" t="s">
        <v>9</v>
      </c>
      <c r="K1" s="1" t="s">
        <v>10</v>
      </c>
      <c r="L1" s="4" t="s">
        <v>11</v>
      </c>
      <c r="M1" s="5" t="s">
        <v>12</v>
      </c>
      <c r="N1" s="6" t="s">
        <v>13</v>
      </c>
      <c r="O1" s="5" t="s">
        <v>14</v>
      </c>
      <c r="P1" s="7" t="s">
        <v>15</v>
      </c>
      <c r="Q1" s="5" t="s">
        <v>16</v>
      </c>
      <c r="R1" s="1" t="s">
        <v>17</v>
      </c>
      <c r="S1" s="5" t="s">
        <v>18</v>
      </c>
      <c r="T1" s="7" t="s">
        <v>19</v>
      </c>
      <c r="U1" s="1" t="s">
        <v>20</v>
      </c>
      <c r="V1" s="1" t="s">
        <v>21</v>
      </c>
      <c r="W1" s="1" t="s">
        <v>22</v>
      </c>
      <c r="X1" s="1" t="s">
        <v>23</v>
      </c>
      <c r="Y1" s="1" t="s">
        <v>24</v>
      </c>
      <c r="Z1" s="1" t="s">
        <v>25</v>
      </c>
      <c r="AA1" s="8" t="s">
        <v>26</v>
      </c>
      <c r="AB1" s="9" t="s">
        <v>27</v>
      </c>
    </row>
    <row r="2">
      <c r="A2" s="10" t="s">
        <v>28</v>
      </c>
      <c r="B2" s="10" t="s">
        <v>29</v>
      </c>
      <c r="C2" s="10" t="s">
        <v>30</v>
      </c>
      <c r="D2" s="10" t="s">
        <v>31</v>
      </c>
      <c r="E2" s="10" t="s">
        <v>32</v>
      </c>
      <c r="F2" s="11" t="str">
        <f>IFERROR(__xludf.DUMMYFUNCTION("AI(""Give me a paragraph marketing spiel for product in this row, no tech specs just marketing fluff "")"),"Elevate your architectural lighting design with the sleek and stylish L-Connector in versatile black. Engineered to create seamless, continuous lines of light, this essential accessory allows you to effortlessly navigate angles and transform any space wit"&amp;"h a modern, sophisticated aesthetic. Perfectly blending form and function, it adds dynamic visual interest and a polished, high-end finish to your custom lighting installation.")</f>
        <v>Elevate your architectural lighting design with the sleek and stylish L-Connector in versatile black. Engineered to create seamless, continuous lines of light, this essential accessory allows you to effortlessly navigate angles and transform any space with a modern, sophisticated aesthetic. Perfectly blending form and function, it adds dynamic visual interest and a polished, high-end finish to your custom lighting installation.</v>
      </c>
      <c r="G2" s="10" t="s">
        <v>33</v>
      </c>
      <c r="H2" s="11" t="str">
        <f>IFERROR(__xludf.DUMMYFUNCTION("AI(""Give me a paragraph marketing spiel for product in this row, no tech specs just marketing fluff under 180 characters "")"),"Elevate your lighting design with our stylish L-Connector in sleek black. Effortlessly navigate angles and create seamless, modern lines of light for a high-end finish.")</f>
        <v>Elevate your lighting design with our stylish L-Connector in sleek black. Effortlessly navigate angles and create seamless, modern lines of light for a high-end finish.</v>
      </c>
      <c r="I2" s="10" t="s">
        <v>34</v>
      </c>
      <c r="J2" s="12"/>
      <c r="K2" s="12"/>
      <c r="L2" s="10" t="s">
        <v>35</v>
      </c>
      <c r="M2" s="12"/>
      <c r="N2" s="12"/>
      <c r="O2" s="12"/>
      <c r="P2" s="12"/>
      <c r="Q2" s="12"/>
      <c r="R2" s="12"/>
      <c r="S2" s="12"/>
      <c r="T2" s="12"/>
      <c r="U2" s="12"/>
      <c r="V2" s="12"/>
      <c r="W2" s="10" t="s">
        <v>36</v>
      </c>
      <c r="X2" s="10"/>
      <c r="Y2" s="10"/>
      <c r="Z2" s="12"/>
      <c r="AA2" s="12" t="str">
        <f>IFERROR(__xludf.DUMMYFUNCTION("AI(""Generate 6 powerful unique keywords for the product in this row"")"),"L-connector, black corner connector, LED profile accessory, downlight connector, linear lighting corner, PR127 connector")</f>
        <v>L-connector, black corner connector, LED profile accessory, downlight connector, linear lighting corner, PR127 connector</v>
      </c>
      <c r="AB2" s="12" t="s">
        <v>37</v>
      </c>
    </row>
    <row r="3">
      <c r="A3" s="10" t="s">
        <v>38</v>
      </c>
      <c r="B3" s="10" t="s">
        <v>39</v>
      </c>
      <c r="C3" s="10" t="s">
        <v>30</v>
      </c>
      <c r="D3" s="10" t="s">
        <v>31</v>
      </c>
      <c r="E3" s="10" t="s">
        <v>32</v>
      </c>
      <c r="F3" s="11" t="str">
        <f>IFERROR(__xludf.DUMMYFUNCTION("AI(""Give me a paragraph marketing spiel for product in this row, no tech specs just marketing fluff "")"),"Transform your environment with the sleek PR021 Suspension Kit, designed to give your lighting fixtures an enchanting, floating presence. By suspending your illumination effortlessly, this stylish accessory adds dynamic spatial dimension and a refined, co"&amp;"ntemporary aesthetic to any interior space. Experience the perfect harmony of modern design and effortless elegance as your lighting takes center stage.")</f>
        <v>Transform your environment with the sleek PR021 Suspension Kit, designed to give your lighting fixtures an enchanting, floating presence. By suspending your illumination effortlessly, this stylish accessory adds dynamic spatial dimension and a refined, contemporary aesthetic to any interior space. Experience the perfect harmony of modern design and effortless elegance as your lighting takes center stage.</v>
      </c>
      <c r="G3" s="10" t="s">
        <v>40</v>
      </c>
      <c r="H3" s="11" t="str">
        <f>IFERROR(__xludf.DUMMYFUNCTION("AI(""Give me a paragraph marketing spiel for product in this row, no tech specs just marketing fluff under 180 characters "")"),"Transform your space with this sleek Suspension Kit. Give your lighting fixtures a floating, modern presence while creating an elegant architectural aesthetic.")</f>
        <v>Transform your space with this sleek Suspension Kit. Give your lighting fixtures a floating, modern presence while creating an elegant architectural aesthetic.</v>
      </c>
      <c r="I3" s="10" t="s">
        <v>41</v>
      </c>
      <c r="J3" s="12"/>
      <c r="K3" s="12"/>
      <c r="L3" s="10" t="s">
        <v>42</v>
      </c>
      <c r="M3" s="12"/>
      <c r="N3" s="12"/>
      <c r="O3" s="12"/>
      <c r="P3" s="12"/>
      <c r="Q3" s="12"/>
      <c r="R3" s="12"/>
      <c r="S3" s="12"/>
      <c r="T3" s="12"/>
      <c r="U3" s="12"/>
      <c r="V3" s="12"/>
      <c r="W3" s="10" t="s">
        <v>36</v>
      </c>
      <c r="X3" s="10"/>
      <c r="Y3" s="10"/>
      <c r="Z3" s="12"/>
      <c r="AA3" s="12" t="str">
        <f>IFERROR(__xludf.DUMMYFUNCTION("AI(""Generate 6 powerful unique keywords for the product in this row"")"),"Suspension Kit, LED Hanging Hardware, Light Profile Mount, Pendant Wire Cable, Modern Suspended Lighting, Fixture Wire Mount")</f>
        <v>Suspension Kit, LED Hanging Hardware, Light Profile Mount, Pendant Wire Cable, Modern Suspended Lighting, Fixture Wire Mount</v>
      </c>
      <c r="AB3" s="12" t="s">
        <v>43</v>
      </c>
    </row>
    <row r="4">
      <c r="A4" s="10" t="s">
        <v>44</v>
      </c>
      <c r="B4" s="10" t="s">
        <v>45</v>
      </c>
      <c r="C4" s="10" t="s">
        <v>30</v>
      </c>
      <c r="D4" s="10" t="s">
        <v>31</v>
      </c>
      <c r="E4" s="10" t="s">
        <v>32</v>
      </c>
      <c r="F4" s="11" t="str">
        <f>IFERROR(__xludf.DUMMYFUNCTION("AI(""Give me a paragraph marketing spiel for product in this row, no tech specs just marketing fluff "")"),"Effortlessly expand your lighting horizons with the PR0127 180-degree coupler, designed to create seamless, uninterrupted runs of mesmerizing illumination. This indispensable connector allows you to achieve extended lines of light with perfectly smooth tr"&amp;"ansitions, enhancing the architectural beauty and sophisticated flow of any modern setting. Bring your creative vision to life with flawless continuity and clean elegance.")</f>
        <v>Effortlessly expand your lighting horizons with the PR0127 180-degree coupler, designed to create seamless, uninterrupted runs of mesmerizing illumination. This indispensable connector allows you to achieve extended lines of light with perfectly smooth transitions, enhancing the architectural beauty and sophisticated flow of any modern setting. Bring your creative vision to life with flawless continuity and clean elegance.</v>
      </c>
      <c r="G4" s="10" t="s">
        <v>46</v>
      </c>
      <c r="H4" s="11" t="str">
        <f>IFERROR(__xludf.DUMMYFUNCTION("AI(""Give me a paragraph marketing spiel for product in this row, no tech specs just marketing fluff under 180 characters "")"),"Extend your light runs seamlessly with our premium 180-Degree Coupler. Create continuous, professional-grade illumination with flawless transitions and style.")</f>
        <v>Extend your light runs seamlessly with our premium 180-Degree Coupler. Create continuous, professional-grade illumination with flawless transitions and style.</v>
      </c>
      <c r="I4" s="10" t="s">
        <v>47</v>
      </c>
      <c r="J4" s="12"/>
      <c r="K4" s="12"/>
      <c r="L4" s="10" t="s">
        <v>45</v>
      </c>
      <c r="M4" s="12"/>
      <c r="N4" s="12"/>
      <c r="O4" s="12"/>
      <c r="P4" s="12"/>
      <c r="Q4" s="12"/>
      <c r="R4" s="12"/>
      <c r="S4" s="12"/>
      <c r="T4" s="12"/>
      <c r="U4" s="12"/>
      <c r="V4" s="12"/>
      <c r="W4" s="10" t="s">
        <v>36</v>
      </c>
      <c r="X4" s="10"/>
      <c r="Y4" s="10"/>
      <c r="Z4" s="12"/>
      <c r="AA4" s="12" t="str">
        <f>IFERROR(__xludf.DUMMYFUNCTION("AI(""Generate 6 powerful unique keywords for the product in this row"")"),"180 Degree Coupler, LED Profile Connector, Channel Joiner Screws, Linear Light Coupler, Straight Profile Connector, Seamless Strip Extension")</f>
        <v>180 Degree Coupler, LED Profile Connector, Channel Joiner Screws, Linear Light Coupler, Straight Profile Connector, Seamless Strip Extension</v>
      </c>
      <c r="AB4" s="12" t="s">
        <v>48</v>
      </c>
    </row>
    <row r="5">
      <c r="A5" s="10" t="s">
        <v>49</v>
      </c>
      <c r="B5" s="10" t="s">
        <v>50</v>
      </c>
      <c r="C5" s="10" t="s">
        <v>30</v>
      </c>
      <c r="D5" s="10" t="s">
        <v>31</v>
      </c>
      <c r="E5" s="10" t="s">
        <v>32</v>
      </c>
      <c r="F5" s="11" t="str">
        <f>IFERROR(__xludf.DUMMYFUNCTION("AI(""Give me a paragraph marketing spiel for product in this row, no tech specs just marketing fluff "")"),"Achieve a refined and pristine architectural aesthetic with the PR130 White End Caps. Tailored to provide a clean, elegant finish to your lighting profiles, these stylish end caps ensure every detail of your installation exudes sophistication. Perfectly c"&amp;"ompleting your lighting setup, they bring effortless modern charm and a polished look to any high-end interior.")</f>
        <v>Achieve a refined and pristine architectural aesthetic with the PR130 White End Caps. Tailored to provide a clean, elegant finish to your lighting profiles, these stylish end caps ensure every detail of your installation exudes sophistication. Perfectly completing your lighting setup, they bring effortless modern charm and a polished look to any high-end interior.</v>
      </c>
      <c r="G5" s="10" t="s">
        <v>51</v>
      </c>
      <c r="H5" s="11" t="str">
        <f>IFERROR(__xludf.DUMMYFUNCTION("AI(""Give me a paragraph marketing spiel for product in this row, no tech specs just marketing fluff under 180 characters "")"),"Deliver a flawless, professional finish with our premium White End Caps. Add a sleek, refined touch that effortlessly completes your modern lighting setup.")</f>
        <v>Deliver a flawless, professional finish with our premium White End Caps. Add a sleek, refined touch that effortlessly completes your modern lighting setup.</v>
      </c>
      <c r="I5" s="10" t="s">
        <v>52</v>
      </c>
      <c r="J5" s="12"/>
      <c r="K5" s="12"/>
      <c r="L5" s="10" t="s">
        <v>53</v>
      </c>
      <c r="M5" s="12"/>
      <c r="N5" s="12"/>
      <c r="O5" s="12"/>
      <c r="P5" s="12"/>
      <c r="Q5" s="12"/>
      <c r="R5" s="12"/>
      <c r="S5" s="12"/>
      <c r="T5" s="12"/>
      <c r="U5" s="12"/>
      <c r="V5" s="12"/>
      <c r="W5" s="10" t="s">
        <v>36</v>
      </c>
      <c r="X5" s="10"/>
      <c r="Y5" s="10"/>
      <c r="Z5" s="12"/>
      <c r="AA5" s="12" t="str">
        <f>IFERROR(__xludf.DUMMYFUNCTION("AI(""Generate 6 powerful unique keywords for the product in this row"")"),"PR130 End Cap, White Profile Caps, LED Channel End Cap, Profile Finishing Caps, White Aluminum End Covers, LED Strip Accessories")</f>
        <v>PR130 End Cap, White Profile Caps, LED Channel End Cap, Profile Finishing Caps, White Aluminum End Covers, LED Strip Accessories</v>
      </c>
      <c r="AB5" s="12" t="s">
        <v>54</v>
      </c>
    </row>
    <row r="6">
      <c r="A6" s="10" t="s">
        <v>55</v>
      </c>
      <c r="B6" s="10" t="s">
        <v>56</v>
      </c>
      <c r="C6" s="10" t="s">
        <v>30</v>
      </c>
      <c r="D6" s="10" t="s">
        <v>31</v>
      </c>
      <c r="E6" s="10" t="s">
        <v>32</v>
      </c>
      <c r="F6" s="11" t="str">
        <f>IFERROR(__xludf.DUMMYFUNCTION("AI(""Give me a paragraph marketing spiel for product in this row, no tech specs just marketing fluff "")"),"Complete your custom lighting installation with the sleek elegance of our Black End Caps. Masterfully designed to provide a smooth, professional border, these end caps add a touch of dramatic modern sophistication to your spaces. Enhance the clean lines o"&amp;"f your linear lighting while delivering a beautifully finished appearance that captivates and inspires.")</f>
        <v>Complete your custom lighting installation with the sleek elegance of our Black End Caps. Masterfully designed to provide a smooth, professional border, these end caps add a touch of dramatic modern sophistication to your spaces. Enhance the clean lines of your linear lighting while delivering a beautifully finished appearance that captivates and inspires.</v>
      </c>
      <c r="G6" s="10" t="s">
        <v>57</v>
      </c>
      <c r="H6" s="11" t="str">
        <f>IFERROR(__xludf.DUMMYFUNCTION("AI(""Give me a paragraph marketing spiel for product in this row, no tech specs just marketing fluff under 180 characters "")"),"Complete your custom lighting setup with our sleek black end caps. Add a refined, modern touch for a polished, professional finish in any space.")</f>
        <v>Complete your custom lighting setup with our sleek black end caps. Add a refined, modern touch for a polished, professional finish in any space.</v>
      </c>
      <c r="I6" s="10" t="s">
        <v>58</v>
      </c>
      <c r="J6" s="12"/>
      <c r="K6" s="12"/>
      <c r="L6" s="10" t="s">
        <v>59</v>
      </c>
      <c r="M6" s="12"/>
      <c r="N6" s="12"/>
      <c r="O6" s="12"/>
      <c r="P6" s="12"/>
      <c r="Q6" s="12"/>
      <c r="R6" s="12"/>
      <c r="S6" s="12"/>
      <c r="T6" s="12"/>
      <c r="U6" s="12"/>
      <c r="V6" s="12"/>
      <c r="W6" s="10" t="s">
        <v>36</v>
      </c>
      <c r="X6" s="10"/>
      <c r="Y6" s="10"/>
      <c r="Z6" s="12"/>
      <c r="AA6" s="12" t="str">
        <f>IFERROR(__xludf.DUMMYFUNCTION("AI(""Generate 6 powerful unique keywords for the product in this row"")"),"Black End Cap, LED Profile End Caps, Cable Hole End Cap, Channel Finish Cover, Black Profile Accessories, Linear Light End Cap")</f>
        <v>Black End Cap, LED Profile End Caps, Cable Hole End Cap, Channel Finish Cover, Black Profile Accessories, Linear Light End Cap</v>
      </c>
      <c r="AB6" s="12" t="s">
        <v>60</v>
      </c>
    </row>
    <row r="7">
      <c r="A7" s="10" t="s">
        <v>61</v>
      </c>
      <c r="B7" s="10" t="s">
        <v>62</v>
      </c>
      <c r="C7" s="10" t="s">
        <v>30</v>
      </c>
      <c r="D7" s="10" t="s">
        <v>31</v>
      </c>
      <c r="E7" s="10" t="s">
        <v>32</v>
      </c>
      <c r="F7" s="11" t="str">
        <f>IFERROR(__xludf.DUMMYFUNCTION("AI(""Give me a paragraph marketing spiel for product in this row, no tech specs just marketing fluff "")"),"Imbue your custom lighting projects with effortless sophistication using the PR001 Silver End Caps. Crafted to deliver a bright, polished accent to your linear light fixtures, these end caps add the perfect finishing touch of contemporary luxury. Transfor"&amp;"m your lighting displays into stunning architectural highlights with a clean, high-end finish.")</f>
        <v>Imbue your custom lighting projects with effortless sophistication using the PR001 Silver End Caps. Crafted to deliver a bright, polished accent to your linear light fixtures, these end caps add the perfect finishing touch of contemporary luxury. Transform your lighting displays into stunning architectural highlights with a clean, high-end finish.</v>
      </c>
      <c r="G7" s="10" t="s">
        <v>63</v>
      </c>
      <c r="H7" s="11" t="str">
        <f>IFERROR(__xludf.DUMMYFUNCTION("AI(""Give me a paragraph marketing spiel for product in this row, no tech specs just marketing fluff under 180 characters "")"),"Achieve a flawless finish for your custom lighting project with our silver end caps. Bring elegant style and practical wire management versatility to your space.")</f>
        <v>Achieve a flawless finish for your custom lighting project with our silver end caps. Bring elegant style and practical wire management versatility to your space.</v>
      </c>
      <c r="I7" s="10" t="s">
        <v>64</v>
      </c>
      <c r="J7" s="12"/>
      <c r="K7" s="12"/>
      <c r="L7" s="10" t="s">
        <v>65</v>
      </c>
      <c r="M7" s="12"/>
      <c r="N7" s="12"/>
      <c r="O7" s="12"/>
      <c r="P7" s="12"/>
      <c r="Q7" s="12"/>
      <c r="R7" s="12"/>
      <c r="S7" s="12"/>
      <c r="T7" s="12"/>
      <c r="U7" s="12"/>
      <c r="V7" s="12"/>
      <c r="W7" s="10" t="s">
        <v>36</v>
      </c>
      <c r="X7" s="10"/>
      <c r="Y7" s="10"/>
      <c r="Z7" s="12"/>
      <c r="AA7" s="12" t="str">
        <f>IFERROR(__xludf.DUMMYFUNCTION("AI(""Generate 6 powerful unique keywords for the product in this row"")"),"PR001 end cap, silver end cap, LED profile end cap, linear light cap, channel end cap, silver lighting accessory")</f>
        <v>PR001 end cap, silver end cap, LED profile end cap, linear light cap, channel end cap, silver lighting accessory</v>
      </c>
      <c r="AB7" s="12" t="s">
        <v>66</v>
      </c>
    </row>
    <row r="8">
      <c r="A8" s="10" t="s">
        <v>67</v>
      </c>
      <c r="B8" s="10" t="s">
        <v>68</v>
      </c>
      <c r="C8" s="10" t="s">
        <v>30</v>
      </c>
      <c r="D8" s="10" t="s">
        <v>31</v>
      </c>
      <c r="E8" s="10" t="s">
        <v>32</v>
      </c>
      <c r="F8" s="11" t="str">
        <f>IFERROR(__xludf.DUMMYFUNCTION("AI(""Give me a paragraph marketing spiel for product in this row, no tech specs just marketing fluff "")"),"Effortlessly secure your architectural lighting vision with these sleek, reliable metal mounting clips. Designed for ultimate stability and seamless integration, they provide a strong, discrete anchor that lets your linear light fixtures take center stage"&amp;" with modern elegance and flawless precision.")</f>
        <v>Effortlessly secure your architectural lighting vision with these sleek, reliable metal mounting clips. Designed for ultimate stability and seamless integration, they provide a strong, discrete anchor that lets your linear light fixtures take center stage with modern elegance and flawless precision.</v>
      </c>
      <c r="G8" s="10" t="s">
        <v>69</v>
      </c>
      <c r="H8" s="11" t="str">
        <f>IFERROR(__xludf.DUMMYFUNCTION("AI(""Give me a paragraph marketing spiel for product in this row, no tech specs just marketing fluff under 180 characters "")"),"Secure your lighting setup with sleek metal mounting clips. Designed for ultimate stability, they offer hidden support and a clean, professional look for any modern space.")</f>
        <v>Secure your lighting setup with sleek metal mounting clips. Designed for ultimate stability, they offer hidden support and a clean, professional look for any modern space.</v>
      </c>
      <c r="I8" s="10" t="s">
        <v>70</v>
      </c>
      <c r="J8" s="12"/>
      <c r="K8" s="12"/>
      <c r="L8" s="10" t="s">
        <v>71</v>
      </c>
      <c r="M8" s="12"/>
      <c r="N8" s="12"/>
      <c r="O8" s="12"/>
      <c r="P8" s="12"/>
      <c r="Q8" s="12"/>
      <c r="R8" s="12"/>
      <c r="S8" s="12"/>
      <c r="T8" s="12"/>
      <c r="U8" s="12"/>
      <c r="V8" s="12"/>
      <c r="W8" s="10" t="s">
        <v>36</v>
      </c>
      <c r="X8" s="10"/>
      <c r="Y8" s="10"/>
      <c r="Z8" s="12"/>
      <c r="AA8" s="12" t="str">
        <f>IFERROR(__xludf.DUMMYFUNCTION("AI(""Generate 6 powerful unique keywords for the product in this row"")"),"metal mounting clips, LED mounting clip, profile mounting bracket, linear light clip, PR002 clip, PR006 clip")</f>
        <v>metal mounting clips, LED mounting clip, profile mounting bracket, linear light clip, PR002 clip, PR006 clip</v>
      </c>
      <c r="AB8" s="12" t="s">
        <v>72</v>
      </c>
    </row>
    <row r="9">
      <c r="A9" s="10" t="s">
        <v>73</v>
      </c>
      <c r="B9" s="10" t="s">
        <v>74</v>
      </c>
      <c r="C9" s="10" t="s">
        <v>30</v>
      </c>
      <c r="D9" s="10" t="s">
        <v>31</v>
      </c>
      <c r="E9" s="10" t="s">
        <v>32</v>
      </c>
      <c r="F9" s="11" t="str">
        <f>IFERROR(__xludf.DUMMYFUNCTION("AI(""Give me a paragraph marketing spiel for product in this row, no tech specs just marketing fluff "")"),"Elevate your linear LED lighting setup with these sleek white end caps. Engineered to deliver a clean, continuous aesthetic, they hide raw edges and complete your custom lighting design with refined simplicity, effortless modern elegance, and a pristine, "&amp;"high-end look.")</f>
        <v>Elevate your linear LED lighting setup with these sleek white end caps. Engineered to deliver a clean, continuous aesthetic, they hide raw edges and complete your custom lighting design with refined simplicity, effortless modern elegance, and a pristine, high-end look.</v>
      </c>
      <c r="G9" s="10" t="s">
        <v>75</v>
      </c>
      <c r="H9" s="11" t="str">
        <f>IFERROR(__xludf.DUMMYFUNCTION("AI(""Give me a paragraph marketing spiel for product in this row, no tech specs just marketing fluff under 180 characters "")"),"Achieve a flawless finish with sleek white end caps. Perfect for a clean, modern edge, these accessories add a refined and polished touch to your custom lighting designs.")</f>
        <v>Achieve a flawless finish with sleek white end caps. Perfect for a clean, modern edge, these accessories add a refined and polished touch to your custom lighting designs.</v>
      </c>
      <c r="I9" s="10" t="s">
        <v>76</v>
      </c>
      <c r="J9" s="12"/>
      <c r="K9" s="12"/>
      <c r="L9" s="10" t="s">
        <v>77</v>
      </c>
      <c r="M9" s="12"/>
      <c r="N9" s="12"/>
      <c r="O9" s="12"/>
      <c r="P9" s="12"/>
      <c r="Q9" s="12"/>
      <c r="R9" s="12"/>
      <c r="S9" s="12"/>
      <c r="T9" s="12"/>
      <c r="U9" s="12"/>
      <c r="V9" s="12"/>
      <c r="W9" s="10" t="s">
        <v>36</v>
      </c>
      <c r="X9" s="10"/>
      <c r="Y9" s="10"/>
      <c r="Z9" s="12"/>
      <c r="AA9" s="12" t="str">
        <f>IFERROR(__xludf.DUMMYFUNCTION("AI(""Generate 6 powerful unique keywords for the product in this row"")"),"PR131 end cap, white end cap, LED channel cap, profile end cap, white lighting accessory, linear light cap")</f>
        <v>PR131 end cap, white end cap, LED channel cap, profile end cap, white lighting accessory, linear light cap</v>
      </c>
      <c r="AB9" s="12" t="s">
        <v>78</v>
      </c>
    </row>
    <row r="10">
      <c r="A10" s="10" t="s">
        <v>79</v>
      </c>
      <c r="B10" s="10" t="s">
        <v>80</v>
      </c>
      <c r="C10" s="10" t="s">
        <v>30</v>
      </c>
      <c r="D10" s="10" t="s">
        <v>31</v>
      </c>
      <c r="E10" s="10" t="s">
        <v>32</v>
      </c>
      <c r="F10" s="11" t="str">
        <f>IFERROR(__xludf.DUMMYFUNCTION("AI(""Give me a paragraph marketing spiel for product in this row, no tech specs just marketing fluff "")"),"Give your architectural lighting a pristine, flawless finish with these premium end caps. Crafted to add effortless sophistication to any space, they neatly seal off profile ends, transforming custom LED runs into sleek, cohesive architectural features wi"&amp;"th an elevated modern aesthetic.")</f>
        <v>Give your architectural lighting a pristine, flawless finish with these premium end caps. Crafted to add effortless sophistication to any space, they neatly seal off profile ends, transforming custom LED runs into sleek, cohesive architectural features with an elevated modern aesthetic.</v>
      </c>
      <c r="G10" s="10" t="s">
        <v>81</v>
      </c>
      <c r="H10" s="11" t="str">
        <f>IFERROR(__xludf.DUMMYFUNCTION("AI(""Give me a paragraph marketing spiel for product in this row, no tech specs just marketing fluff under 180 characters "")"),"Complete your architectural lighting with a sleek, modern end cap. Designed to seamlessly seal profiles for a pristine, polished finish in any setting.")</f>
        <v>Complete your architectural lighting with a sleek, modern end cap. Designed to seamlessly seal profiles for a pristine, polished finish in any setting.</v>
      </c>
      <c r="I10" s="10" t="s">
        <v>82</v>
      </c>
      <c r="J10" s="12"/>
      <c r="K10" s="12"/>
      <c r="L10" s="10" t="s">
        <v>83</v>
      </c>
      <c r="M10" s="12"/>
      <c r="N10" s="12"/>
      <c r="O10" s="12"/>
      <c r="P10" s="12"/>
      <c r="Q10" s="12"/>
      <c r="R10" s="12"/>
      <c r="S10" s="12"/>
      <c r="T10" s="12"/>
      <c r="U10" s="12"/>
      <c r="V10" s="12"/>
      <c r="W10" s="10" t="s">
        <v>36</v>
      </c>
      <c r="X10" s="10"/>
      <c r="Y10" s="10"/>
      <c r="Z10" s="12"/>
      <c r="AA10" s="12" t="str">
        <f>IFERROR(__xludf.DUMMYFUNCTION("AI(""Generate 6 powerful unique keywords for the product in this row"")"),"PR002 end cap, profile end cap, LED channel cap, linear lighting cap, architectural light cap, channel end cover")</f>
        <v>PR002 end cap, profile end cap, LED channel cap, linear lighting cap, architectural light cap, channel end cover</v>
      </c>
      <c r="AB10" s="12" t="s">
        <v>84</v>
      </c>
    </row>
    <row r="11">
      <c r="A11" s="10" t="s">
        <v>85</v>
      </c>
      <c r="B11" s="10" t="s">
        <v>86</v>
      </c>
      <c r="C11" s="10" t="s">
        <v>30</v>
      </c>
      <c r="D11" s="10" t="s">
        <v>31</v>
      </c>
      <c r="E11" s="10" t="s">
        <v>32</v>
      </c>
      <c r="F11" s="11" t="str">
        <f>IFERROR(__xludf.DUMMYFUNCTION("AI(""Give me a paragraph marketing spiel for product in this row, no tech specs just marketing fluff "")"),"Achieve a refined and professional finish with our premium PR008 end caps. Designed to seamlessly cap your lighting channels, they conceal unfinished ends to deliver a sophisticated, polished look that elevates the ambiance of modern interiors with effort"&amp;"less style.")</f>
        <v>Achieve a refined and professional finish with our premium PR008 end caps. Designed to seamlessly cap your lighting channels, they conceal unfinished ends to deliver a sophisticated, polished look that elevates the ambiance of modern interiors with effortless style.</v>
      </c>
      <c r="G11" s="10" t="s">
        <v>87</v>
      </c>
      <c r="H11" s="11" t="str">
        <f>IFERROR(__xludf.DUMMYFUNCTION("AI(""Give me a paragraph marketing spiel for product in this row, no tech specs just marketing fluff under 180 characters "")"),"Give your lighting setup a sleek, professional finish with premium end caps. Conceal wiring effortlessly for a refined and sophisticated modern aesthetic.")</f>
        <v>Give your lighting setup a sleek, professional finish with premium end caps. Conceal wiring effortlessly for a refined and sophisticated modern aesthetic.</v>
      </c>
      <c r="I11" s="10" t="s">
        <v>88</v>
      </c>
      <c r="J11" s="12"/>
      <c r="K11" s="12"/>
      <c r="L11" s="10" t="s">
        <v>83</v>
      </c>
      <c r="M11" s="12"/>
      <c r="N11" s="12"/>
      <c r="O11" s="12"/>
      <c r="P11" s="12"/>
      <c r="Q11" s="12"/>
      <c r="R11" s="12"/>
      <c r="S11" s="12"/>
      <c r="T11" s="12"/>
      <c r="U11" s="12"/>
      <c r="V11" s="12"/>
      <c r="W11" s="10" t="s">
        <v>36</v>
      </c>
      <c r="X11" s="10"/>
      <c r="Y11" s="10"/>
      <c r="Z11" s="12"/>
      <c r="AA11" s="12" t="str">
        <f>IFERROR(__xludf.DUMMYFUNCTION("AI(""Generate 6 powerful unique keywords for the product in this row"")"),"PR008 end cap, profile end cap, LED channel cap, linear light cap, channel end cover, architectural profile cap")</f>
        <v>PR008 end cap, profile end cap, LED channel cap, linear light cap, channel end cover, architectural profile cap</v>
      </c>
      <c r="AB11" s="12" t="s">
        <v>89</v>
      </c>
    </row>
    <row r="12">
      <c r="A12" s="10" t="s">
        <v>90</v>
      </c>
      <c r="B12" s="10" t="s">
        <v>68</v>
      </c>
      <c r="C12" s="10" t="s">
        <v>30</v>
      </c>
      <c r="D12" s="10" t="s">
        <v>31</v>
      </c>
      <c r="E12" s="10" t="s">
        <v>32</v>
      </c>
      <c r="F12" s="11" t="str">
        <f>IFERROR(__xludf.DUMMYFUNCTION("AI(""Give me a paragraph marketing spiel for product in this row, no tech specs just marketing fluff "")"),"Seamlessly secure your PR008 profile setup with these premium metal mounting clips. Engineered for invisible support and perfect structural alignment, they ensure your custom linear lighting mounts easily while maintaining a sleek, uninterrupted aesthetic"&amp;".")</f>
        <v>Seamlessly secure your PR008 profile setup with these premium metal mounting clips. Engineered for invisible support and perfect structural alignment, they ensure your custom linear lighting mounts easily while maintaining a sleek, uninterrupted aesthetic.</v>
      </c>
      <c r="G12" s="10" t="s">
        <v>91</v>
      </c>
      <c r="H12" s="11" t="str">
        <f>IFERROR(__xludf.DUMMYFUNCTION("AI(""Give me a paragraph marketing spiel for product in this row, no tech specs just marketing fluff under 180 characters "")"),"Elevate your lighting design with durable mounting clips. Designed for seamless support, they keep your custom installations perfectly aligned and beautifully displayed.")</f>
        <v>Elevate your lighting design with durable mounting clips. Designed for seamless support, they keep your custom installations perfectly aligned and beautifully displayed.</v>
      </c>
      <c r="I12" s="10" t="s">
        <v>92</v>
      </c>
      <c r="J12" s="12"/>
      <c r="K12" s="12"/>
      <c r="L12" s="10" t="s">
        <v>93</v>
      </c>
      <c r="M12" s="12"/>
      <c r="N12" s="12"/>
      <c r="O12" s="12"/>
      <c r="P12" s="12"/>
      <c r="Q12" s="12"/>
      <c r="R12" s="12"/>
      <c r="S12" s="12"/>
      <c r="T12" s="12"/>
      <c r="U12" s="12"/>
      <c r="V12" s="12"/>
      <c r="W12" s="10" t="s">
        <v>36</v>
      </c>
      <c r="X12" s="10"/>
      <c r="Y12" s="10"/>
      <c r="Z12" s="12"/>
      <c r="AA12" s="12" t="str">
        <f>IFERROR(__xludf.DUMMYFUNCTION("AI(""Generate 6 powerful unique keywords for the product in this row"")"),"PR008 mounting clip, metal profile clip, LED channel clip, mounting bracket, linear light clip, channel mounting hardware")</f>
        <v>PR008 mounting clip, metal profile clip, LED channel clip, mounting bracket, linear light clip, channel mounting hardware</v>
      </c>
      <c r="AB12" s="12" t="s">
        <v>94</v>
      </c>
    </row>
    <row r="13">
      <c r="A13" s="10" t="s">
        <v>95</v>
      </c>
      <c r="B13" s="10" t="s">
        <v>68</v>
      </c>
      <c r="C13" s="10" t="s">
        <v>30</v>
      </c>
      <c r="D13" s="10" t="s">
        <v>31</v>
      </c>
      <c r="E13" s="10" t="s">
        <v>32</v>
      </c>
      <c r="F13" s="11" t="str">
        <f>IFERROR(__xludf.DUMMYFUNCTION("AI(""Give me a paragraph marketing spiel for product in this row, no tech specs just marketing fluff "")"),"Securely mount your PR009 LED profiles with total confidence and style. These sleek metal mounting clips offer a clean, discrete installation solution, ensuring your linear lighting remains perfectly aligned while providing a crisp, modern finish for any "&amp;"contemporary space.")</f>
        <v>Securely mount your PR009 LED profiles with total confidence and style. These sleek metal mounting clips offer a clean, discrete installation solution, ensuring your linear lighting remains perfectly aligned while providing a crisp, modern finish for any contemporary space.</v>
      </c>
      <c r="G13" s="10" t="s">
        <v>96</v>
      </c>
      <c r="H13" s="11" t="str">
        <f>IFERROR(__xludf.DUMMYFUNCTION("AI(""Give me a paragraph marketing spiel for product in this row, no tech specs just marketing fluff under 180 characters "")"),"Secure your LED profiles with precision using premium metal mounting clips. Enjoy effortless installation and a sleek, professional finish for your lighting vision.")</f>
        <v>Secure your LED profiles with precision using premium metal mounting clips. Enjoy effortless installation and a sleek, professional finish for your lighting vision.</v>
      </c>
      <c r="I13" s="10" t="s">
        <v>97</v>
      </c>
      <c r="J13" s="12"/>
      <c r="K13" s="12"/>
      <c r="L13" s="10" t="s">
        <v>98</v>
      </c>
      <c r="M13" s="12"/>
      <c r="N13" s="12"/>
      <c r="O13" s="12"/>
      <c r="P13" s="12"/>
      <c r="Q13" s="12"/>
      <c r="R13" s="12"/>
      <c r="S13" s="12"/>
      <c r="T13" s="12"/>
      <c r="U13" s="12"/>
      <c r="V13" s="12"/>
      <c r="W13" s="10" t="s">
        <v>36</v>
      </c>
      <c r="X13" s="10"/>
      <c r="Y13" s="10"/>
      <c r="Z13" s="12"/>
      <c r="AA13" s="12" t="str">
        <f>IFERROR(__xludf.DUMMYFUNCTION("AI(""Generate 6 powerful unique keywords for the product in this row"")"),"PR009 mounting clips, metal profile clips, LED strip profile mount, linear lighting accessories, PR009 LED clip, aluminum channel mounting clip")</f>
        <v>PR009 mounting clips, metal profile clips, LED strip profile mount, linear lighting accessories, PR009 LED clip, aluminum channel mounting clip</v>
      </c>
      <c r="AB13" s="12" t="s">
        <v>99</v>
      </c>
    </row>
    <row r="14">
      <c r="A14" s="10" t="s">
        <v>100</v>
      </c>
      <c r="B14" s="10" t="s">
        <v>101</v>
      </c>
      <c r="C14" s="10" t="s">
        <v>30</v>
      </c>
      <c r="D14" s="10" t="s">
        <v>31</v>
      </c>
      <c r="E14" s="10" t="s">
        <v>32</v>
      </c>
      <c r="F14" s="11" t="str">
        <f>IFERROR(__xludf.DUMMYFUNCTION("AI(""Give me a paragraph marketing spiel for product in this row, no tech specs just marketing fluff "")"),"Softly disperse light and eliminate harsh glare with the PR008 Opal Diffuser. Designed to transform raw LED output into a smooth, uniform glow, this essential lens effortlessly elevates your room's ambiance with refined elegance and serene, continuous ill"&amp;"umination.")</f>
        <v>Softly disperse light and eliminate harsh glare with the PR008 Opal Diffuser. Designed to transform raw LED output into a smooth, uniform glow, this essential lens effortlessly elevates your room's ambiance with refined elegance and serene, continuous illumination.</v>
      </c>
      <c r="G14" s="10" t="s">
        <v>102</v>
      </c>
      <c r="H14" s="11" t="str">
        <f>IFERROR(__xludf.DUMMYFUNCTION("AI(""Give me a paragraph marketing spiel for product in this row, no tech specs just marketing fluff under 180 characters "")"),"Transform your space with smooth, beautifully balanced illumination. This opal diffuser softens glare to create a warm, inviting, and sophisticated atmosphere.")</f>
        <v>Transform your space with smooth, beautifully balanced illumination. This opal diffuser softens glare to create a warm, inviting, and sophisticated atmosphere.</v>
      </c>
      <c r="I14" s="10" t="s">
        <v>103</v>
      </c>
      <c r="J14" s="12"/>
      <c r="K14" s="12"/>
      <c r="L14" s="10" t="s">
        <v>104</v>
      </c>
      <c r="M14" s="12"/>
      <c r="N14" s="12"/>
      <c r="O14" s="12"/>
      <c r="P14" s="12"/>
      <c r="Q14" s="12"/>
      <c r="R14" s="12"/>
      <c r="S14" s="12"/>
      <c r="T14" s="12"/>
      <c r="U14" s="12"/>
      <c r="V14" s="12"/>
      <c r="W14" s="10" t="s">
        <v>36</v>
      </c>
      <c r="X14" s="10"/>
      <c r="Y14" s="10"/>
      <c r="Z14" s="12"/>
      <c r="AA14" s="12" t="str">
        <f>IFERROR(__xludf.DUMMYFUNCTION("AI(""Generate 6 powerful unique keywords for the product in this row"")"),"PR008 opal diffuser, 3m LED diffuser lens, linear light diffuser, opal cover LED channel, LED profile diffuser 3m, anti-glare light cover")</f>
        <v>PR008 opal diffuser, 3m LED diffuser lens, linear light diffuser, opal cover LED channel, LED profile diffuser 3m, anti-glare light cover</v>
      </c>
      <c r="AB14" s="12" t="s">
        <v>105</v>
      </c>
    </row>
    <row r="15">
      <c r="A15" s="10" t="s">
        <v>106</v>
      </c>
      <c r="B15" s="10" t="s">
        <v>107</v>
      </c>
      <c r="C15" s="10" t="s">
        <v>30</v>
      </c>
      <c r="D15" s="10" t="s">
        <v>31</v>
      </c>
      <c r="E15" s="10" t="s">
        <v>32</v>
      </c>
      <c r="F15" s="11" t="str">
        <f>IFERROR(__xludf.DUMMYFUNCTION("AI(""Give me a paragraph marketing spiel for product in this row, no tech specs just marketing fluff "")"),"Elevate your lighting layout with these sleek silver end caps designed for a refined, tailored appearance. Providing a clean and decorative closure to your profiles, they infuse modern elegance and metallic sophistication into every custom installation.")</f>
        <v>Elevate your lighting layout with these sleek silver end caps designed for a refined, tailored appearance. Providing a clean and decorative closure to your profiles, they infuse modern elegance and metallic sophistication into every custom installation.</v>
      </c>
      <c r="G15" s="10" t="s">
        <v>108</v>
      </c>
      <c r="H15" s="11" t="str">
        <f>IFERROR(__xludf.DUMMYFUNCTION("AI(""Give me a paragraph marketing spiel for product in this row, no tech specs just marketing fluff under 180 characters "")"),"Add the perfect finishing touch to your custom lighting. These premium end caps deliver a clean, modern aesthetic that effortlessly elevates any architectural design.")</f>
        <v>Add the perfect finishing touch to your custom lighting. These premium end caps deliver a clean, modern aesthetic that effortlessly elevates any architectural design.</v>
      </c>
      <c r="I15" s="10" t="s">
        <v>109</v>
      </c>
      <c r="J15" s="12"/>
      <c r="K15" s="12"/>
      <c r="L15" s="10" t="s">
        <v>110</v>
      </c>
      <c r="M15" s="12"/>
      <c r="N15" s="12"/>
      <c r="O15" s="12"/>
      <c r="P15" s="12"/>
      <c r="Q15" s="12"/>
      <c r="R15" s="12"/>
      <c r="S15" s="12"/>
      <c r="T15" s="12"/>
      <c r="U15" s="12"/>
      <c r="V15" s="12"/>
      <c r="W15" s="10" t="s">
        <v>36</v>
      </c>
      <c r="X15" s="10"/>
      <c r="Y15" s="10"/>
      <c r="Z15" s="12"/>
      <c r="AA15" s="12" t="str">
        <f>IFERROR(__xludf.DUMMYFUNCTION("AI(""Generate 6 powerful unique keywords for the product in this row"")"),"PR027 end cap, silver LED profile caps, LED channel end caps, profile end caps with holes, linear lighting accessories, aluminum profile cover cap")</f>
        <v>PR027 end cap, silver LED profile caps, LED channel end caps, profile end caps with holes, linear lighting accessories, aluminum profile cover cap</v>
      </c>
      <c r="AB15" s="12" t="s">
        <v>111</v>
      </c>
    </row>
    <row r="16">
      <c r="A16" s="10" t="s">
        <v>112</v>
      </c>
      <c r="B16" s="10" t="s">
        <v>113</v>
      </c>
      <c r="C16" s="10" t="s">
        <v>30</v>
      </c>
      <c r="D16" s="10" t="s">
        <v>31</v>
      </c>
      <c r="E16" s="10" t="s">
        <v>32</v>
      </c>
      <c r="F16" s="11" t="str">
        <f>IFERROR(__xludf.DUMMYFUNCTION("AI(""Give me a paragraph marketing spiel for product in this row, no tech specs just marketing fluff "")"),"Elevate your interior environment with the PROM Diffuser. Skillfully engineered to soften illumination and eliminate harsh shadows, it crafts a warm, glare-free ambiance that adds a subtle, modern touch of luxury to your architectural lighting setup.")</f>
        <v>Elevate your interior environment with the PROM Diffuser. Skillfully engineered to soften illumination and eliminate harsh shadows, it crafts a warm, glare-free ambiance that adds a subtle, modern touch of luxury to your architectural lighting setup.</v>
      </c>
      <c r="G16" s="10" t="s">
        <v>114</v>
      </c>
      <c r="H16" s="11" t="str">
        <f>IFERROR(__xludf.DUMMYFUNCTION("AI(""Give me a paragraph marketing spiel for product in this row, no tech specs just marketing fluff under 180 characters "")"),"Bask in the smooth, elegant glow of the PROM diffuser. Designed to softly disperse light, it creates a warm, inviting ambiance with a clean, modern finish.")</f>
        <v>Bask in the smooth, elegant glow of the PROM diffuser. Designed to softly disperse light, it creates a warm, inviting ambiance with a clean, modern finish.</v>
      </c>
      <c r="I16" s="10" t="s">
        <v>115</v>
      </c>
      <c r="J16" s="12"/>
      <c r="K16" s="12"/>
      <c r="L16" s="10" t="s">
        <v>113</v>
      </c>
      <c r="M16" s="12"/>
      <c r="N16" s="12"/>
      <c r="O16" s="12"/>
      <c r="P16" s="12"/>
      <c r="Q16" s="12"/>
      <c r="R16" s="12"/>
      <c r="S16" s="12"/>
      <c r="T16" s="12"/>
      <c r="U16" s="12"/>
      <c r="V16" s="12"/>
      <c r="W16" s="10" t="s">
        <v>36</v>
      </c>
      <c r="X16" s="10"/>
      <c r="Y16" s="10"/>
      <c r="Z16" s="12"/>
      <c r="AA16" s="12" t="str">
        <f>IFERROR(__xludf.DUMMYFUNCTION("AI(""Generate 6 powerful unique keywords for the product in this row"")"),"PROM diffuser, linear lighting diffuser, LED profile lens cover, glare-free light diffuser, architectural lighting accessory, smooth LED diffuser")</f>
        <v>PROM diffuser, linear lighting diffuser, LED profile lens cover, glare-free light diffuser, architectural lighting accessory, smooth LED diffuser</v>
      </c>
      <c r="AB16" s="12" t="s">
        <v>116</v>
      </c>
    </row>
    <row r="17">
      <c r="A17" s="10" t="s">
        <v>117</v>
      </c>
      <c r="B17" s="10" t="s">
        <v>118</v>
      </c>
      <c r="C17" s="10" t="s">
        <v>30</v>
      </c>
      <c r="D17" s="10" t="s">
        <v>31</v>
      </c>
      <c r="E17" s="10" t="s">
        <v>32</v>
      </c>
      <c r="F17" s="11" t="str">
        <f>IFERROR(__xludf.DUMMYFUNCTION("AI(""Give me a paragraph marketing spiel for product in this row, no tech specs just marketing fluff "")"),"Transform your space with our Standard Diffuser, crafted to deliver beautifully soft, even illumination. By gently smoothing out harsh LED points, it creates a warm, welcoming atmosphere that enhances your interior design with effortless, timeless eleganc"&amp;"e.")</f>
        <v>Transform your space with our Standard Diffuser, crafted to deliver beautifully soft, even illumination. By gently smoothing out harsh LED points, it creates a warm, welcoming atmosphere that enhances your interior design with effortless, timeless elegance.</v>
      </c>
      <c r="G17" s="10" t="s">
        <v>119</v>
      </c>
      <c r="H17" s="11" t="str">
        <f>IFERROR(__xludf.DUMMYFUNCTION("AI(""Give me a paragraph marketing spiel for product in this row, no tech specs just marketing fluff under 180 characters "")"),"Enhance your ambiance with soft, balanced illumination. This standard diffuser eliminates harsh shadows, bringing effortless elegance and refined style to your space.")</f>
        <v>Enhance your ambiance with soft, balanced illumination. This standard diffuser eliminates harsh shadows, bringing effortless elegance and refined style to your space.</v>
      </c>
      <c r="I17" s="10" t="s">
        <v>120</v>
      </c>
      <c r="J17" s="12"/>
      <c r="K17" s="12"/>
      <c r="L17" s="10" t="s">
        <v>121</v>
      </c>
      <c r="M17" s="12"/>
      <c r="N17" s="12"/>
      <c r="O17" s="12"/>
      <c r="P17" s="12"/>
      <c r="Q17" s="12"/>
      <c r="R17" s="12"/>
      <c r="S17" s="12"/>
      <c r="T17" s="12"/>
      <c r="U17" s="12"/>
      <c r="V17" s="12"/>
      <c r="W17" s="10" t="s">
        <v>36</v>
      </c>
      <c r="X17" s="10"/>
      <c r="Y17" s="10"/>
      <c r="Z17" s="12"/>
      <c r="AA17" s="12" t="str">
        <f>IFERROR(__xludf.DUMMYFUNCTION("AI(""Generate 6 powerful unique keywords for the product in this row"")"),"standard LED diffuser, PR001 PR002 PR005 diffuser, PR006 PR009 diffuser lens, linear LED cover, light profile diffuser, LED channel lens cover")</f>
        <v>standard LED diffuser, PR001 PR002 PR005 diffuser, PR006 PR009 diffuser lens, linear LED cover, light profile diffuser, LED channel lens cover</v>
      </c>
      <c r="AB17" s="12" t="s">
        <v>122</v>
      </c>
    </row>
    <row r="18">
      <c r="A18" s="10" t="s">
        <v>123</v>
      </c>
      <c r="B18" s="10" t="s">
        <v>124</v>
      </c>
      <c r="C18" s="10" t="s">
        <v>30</v>
      </c>
      <c r="D18" s="10" t="s">
        <v>31</v>
      </c>
      <c r="E18" s="10" t="s">
        <v>32</v>
      </c>
      <c r="F18" s="11" t="str">
        <f>IFERROR(__xludf.DUMMYFUNCTION("AI(""Give me a paragraph marketing spiel for product in this row, no tech specs just marketing fluff "")"),"Bring seamless beauty to your room with the PR007 Diffuser. Creating a smooth, continuous ribbon of light, it softens harsh shadows and infuses your architectural lighting scheme with effortless modern sophistication and comfortable visual warmth.")</f>
        <v>Bring seamless beauty to your room with the PR007 Diffuser. Creating a smooth, continuous ribbon of light, it softens harsh shadows and infuses your architectural lighting scheme with effortless modern sophistication and comfortable visual warmth.</v>
      </c>
      <c r="G18" s="10" t="s">
        <v>125</v>
      </c>
      <c r="H18" s="11" t="str">
        <f>IFERROR(__xludf.DUMMYFUNCTION("AI(""Give me a paragraph marketing spiel for product in this row, no tech specs just marketing fluff under 180 characters "")"),"Create a smooth, continuous glow with the PR007 Diffuser. Soften harsh shadows and instantly elevate your space with a captivating, modern lighting experience.")</f>
        <v>Create a smooth, continuous glow with the PR007 Diffuser. Soften harsh shadows and instantly elevate your space with a captivating, modern lighting experience.</v>
      </c>
      <c r="I18" s="10" t="s">
        <v>126</v>
      </c>
      <c r="J18" s="12"/>
      <c r="K18" s="12"/>
      <c r="L18" s="10" t="s">
        <v>124</v>
      </c>
      <c r="M18" s="12"/>
      <c r="N18" s="12"/>
      <c r="O18" s="12"/>
      <c r="P18" s="12"/>
      <c r="Q18" s="12"/>
      <c r="R18" s="12"/>
      <c r="S18" s="12"/>
      <c r="T18" s="12"/>
      <c r="U18" s="12"/>
      <c r="V18" s="12"/>
      <c r="W18" s="10" t="s">
        <v>36</v>
      </c>
      <c r="X18" s="10"/>
      <c r="Y18" s="10"/>
      <c r="Z18" s="12"/>
      <c r="AA18" s="12" t="str">
        <f>IFERROR(__xludf.DUMMYFUNCTION("AI(""Generate 6 powerful unique keywords for the product in this row"")"),"PR007 diffuser, LED profile diffuser, continuous light cover, linear lighting accessory, channel light lens, soft glow diffuser")</f>
        <v>PR007 diffuser, LED profile diffuser, continuous light cover, linear lighting accessory, channel light lens, soft glow diffuser</v>
      </c>
      <c r="AB18" s="12" t="s">
        <v>127</v>
      </c>
    </row>
    <row r="19">
      <c r="A19" s="10" t="s">
        <v>128</v>
      </c>
      <c r="B19" s="10" t="s">
        <v>129</v>
      </c>
      <c r="C19" s="10" t="s">
        <v>30</v>
      </c>
      <c r="D19" s="10" t="s">
        <v>31</v>
      </c>
      <c r="E19" s="10" t="s">
        <v>32</v>
      </c>
      <c r="F19" s="11" t="str">
        <f>IFERROR(__xludf.DUMMYFUNCTION("AI(""Give me a paragraph marketing spiel for product in this row, no tech specs just marketing fluff "")"),"Reinvent your lighting experience with the PR008 Diffuser. Designed to effortlessly soften intense light source points into a captivating, gentle glow, it ensures your linear lighting delivers an alluring, sophisticated atmosphere in any setting.")</f>
        <v>Reinvent your lighting experience with the PR008 Diffuser. Designed to effortlessly soften intense light source points into a captivating, gentle glow, it ensures your linear lighting delivers an alluring, sophisticated atmosphere in any setting.</v>
      </c>
      <c r="G19" s="10" t="s">
        <v>130</v>
      </c>
      <c r="H19" s="11" t="str">
        <f>IFERROR(__xludf.DUMMYFUNCTION("AI(""Give me a paragraph marketing spiel for product in this row, no tech specs just marketing fluff under 180 characters "")"),"Elevate your room with a mesmerizing, soft glow. The PR008 Diffuser eliminates harsh glare to deliver a clean, sophisticated ambiance you'll love.")</f>
        <v>Elevate your room with a mesmerizing, soft glow. The PR008 Diffuser eliminates harsh glare to deliver a clean, sophisticated ambiance you'll love.</v>
      </c>
      <c r="I19" s="10" t="s">
        <v>131</v>
      </c>
      <c r="J19" s="12"/>
      <c r="K19" s="12"/>
      <c r="L19" s="10" t="s">
        <v>129</v>
      </c>
      <c r="M19" s="12"/>
      <c r="N19" s="12"/>
      <c r="O19" s="12"/>
      <c r="P19" s="12"/>
      <c r="Q19" s="12"/>
      <c r="R19" s="12"/>
      <c r="S19" s="12"/>
      <c r="T19" s="12"/>
      <c r="U19" s="12"/>
      <c r="V19" s="12"/>
      <c r="W19" s="10" t="s">
        <v>36</v>
      </c>
      <c r="X19" s="10"/>
      <c r="Y19" s="10"/>
      <c r="Z19" s="12"/>
      <c r="AA19" s="12" t="str">
        <f>IFERROR(__xludf.DUMMYFUNCTION("AI(""Generate 6 powerful unique keywords for the product in this row"")"),"PR008 diffuser, anti-glare light cover, linear channel lens, strip light diffuser, LED profile cover, glare reduction lens")</f>
        <v>PR008 diffuser, anti-glare light cover, linear channel lens, strip light diffuser, LED profile cover, glare reduction lens</v>
      </c>
      <c r="AB19" s="12" t="s">
        <v>132</v>
      </c>
    </row>
    <row r="20">
      <c r="A20" s="10" t="s">
        <v>133</v>
      </c>
      <c r="B20" s="10" t="s">
        <v>134</v>
      </c>
      <c r="C20" s="10" t="s">
        <v>30</v>
      </c>
      <c r="D20" s="10" t="s">
        <v>31</v>
      </c>
      <c r="E20" s="10" t="s">
        <v>32</v>
      </c>
      <c r="F20" s="11" t="str">
        <f>IFERROR(__xludf.DUMMYFUNCTION("AI(""Give me a paragraph marketing spiel for product in this row, no tech specs just marketing fluff "")"),"Elevate your interior lighting with the PR016 Diffuser. Turning harsh light into a smooth, enchanting radiance, it brings modern elegance and comforting warmth to your home or office, giving your linear fixtures a high-end, professionally finished feel.")</f>
        <v>Elevate your interior lighting with the PR016 Diffuser. Turning harsh light into a smooth, enchanting radiance, it brings modern elegance and comforting warmth to your home or office, giving your linear fixtures a high-end, professionally finished feel.</v>
      </c>
      <c r="G20" s="10" t="s">
        <v>135</v>
      </c>
      <c r="H20" s="11" t="str">
        <f>IFERROR(__xludf.DUMMYFUNCTION("AI(""Give me a paragraph marketing spiel for product in this row, no tech specs just marketing fluff under 180 characters "")"),"Bring modern elegance to your lighting design. The PR016 Diffuser transforms harsh light into a smooth, warm glow for a polished and inviting atmosphere.")</f>
        <v>Bring modern elegance to your lighting design. The PR016 Diffuser transforms harsh light into a smooth, warm glow for a polished and inviting atmosphere.</v>
      </c>
      <c r="I20" s="10" t="s">
        <v>136</v>
      </c>
      <c r="J20" s="12"/>
      <c r="K20" s="12"/>
      <c r="L20" s="10" t="s">
        <v>134</v>
      </c>
      <c r="M20" s="12"/>
      <c r="N20" s="12"/>
      <c r="O20" s="12"/>
      <c r="P20" s="12"/>
      <c r="Q20" s="12"/>
      <c r="R20" s="12"/>
      <c r="S20" s="12"/>
      <c r="T20" s="12"/>
      <c r="U20" s="12"/>
      <c r="V20" s="12"/>
      <c r="W20" s="10" t="s">
        <v>36</v>
      </c>
      <c r="X20" s="10"/>
      <c r="Y20" s="10"/>
      <c r="Z20" s="12"/>
      <c r="AA20" s="12" t="str">
        <f>IFERROR(__xludf.DUMMYFUNCTION("AI(""Generate 6 powerful unique keywords for the product in this row"")"),"PR016 diffuser, architectural light cover, LED channel lens, linear fixture diffuser, frosted profile lens, smooth illumination cover")</f>
        <v>PR016 diffuser, architectural light cover, LED channel lens, linear fixture diffuser, frosted profile lens, smooth illumination cover</v>
      </c>
      <c r="AB20" s="12" t="s">
        <v>137</v>
      </c>
    </row>
    <row r="21">
      <c r="A21" s="10" t="s">
        <v>138</v>
      </c>
      <c r="B21" s="10" t="s">
        <v>139</v>
      </c>
      <c r="C21" s="10" t="s">
        <v>30</v>
      </c>
      <c r="D21" s="10" t="s">
        <v>31</v>
      </c>
      <c r="E21" s="10" t="s">
        <v>32</v>
      </c>
      <c r="F21" s="11" t="str">
        <f>IFERROR(__xludf.DUMMYFUNCTION("AI(""Give me a paragraph marketing spiel for product in this row, no tech specs just marketing fluff "")"),"Enhance your space with the stylish PR017 Diffuser. Engineered for optimal optical comfort, it converts raw illumination into a soft, captivating glow that creates an inviting atmosphere while delivering a clean, modern aesthetic to your custom light runs"&amp;".")</f>
        <v>Enhance your space with the stylish PR017 Diffuser. Engineered for optimal optical comfort, it converts raw illumination into a soft, captivating glow that creates an inviting atmosphere while delivering a clean, modern aesthetic to your custom light runs.</v>
      </c>
      <c r="G21" s="10" t="s">
        <v>140</v>
      </c>
      <c r="H21" s="11" t="str">
        <f>IFERROR(__xludf.DUMMYFUNCTION("AI(""Give me a paragraph marketing spiel for product in this row, no tech specs just marketing fluff under 180 characters "")"),"Enjoy mesmerizing illumination with flawless continuity. The PR017 Diffuser softens light seamlessly to provide the ultimate finishing touch for modern spaces.")</f>
        <v>Enjoy mesmerizing illumination with flawless continuity. The PR017 Diffuser softens light seamlessly to provide the ultimate finishing touch for modern spaces.</v>
      </c>
      <c r="I21" s="10" t="s">
        <v>141</v>
      </c>
      <c r="J21" s="12"/>
      <c r="K21" s="12"/>
      <c r="L21" s="10" t="s">
        <v>139</v>
      </c>
      <c r="M21" s="12"/>
      <c r="N21" s="12"/>
      <c r="O21" s="12"/>
      <c r="P21" s="12"/>
      <c r="Q21" s="12"/>
      <c r="R21" s="12"/>
      <c r="S21" s="12"/>
      <c r="T21" s="12"/>
      <c r="U21" s="12"/>
      <c r="V21" s="12"/>
      <c r="W21" s="10" t="s">
        <v>36</v>
      </c>
      <c r="X21" s="10"/>
      <c r="Y21" s="10"/>
      <c r="Z21" s="12"/>
      <c r="AA21" s="12" t="str">
        <f>IFERROR(__xludf.DUMMYFUNCTION("AI(""Generate 6 powerful unique keywords for the product in this row"")"),"PR017 diffuser, optical light diffuser, custom LED channel cover, continuous ribbon lens, linear profile cover, soft light lens")</f>
        <v>PR017 diffuser, optical light diffuser, custom LED channel cover, continuous ribbon lens, linear profile cover, soft light lens</v>
      </c>
      <c r="AB21" s="12" t="s">
        <v>142</v>
      </c>
    </row>
    <row r="22">
      <c r="A22" s="10" t="s">
        <v>143</v>
      </c>
      <c r="B22" s="10" t="s">
        <v>144</v>
      </c>
      <c r="C22" s="10" t="s">
        <v>30</v>
      </c>
      <c r="D22" s="10" t="s">
        <v>31</v>
      </c>
      <c r="E22" s="10" t="s">
        <v>32</v>
      </c>
      <c r="F22" s="11" t="str">
        <f>IFERROR(__xludf.DUMMYFUNCTION("AI(""Give me a paragraph marketing spiel for product in this row, no tech specs just marketing fluff "")"),"Soften intense lighting into a smooth, ambient glow with the PR018 Diffuser. Perfectly diffusing output across the channel, it adds warmth, modern luxury, and a high-end architectural finish that enhances the visual comfort of any contemporary environment"&amp;".")</f>
        <v>Soften intense lighting into a smooth, ambient glow with the PR018 Diffuser. Perfectly diffusing output across the channel, it adds warmth, modern luxury, and a high-end architectural finish that enhances the visual comfort of any contemporary environment.</v>
      </c>
      <c r="G22" s="10" t="s">
        <v>145</v>
      </c>
      <c r="H22" s="11" t="str">
        <f>IFERROR(__xludf.DUMMYFUNCTION("AI(""Give me a paragraph marketing spiel for product in this row, no tech specs just marketing fluff under 180 characters "")"),"Add a touch of high-end elegance with the PR018 Diffuser. It creates a smooth, ambient glow that effortlessly transforms your space into an inviting retreat.")</f>
        <v>Add a touch of high-end elegance with the PR018 Diffuser. It creates a smooth, ambient glow that effortlessly transforms your space into an inviting retreat.</v>
      </c>
      <c r="I22" s="10" t="s">
        <v>146</v>
      </c>
      <c r="J22" s="12"/>
      <c r="K22" s="12"/>
      <c r="L22" s="10" t="s">
        <v>144</v>
      </c>
      <c r="M22" s="12"/>
      <c r="N22" s="12"/>
      <c r="O22" s="12"/>
      <c r="P22" s="12"/>
      <c r="Q22" s="12"/>
      <c r="R22" s="12"/>
      <c r="S22" s="12"/>
      <c r="T22" s="12"/>
      <c r="U22" s="12"/>
      <c r="V22" s="12"/>
      <c r="W22" s="10" t="s">
        <v>36</v>
      </c>
      <c r="X22" s="10"/>
      <c r="Y22" s="10"/>
      <c r="Z22" s="12"/>
      <c r="AA22" s="12" t="str">
        <f>IFERROR(__xludf.DUMMYFUNCTION("AI(""Generate 6 powerful unique keywords for the product in this row"")"),"PR018 diffuser, ambient lighting lens, architectural profile cover, LED channel diffuser, linear extrusion cover, high-end light cover")</f>
        <v>PR018 diffuser, ambient lighting lens, architectural profile cover, LED channel diffuser, linear extrusion cover, high-end light cover</v>
      </c>
      <c r="AB22" s="12" t="s">
        <v>147</v>
      </c>
    </row>
    <row r="23">
      <c r="A23" s="10" t="s">
        <v>148</v>
      </c>
      <c r="B23" s="10" t="s">
        <v>149</v>
      </c>
      <c r="C23" s="10" t="s">
        <v>30</v>
      </c>
      <c r="D23" s="10" t="s">
        <v>31</v>
      </c>
      <c r="E23" s="10" t="s">
        <v>32</v>
      </c>
      <c r="F23" s="11" t="str">
        <f>IFERROR(__xludf.DUMMYFUNCTION("AI(""Give me a paragraph marketing spiel for product in this row, no tech specs just marketing fluff "")"),"Transform bright LED strips into a seamless, captivating line of light with the PR021 Diffuser. Adding an effortlessly elegant, professional finish to your profile runs, it ensures your lighting produces a beautifully balanced glow without distracting gla"&amp;"re.")</f>
        <v>Transform bright LED strips into a seamless, captivating line of light with the PR021 Diffuser. Adding an effortlessly elegant, professional finish to your profile runs, it ensures your lighting produces a beautifully balanced glow without distracting glare.</v>
      </c>
      <c r="G23" s="10" t="s">
        <v>150</v>
      </c>
      <c r="H23" s="11" t="str">
        <f>IFERROR(__xludf.DUMMYFUNCTION("AI(""Give me a paragraph marketing spiel for product in this row, no tech specs just marketing fluff under 180 characters "")"),"Achieve a sleek linear light effect with the PR021 Diffuser. Designed to soften harsh light into a continuous glow, it brings refined beauty to any room.")</f>
        <v>Achieve a sleek linear light effect with the PR021 Diffuser. Designed to soften harsh light into a continuous glow, it brings refined beauty to any room.</v>
      </c>
      <c r="I23" s="10" t="s">
        <v>151</v>
      </c>
      <c r="J23" s="12"/>
      <c r="K23" s="12"/>
      <c r="L23" s="10" t="s">
        <v>149</v>
      </c>
      <c r="M23" s="12"/>
      <c r="N23" s="12"/>
      <c r="O23" s="12"/>
      <c r="P23" s="12"/>
      <c r="Q23" s="12"/>
      <c r="R23" s="12"/>
      <c r="S23" s="12"/>
      <c r="T23" s="12"/>
      <c r="U23" s="12"/>
      <c r="V23" s="12"/>
      <c r="W23" s="10" t="s">
        <v>36</v>
      </c>
      <c r="X23" s="10"/>
      <c r="Y23" s="10"/>
      <c r="Z23" s="12"/>
      <c r="AA23" s="12" t="str">
        <f>IFERROR(__xludf.DUMMYFUNCTION("AI(""Generate 6 powerful unique keywords for the product in this row"")"),"PR021 diffuser, LED profile diffuser, linear light diffuser, seamless LED cover, glare-free diffuser, LED strip lens")</f>
        <v>PR021 diffuser, LED profile diffuser, linear light diffuser, seamless LED cover, glare-free diffuser, LED strip lens</v>
      </c>
      <c r="AB23" s="12" t="s">
        <v>152</v>
      </c>
    </row>
    <row r="24">
      <c r="A24" s="10" t="s">
        <v>153</v>
      </c>
      <c r="B24" s="10" t="s">
        <v>154</v>
      </c>
      <c r="C24" s="10" t="s">
        <v>30</v>
      </c>
      <c r="D24" s="10" t="s">
        <v>31</v>
      </c>
      <c r="E24" s="10" t="s">
        <v>32</v>
      </c>
      <c r="F24" s="11" t="str">
        <f>IFERROR(__xludf.DUMMYFUNCTION("AI(""Give me a paragraph marketing spiel for product in this row, no tech specs just marketing fluff "")"),"Elevate your lighting design with the sleek PR034 Diffuser. Designed to soften glare into a smooth, mesmerizing beam, it produces seamless lines of light that bring architectural elegance and modern luxury to custom residential or commercial spaces.")</f>
        <v>Elevate your lighting design with the sleek PR034 Diffuser. Designed to soften glare into a smooth, mesmerizing beam, it produces seamless lines of light that bring architectural elegance and modern luxury to custom residential or commercial spaces.</v>
      </c>
      <c r="G24" s="10" t="s">
        <v>155</v>
      </c>
      <c r="H24" s="11" t="str">
        <f>IFERROR(__xludf.DUMMYFUNCTION("AI(""Give me a paragraph marketing spiel for product in this row, no tech specs just marketing fluff under 180 characters "")"),"Elevate your interior design with soft, balanced light. The PR034 Diffuser creates continuous lines of glow for a high-end, modern finish that impresses.")</f>
        <v>Elevate your interior design with soft, balanced light. The PR034 Diffuser creates continuous lines of glow for a high-end, modern finish that impresses.</v>
      </c>
      <c r="I24" s="10" t="s">
        <v>156</v>
      </c>
      <c r="J24" s="12"/>
      <c r="K24" s="12"/>
      <c r="L24" s="10" t="s">
        <v>157</v>
      </c>
      <c r="M24" s="12"/>
      <c r="N24" s="12"/>
      <c r="O24" s="12"/>
      <c r="P24" s="12"/>
      <c r="Q24" s="12"/>
      <c r="R24" s="12"/>
      <c r="S24" s="12"/>
      <c r="T24" s="12"/>
      <c r="U24" s="12"/>
      <c r="V24" s="12"/>
      <c r="W24" s="10" t="s">
        <v>36</v>
      </c>
      <c r="X24" s="10"/>
      <c r="Y24" s="10"/>
      <c r="Z24" s="12"/>
      <c r="AA24" s="12" t="str">
        <f>IFERROR(__xludf.DUMMYFUNCTION("AI(""Generate 6 powerful unique keywords for the product in this row"")"),"PR034 diffuser, architectural light diffuser, LED profile cover, linear lighting diffuser, continuous glow diffuser, sleek LED diffuser")</f>
        <v>PR034 diffuser, architectural light diffuser, LED profile cover, linear lighting diffuser, continuous glow diffuser, sleek LED diffuser</v>
      </c>
      <c r="AB24" s="12" t="s">
        <v>158</v>
      </c>
    </row>
    <row r="25">
      <c r="A25" s="10" t="s">
        <v>159</v>
      </c>
      <c r="B25" s="10" t="s">
        <v>160</v>
      </c>
      <c r="C25" s="10" t="s">
        <v>30</v>
      </c>
      <c r="D25" s="10" t="s">
        <v>31</v>
      </c>
      <c r="E25" s="10" t="s">
        <v>32</v>
      </c>
      <c r="F25" s="11" t="str">
        <f>IFERROR(__xludf.DUMMYFUNCTION("AI(""Give me a paragraph marketing spiel for product in this row, no tech specs just marketing fluff "")"),"Transform your interior spaces with the PR115 Diffuser. Creating a beautifully continuous, softened glow, it effortlessly infuses warmth and modern elegance into your custom lighting, turning functional fixtures into impressive decorative statements.")</f>
        <v>Transform your interior spaces with the PR115 Diffuser. Creating a beautifully continuous, softened glow, it effortlessly infuses warmth and modern elegance into your custom lighting, turning functional fixtures into impressive decorative statements.</v>
      </c>
      <c r="G25" s="10" t="s">
        <v>161</v>
      </c>
      <c r="H25" s="11" t="str">
        <f>IFERROR(__xludf.DUMMYFUNCTION("AI(""Give me a paragraph marketing spiel for product in this row, no tech specs just marketing fluff under 180 characters "")"),"Experience smooth, professional-grade light diffusion with the PR115. Eliminate glare and add warmth, sophistication, and elegance to your custom LED setup.")</f>
        <v>Experience smooth, professional-grade light diffusion with the PR115. Eliminate glare and add warmth, sophistication, and elegance to your custom LED setup.</v>
      </c>
      <c r="I25" s="10" t="s">
        <v>162</v>
      </c>
      <c r="J25" s="12"/>
      <c r="K25" s="12"/>
      <c r="L25" s="10" t="s">
        <v>160</v>
      </c>
      <c r="M25" s="12"/>
      <c r="N25" s="12"/>
      <c r="O25" s="12"/>
      <c r="P25" s="12"/>
      <c r="Q25" s="12"/>
      <c r="R25" s="12"/>
      <c r="S25" s="12"/>
      <c r="T25" s="12"/>
      <c r="U25" s="12"/>
      <c r="V25" s="12"/>
      <c r="W25" s="10" t="s">
        <v>36</v>
      </c>
      <c r="X25" s="10"/>
      <c r="Y25" s="10"/>
      <c r="Z25" s="12"/>
      <c r="AA25" s="12" t="str">
        <f>IFERROR(__xludf.DUMMYFUNCTION("AI(""Generate 6 powerful unique keywords for the product in this row"")"),"PR115 diffuser, LED strip diffuser, professional light diffuser, custom LED cover, glare elimination lens, linear profile accessory")</f>
        <v>PR115 diffuser, LED strip diffuser, professional light diffuser, custom LED cover, glare elimination lens, linear profile accessory</v>
      </c>
      <c r="AB25" s="12" t="s">
        <v>163</v>
      </c>
    </row>
    <row r="26">
      <c r="A26" s="10" t="s">
        <v>164</v>
      </c>
      <c r="B26" s="10" t="s">
        <v>165</v>
      </c>
      <c r="C26" s="10" t="s">
        <v>30</v>
      </c>
      <c r="D26" s="10" t="s">
        <v>31</v>
      </c>
      <c r="E26" s="10" t="s">
        <v>32</v>
      </c>
      <c r="F26" s="11" t="str">
        <f>IFERROR(__xludf.DUMMYFUNCTION("AI(""Give me a paragraph marketing spiel for product in this row, no tech specs just marketing fluff "")"),"Upgrade your ambient lighting with the PR126 Diffuser. Crafted to deliver a soft, unbroken ribbon of light, it adds effortless elegance and modern luxury to your custom profile setup, ensuring a peaceful, glare-free environment.")</f>
        <v>Upgrade your ambient lighting with the PR126 Diffuser. Crafted to deliver a soft, unbroken ribbon of light, it adds effortless elegance and modern luxury to your custom profile setup, ensuring a peaceful, glare-free environment.</v>
      </c>
      <c r="G26" s="10" t="s">
        <v>166</v>
      </c>
      <c r="H26" s="11" t="str">
        <f>IFERROR(__xludf.DUMMYFUNCTION("AI(""Give me a paragraph marketing spiel for product in this row, no tech specs just marketing fluff under 180 characters "")"),"Transform ordinary lighting into a luxurious visual experience. The PR126 Diffuser softens light to deliver a smooth, sophisticated glow in any room.")</f>
        <v>Transform ordinary lighting into a luxurious visual experience. The PR126 Diffuser softens light to deliver a smooth, sophisticated glow in any room.</v>
      </c>
      <c r="I26" s="10" t="s">
        <v>167</v>
      </c>
      <c r="J26" s="12"/>
      <c r="K26" s="12"/>
      <c r="L26" s="10" t="s">
        <v>165</v>
      </c>
      <c r="M26" s="12"/>
      <c r="N26" s="12"/>
      <c r="O26" s="12"/>
      <c r="P26" s="12"/>
      <c r="Q26" s="12"/>
      <c r="R26" s="12"/>
      <c r="S26" s="12"/>
      <c r="T26" s="12"/>
      <c r="U26" s="12"/>
      <c r="V26" s="12"/>
      <c r="W26" s="10" t="s">
        <v>36</v>
      </c>
      <c r="X26" s="10"/>
      <c r="Y26" s="10"/>
      <c r="Z26" s="12"/>
      <c r="AA26" s="12" t="str">
        <f>IFERROR(__xludf.DUMMYFUNCTION("AI(""Generate 6 powerful unique keywords for the product in this row"")"),"PR126 diffuser, ambient light diffuser, LED channel cover, continuous ribbon diffuser, glare-free LED cover, profile light diffuser")</f>
        <v>PR126 diffuser, ambient light diffuser, LED channel cover, continuous ribbon diffuser, glare-free LED cover, profile light diffuser</v>
      </c>
      <c r="AB26" s="12" t="s">
        <v>168</v>
      </c>
    </row>
    <row r="27">
      <c r="A27" s="10" t="s">
        <v>169</v>
      </c>
      <c r="B27" s="10" t="s">
        <v>170</v>
      </c>
      <c r="C27" s="10" t="s">
        <v>30</v>
      </c>
      <c r="D27" s="10" t="s">
        <v>31</v>
      </c>
      <c r="E27" s="10" t="s">
        <v>32</v>
      </c>
      <c r="F27" s="11" t="str">
        <f>IFERROR(__xludf.DUMMYFUNCTION("AI(""Give me a paragraph marketing spiel for product in this row, no tech specs just marketing fluff "")"),"Elevate your linear lighting with the PR127 Diffuser. Delivering a smooth, flawless spread of light, it effortlessly introduces warm elegance and sophisticated modernity to any room, giving your architectural fixtures a clean, refined presence.")</f>
        <v>Elevate your linear lighting with the PR127 Diffuser. Delivering a smooth, flawless spread of light, it effortlessly introduces warm elegance and sophisticated modernity to any room, giving your architectural fixtures a clean, refined presence.</v>
      </c>
      <c r="G27" s="10" t="s">
        <v>171</v>
      </c>
      <c r="H27" s="11" t="str">
        <f>IFERROR(__xludf.DUMMYFUNCTION("AI(""Give me a paragraph marketing spiel for product in this row, no tech specs just marketing fluff under 180 characters "")"),"Refine your space with a smooth, flawless glow. The PR127 Diffuser softens light to create a warm, stylish ambiance for residential and commercial settings.")</f>
        <v>Refine your space with a smooth, flawless glow. The PR127 Diffuser softens light to create a warm, stylish ambiance for residential and commercial settings.</v>
      </c>
      <c r="I27" s="10" t="s">
        <v>172</v>
      </c>
      <c r="J27" s="12"/>
      <c r="K27" s="12"/>
      <c r="L27" s="10" t="s">
        <v>170</v>
      </c>
      <c r="M27" s="12"/>
      <c r="N27" s="12"/>
      <c r="O27" s="12"/>
      <c r="P27" s="12"/>
      <c r="Q27" s="12"/>
      <c r="R27" s="12"/>
      <c r="S27" s="12"/>
      <c r="T27" s="12"/>
      <c r="U27" s="12"/>
      <c r="V27" s="12"/>
      <c r="W27" s="10" t="s">
        <v>36</v>
      </c>
      <c r="X27" s="10"/>
      <c r="Y27" s="10"/>
      <c r="Z27" s="12"/>
      <c r="AA27" s="12" t="str">
        <f>IFERROR(__xludf.DUMMYFUNCTION("AI(""Generate 6 powerful unique keywords for the product in this row"")"),"PR127 diffuser, linear lighting diffuser, architectural LED cover, smooth glow diffuser, LED profile lens, commercial light diffuser")</f>
        <v>PR127 diffuser, linear lighting diffuser, architectural LED cover, smooth glow diffuser, LED profile lens, commercial light diffuser</v>
      </c>
      <c r="AB27" s="12" t="s">
        <v>173</v>
      </c>
    </row>
    <row r="28">
      <c r="A28" s="10" t="s">
        <v>174</v>
      </c>
      <c r="B28" s="10" t="s">
        <v>175</v>
      </c>
      <c r="C28" s="10" t="s">
        <v>30</v>
      </c>
      <c r="D28" s="10" t="s">
        <v>31</v>
      </c>
      <c r="E28" s="10" t="s">
        <v>32</v>
      </c>
      <c r="F28" s="11" t="str">
        <f>IFERROR(__xludf.DUMMYFUNCTION("AI(""Give me a paragraph marketing spiel for product in this row, no tech specs just marketing fluff "")"),"Elevate your interior ambiance with the PR130/PR131 Diffuser. Expertly designed to soften harsh illumination into a smooth, continuous glow, this stylish lens transforms bright light sources into a soothing visual experience. Bring modern warmth, seamless"&amp;" elegance, and sophisticated architectural flair to any residential or commercial space with this essential lighting companion.")</f>
        <v>Elevate your interior ambiance with the PR130/PR131 Diffuser. Expertly designed to soften harsh illumination into a smooth, continuous glow, this stylish lens transforms bright light sources into a soothing visual experience. Bring modern warmth, seamless elegance, and sophisticated architectural flair to any residential or commercial space with this essential lighting companion.</v>
      </c>
      <c r="G28" s="10" t="s">
        <v>176</v>
      </c>
      <c r="H28" s="11" t="str">
        <f>IFERROR(__xludf.DUMMYFUNCTION("AI(""Give me a paragraph marketing spiel for product in this row, no tech specs just marketing fluff under 180 characters "")"),"Transform your space with the PR130/PR131 Diffuser. Soften illumination into a continuous glow that adds elegant, modern sophistication to any custom lighting setup.")</f>
        <v>Transform your space with the PR130/PR131 Diffuser. Soften illumination into a continuous glow that adds elegant, modern sophistication to any custom lighting setup.</v>
      </c>
      <c r="I28" s="10" t="s">
        <v>177</v>
      </c>
      <c r="J28" s="12"/>
      <c r="K28" s="12"/>
      <c r="L28" s="10" t="s">
        <v>175</v>
      </c>
      <c r="M28" s="12"/>
      <c r="N28" s="12"/>
      <c r="O28" s="12"/>
      <c r="P28" s="12"/>
      <c r="Q28" s="12"/>
      <c r="R28" s="12"/>
      <c r="S28" s="12"/>
      <c r="T28" s="12"/>
      <c r="U28" s="12"/>
      <c r="V28" s="12"/>
      <c r="W28" s="10" t="s">
        <v>36</v>
      </c>
      <c r="X28" s="10"/>
      <c r="Y28" s="10"/>
      <c r="Z28" s="12"/>
      <c r="AA28" s="12" t="str">
        <f>IFERROR(__xludf.DUMMYFUNCTION("AI(""Generate 6 powerful unique keywords for the product in this row"")"),"PR130 diffuser, PR131 diffuser, LED light diffuser, continuous glow lens, linear lighting lens, LED profile diffuser")</f>
        <v>PR130 diffuser, PR131 diffuser, LED light diffuser, continuous glow lens, linear lighting lens, LED profile diffuser</v>
      </c>
      <c r="AB28" s="12" t="s">
        <v>178</v>
      </c>
    </row>
    <row r="29">
      <c r="A29" s="10" t="s">
        <v>179</v>
      </c>
      <c r="B29" s="10" t="s">
        <v>180</v>
      </c>
      <c r="C29" s="10" t="s">
        <v>30</v>
      </c>
      <c r="D29" s="10" t="s">
        <v>31</v>
      </c>
      <c r="E29" s="10" t="s">
        <v>32</v>
      </c>
      <c r="F29" s="11" t="str">
        <f>IFERROR(__xludf.DUMMYFUNCTION("AI(""Give me a paragraph marketing spiel for product in this row, no tech specs just marketing fluff "")"),"Transform any atmosphere with the PR132 Diffuser. Effortlessly smoothing out bright light into a gentle, inviting radiance, this elegant diffuser adds a refined touch of modern sophistication to your lighting setup. Perfect for creating seamless visual co"&amp;"mfort, it enhances the overall aesthetic appeal of your environment while establishing an ambiance of pure luxury and warmth.")</f>
        <v>Transform any atmosphere with the PR132 Diffuser. Effortlessly smoothing out bright light into a gentle, inviting radiance, this elegant diffuser adds a refined touch of modern sophistication to your lighting setup. Perfect for creating seamless visual comfort, it enhances the overall aesthetic appeal of your environment while establishing an ambiance of pure luxury and warmth.</v>
      </c>
      <c r="G29" s="10" t="s">
        <v>181</v>
      </c>
      <c r="H29" s="11" t="str">
        <f>IFERROR(__xludf.DUMMYFUNCTION("AI(""Give me a paragraph marketing spiel for product in this row, no tech specs just marketing fluff under 180 characters "")"),"Elevate your lighting with the PR132 Diffuser. Effortlessly soften and blend light to create a smooth, continuous glow that brings warmth and modern sophistication.")</f>
        <v>Elevate your lighting with the PR132 Diffuser. Effortlessly soften and blend light to create a smooth, continuous glow that brings warmth and modern sophistication.</v>
      </c>
      <c r="I29" s="10" t="s">
        <v>182</v>
      </c>
      <c r="J29" s="12"/>
      <c r="K29" s="12"/>
      <c r="L29" s="10" t="s">
        <v>180</v>
      </c>
      <c r="M29" s="12"/>
      <c r="N29" s="12"/>
      <c r="O29" s="12"/>
      <c r="P29" s="12"/>
      <c r="Q29" s="12"/>
      <c r="R29" s="12"/>
      <c r="S29" s="12"/>
      <c r="T29" s="12"/>
      <c r="U29" s="12"/>
      <c r="V29" s="12"/>
      <c r="W29" s="10" t="s">
        <v>36</v>
      </c>
      <c r="X29" s="10"/>
      <c r="Y29" s="10"/>
      <c r="Z29" s="12"/>
      <c r="AA29" s="12" t="str">
        <f>IFERROR(__xludf.DUMMYFUNCTION("AI(""Generate 6 powerful unique keywords for the product in this row"")"),"PR132 diffuser, LED profile diffuser, light softening lens, linear lighting accessory, diffuse light cover, LED channel lens")</f>
        <v>PR132 diffuser, LED profile diffuser, light softening lens, linear lighting accessory, diffuse light cover, LED channel lens</v>
      </c>
      <c r="AB29" s="12" t="s">
        <v>183</v>
      </c>
    </row>
    <row r="30">
      <c r="A30" s="10" t="s">
        <v>184</v>
      </c>
      <c r="B30" s="10" t="s">
        <v>185</v>
      </c>
      <c r="C30" s="10" t="s">
        <v>30</v>
      </c>
      <c r="D30" s="10" t="s">
        <v>31</v>
      </c>
      <c r="E30" s="10" t="s">
        <v>32</v>
      </c>
      <c r="F30" s="11" t="str">
        <f>IFERROR(__xludf.DUMMYFUNCTION("AI(""Give me a paragraph marketing spiel for product in this row, no tech specs just marketing fluff "")"),"Elevate your lighting concept to new heights with our modern Suspension Wire. Designed to give your linear fixtures an intriguing, floating presence, this premium accessory creates an effortless sense of spatial elegance and contemporary luxury. Bring cle"&amp;"an architectural lines and stunning visual impact to any floating installation with a sleek, minimalist touch.")</f>
        <v>Elevate your lighting concept to new heights with our modern Suspension Wire. Designed to give your linear fixtures an intriguing, floating presence, this premium accessory creates an effortless sense of spatial elegance and contemporary luxury. Bring clean architectural lines and stunning visual impact to any floating installation with a sleek, minimalist touch.</v>
      </c>
      <c r="G30" s="10" t="s">
        <v>186</v>
      </c>
      <c r="H30" s="11" t="str">
        <f>IFERROR(__xludf.DUMMYFUNCTION("AI(""Give me a paragraph marketing spiel for product in this row, no tech specs just marketing fluff under 180 characters "")"),"Bring an effortless sense of elegance to your space with our Suspension Wire. Create a sleek floating presence that complements any contemporary interior.")</f>
        <v>Bring an effortless sense of elegance to your space with our Suspension Wire. Create a sleek floating presence that complements any contemporary interior.</v>
      </c>
      <c r="I30" s="10" t="s">
        <v>187</v>
      </c>
      <c r="J30" s="12"/>
      <c r="K30" s="12"/>
      <c r="L30" s="10" t="s">
        <v>188</v>
      </c>
      <c r="M30" s="12"/>
      <c r="N30" s="12"/>
      <c r="O30" s="12"/>
      <c r="P30" s="12"/>
      <c r="Q30" s="12"/>
      <c r="R30" s="12"/>
      <c r="S30" s="12"/>
      <c r="T30" s="12"/>
      <c r="U30" s="12"/>
      <c r="V30" s="12"/>
      <c r="W30" s="10" t="s">
        <v>36</v>
      </c>
      <c r="X30" s="10"/>
      <c r="Y30" s="10"/>
      <c r="Z30" s="12"/>
      <c r="AA30" s="12" t="str">
        <f>IFERROR(__xludf.DUMMYFUNCTION("AI(""Generate 6 powerful unique keywords for the product in this row"")"),"suspension wire, 316 stainless steel wire, PR127 suspension kit, hanging light kit, linear fixture suspension, pendant hanging wire")</f>
        <v>suspension wire, 316 stainless steel wire, PR127 suspension kit, hanging light kit, linear fixture suspension, pendant hanging wire</v>
      </c>
      <c r="AB30" s="12" t="s">
        <v>189</v>
      </c>
    </row>
    <row r="31">
      <c r="A31" s="12"/>
      <c r="B31" s="12"/>
      <c r="C31" s="12"/>
      <c r="D31" s="12"/>
      <c r="E31" s="12"/>
      <c r="F31" s="13"/>
      <c r="G31" s="13"/>
      <c r="H31" s="13"/>
      <c r="I31" s="13"/>
      <c r="J31" s="12"/>
      <c r="K31" s="12"/>
      <c r="L31" s="12"/>
      <c r="M31" s="12"/>
      <c r="N31" s="12"/>
      <c r="O31" s="12"/>
      <c r="P31" s="12"/>
      <c r="Q31" s="12"/>
      <c r="R31" s="12"/>
      <c r="S31" s="12"/>
      <c r="T31" s="12"/>
      <c r="U31" s="12"/>
      <c r="V31" s="12"/>
      <c r="W31" s="12"/>
      <c r="X31" s="12"/>
      <c r="Y31" s="12"/>
      <c r="Z31" s="12"/>
      <c r="AA31" s="12"/>
      <c r="AB31" s="12"/>
    </row>
    <row r="32">
      <c r="A32" s="12"/>
      <c r="B32" s="12"/>
      <c r="C32" s="12"/>
      <c r="D32" s="12"/>
      <c r="E32" s="12"/>
      <c r="F32" s="13"/>
      <c r="G32" s="13"/>
      <c r="H32" s="13"/>
      <c r="I32" s="13"/>
      <c r="J32" s="12"/>
      <c r="K32" s="12"/>
      <c r="L32" s="12"/>
      <c r="M32" s="12"/>
      <c r="N32" s="12"/>
      <c r="O32" s="12"/>
      <c r="P32" s="12"/>
      <c r="Q32" s="12"/>
      <c r="R32" s="12"/>
      <c r="S32" s="12"/>
      <c r="T32" s="12"/>
      <c r="U32" s="12"/>
      <c r="V32" s="12"/>
      <c r="W32" s="12"/>
      <c r="X32" s="12"/>
      <c r="Y32" s="12"/>
      <c r="Z32" s="12"/>
      <c r="AA32" s="12"/>
      <c r="AB32" s="12"/>
    </row>
    <row r="33">
      <c r="A33" s="12"/>
      <c r="B33" s="12"/>
      <c r="C33" s="12"/>
      <c r="D33" s="12"/>
      <c r="E33" s="12"/>
      <c r="F33" s="13"/>
      <c r="G33" s="13"/>
      <c r="H33" s="13"/>
      <c r="I33" s="13"/>
      <c r="J33" s="12"/>
      <c r="K33" s="12"/>
      <c r="L33" s="12"/>
      <c r="M33" s="12"/>
      <c r="N33" s="12"/>
      <c r="O33" s="12"/>
      <c r="P33" s="12"/>
      <c r="Q33" s="12"/>
      <c r="R33" s="12"/>
      <c r="S33" s="12"/>
      <c r="T33" s="12"/>
      <c r="U33" s="12"/>
      <c r="V33" s="12"/>
      <c r="W33" s="12"/>
      <c r="X33" s="12"/>
      <c r="Y33" s="12"/>
      <c r="Z33" s="12"/>
      <c r="AA33" s="12"/>
      <c r="AB33" s="12"/>
    </row>
    <row r="34">
      <c r="A34" s="12"/>
      <c r="B34" s="12"/>
      <c r="C34" s="12"/>
      <c r="D34" s="12"/>
      <c r="E34" s="12"/>
      <c r="F34" s="13"/>
      <c r="G34" s="13"/>
      <c r="H34" s="13"/>
      <c r="I34" s="13"/>
      <c r="J34" s="12"/>
      <c r="K34" s="12"/>
      <c r="L34" s="12"/>
      <c r="M34" s="12"/>
      <c r="N34" s="12"/>
      <c r="O34" s="12"/>
      <c r="P34" s="12"/>
      <c r="Q34" s="12"/>
      <c r="R34" s="12"/>
      <c r="S34" s="12"/>
      <c r="T34" s="12"/>
      <c r="U34" s="12"/>
      <c r="V34" s="12"/>
      <c r="W34" s="12"/>
      <c r="X34" s="12"/>
      <c r="Y34" s="12"/>
      <c r="Z34" s="12"/>
      <c r="AA34" s="12"/>
      <c r="AB34" s="12"/>
    </row>
    <row r="35">
      <c r="A35" s="12"/>
      <c r="B35" s="12"/>
      <c r="C35" s="12"/>
      <c r="D35" s="12"/>
      <c r="E35" s="12"/>
      <c r="F35" s="13"/>
      <c r="G35" s="13"/>
      <c r="H35" s="13"/>
      <c r="I35" s="13"/>
      <c r="J35" s="12"/>
      <c r="K35" s="12"/>
      <c r="L35" s="12"/>
      <c r="M35" s="12"/>
      <c r="N35" s="12"/>
      <c r="O35" s="12"/>
      <c r="P35" s="12"/>
      <c r="Q35" s="12"/>
      <c r="R35" s="12"/>
      <c r="S35" s="12"/>
      <c r="T35" s="12"/>
      <c r="U35" s="12"/>
      <c r="V35" s="12"/>
      <c r="W35" s="12"/>
      <c r="X35" s="12"/>
      <c r="Y35" s="12"/>
      <c r="Z35" s="12"/>
      <c r="AA35" s="12"/>
      <c r="AB35" s="12"/>
    </row>
    <row r="36">
      <c r="A36" s="12"/>
      <c r="B36" s="12"/>
      <c r="C36" s="12"/>
      <c r="D36" s="12"/>
      <c r="E36" s="12"/>
      <c r="F36" s="13"/>
      <c r="G36" s="13"/>
      <c r="H36" s="13"/>
      <c r="I36" s="13"/>
      <c r="J36" s="12"/>
      <c r="K36" s="12"/>
      <c r="L36" s="12"/>
      <c r="M36" s="12"/>
      <c r="N36" s="12"/>
      <c r="O36" s="12"/>
      <c r="P36" s="12"/>
      <c r="Q36" s="12"/>
      <c r="R36" s="12"/>
      <c r="S36" s="12"/>
      <c r="T36" s="12"/>
      <c r="U36" s="12"/>
      <c r="V36" s="12"/>
      <c r="W36" s="12"/>
      <c r="X36" s="12"/>
      <c r="Y36" s="12"/>
      <c r="Z36" s="12"/>
      <c r="AA36" s="12"/>
      <c r="AB36" s="12"/>
    </row>
    <row r="37">
      <c r="A37" s="12"/>
      <c r="B37" s="12"/>
      <c r="C37" s="12"/>
      <c r="D37" s="12"/>
      <c r="E37" s="12"/>
      <c r="F37" s="13"/>
      <c r="G37" s="13"/>
      <c r="H37" s="13"/>
      <c r="I37" s="13"/>
      <c r="J37" s="12"/>
      <c r="K37" s="12"/>
      <c r="L37" s="12"/>
      <c r="M37" s="12"/>
      <c r="N37" s="12"/>
      <c r="O37" s="12"/>
      <c r="P37" s="12"/>
      <c r="Q37" s="12"/>
      <c r="R37" s="12"/>
      <c r="S37" s="12"/>
      <c r="T37" s="12"/>
      <c r="U37" s="12"/>
      <c r="V37" s="12"/>
      <c r="W37" s="12"/>
      <c r="X37" s="12"/>
      <c r="Y37" s="12"/>
      <c r="Z37" s="12"/>
      <c r="AA37" s="12"/>
      <c r="AB37" s="12"/>
    </row>
    <row r="38">
      <c r="A38" s="12"/>
      <c r="B38" s="12"/>
      <c r="C38" s="12"/>
      <c r="D38" s="12"/>
      <c r="E38" s="12"/>
      <c r="F38" s="13"/>
      <c r="G38" s="13"/>
      <c r="H38" s="13"/>
      <c r="I38" s="13"/>
      <c r="J38" s="12"/>
      <c r="K38" s="12"/>
      <c r="L38" s="12"/>
      <c r="M38" s="12"/>
      <c r="N38" s="12"/>
      <c r="O38" s="12"/>
      <c r="P38" s="12"/>
      <c r="Q38" s="12"/>
      <c r="R38" s="12"/>
      <c r="S38" s="12"/>
      <c r="T38" s="12"/>
      <c r="U38" s="12"/>
      <c r="V38" s="12"/>
      <c r="W38" s="12"/>
      <c r="X38" s="12"/>
      <c r="Y38" s="12"/>
      <c r="Z38" s="12"/>
      <c r="AA38" s="12"/>
      <c r="AB38" s="12"/>
    </row>
    <row r="39">
      <c r="A39" s="12"/>
      <c r="B39" s="12"/>
      <c r="C39" s="12"/>
      <c r="D39" s="12"/>
      <c r="E39" s="12"/>
      <c r="F39" s="13"/>
      <c r="G39" s="13"/>
      <c r="H39" s="13"/>
      <c r="I39" s="13"/>
      <c r="J39" s="12"/>
      <c r="K39" s="12"/>
      <c r="L39" s="12"/>
      <c r="M39" s="12"/>
      <c r="N39" s="12"/>
      <c r="O39" s="12"/>
      <c r="P39" s="12"/>
      <c r="Q39" s="12"/>
      <c r="R39" s="12"/>
      <c r="S39" s="12"/>
      <c r="T39" s="12"/>
      <c r="U39" s="12"/>
      <c r="V39" s="12"/>
      <c r="W39" s="12"/>
      <c r="X39" s="12"/>
      <c r="Y39" s="12"/>
      <c r="Z39" s="12"/>
      <c r="AA39" s="12"/>
      <c r="AB39" s="12"/>
    </row>
    <row r="40">
      <c r="A40" s="12"/>
      <c r="B40" s="12"/>
      <c r="C40" s="12"/>
      <c r="D40" s="12"/>
      <c r="E40" s="12"/>
      <c r="F40" s="13"/>
      <c r="G40" s="13"/>
      <c r="H40" s="13"/>
      <c r="I40" s="13"/>
      <c r="J40" s="12"/>
      <c r="K40" s="12"/>
      <c r="L40" s="12"/>
      <c r="M40" s="12"/>
      <c r="N40" s="12"/>
      <c r="O40" s="12"/>
      <c r="P40" s="12"/>
      <c r="Q40" s="12"/>
      <c r="R40" s="12"/>
      <c r="S40" s="12"/>
      <c r="T40" s="12"/>
      <c r="U40" s="12"/>
      <c r="V40" s="12"/>
      <c r="W40" s="12"/>
      <c r="X40" s="12"/>
      <c r="Y40" s="12"/>
      <c r="Z40" s="12"/>
      <c r="AA40" s="12"/>
      <c r="AB40" s="12"/>
    </row>
    <row r="41">
      <c r="A41" s="12"/>
      <c r="B41" s="12"/>
      <c r="C41" s="12"/>
      <c r="D41" s="12"/>
      <c r="E41" s="12"/>
      <c r="F41" s="13"/>
      <c r="G41" s="13"/>
      <c r="H41" s="13"/>
      <c r="I41" s="13"/>
      <c r="J41" s="12"/>
      <c r="K41" s="12"/>
      <c r="L41" s="12"/>
      <c r="M41" s="12"/>
      <c r="N41" s="12"/>
      <c r="O41" s="12"/>
      <c r="P41" s="12"/>
      <c r="Q41" s="12"/>
      <c r="R41" s="12"/>
      <c r="S41" s="12"/>
      <c r="T41" s="12"/>
      <c r="U41" s="12"/>
      <c r="V41" s="12"/>
      <c r="W41" s="12"/>
      <c r="X41" s="12"/>
      <c r="Y41" s="12"/>
      <c r="Z41" s="12"/>
      <c r="AA41" s="12"/>
      <c r="AB41" s="12"/>
    </row>
    <row r="42">
      <c r="A42" s="12"/>
      <c r="B42" s="12"/>
      <c r="C42" s="12"/>
      <c r="D42" s="12"/>
      <c r="E42" s="12"/>
      <c r="F42" s="13"/>
      <c r="G42" s="13"/>
      <c r="H42" s="13"/>
      <c r="I42" s="13"/>
      <c r="J42" s="12"/>
      <c r="K42" s="12"/>
      <c r="L42" s="12"/>
      <c r="M42" s="12"/>
      <c r="N42" s="12"/>
      <c r="O42" s="12"/>
      <c r="P42" s="12"/>
      <c r="Q42" s="12"/>
      <c r="R42" s="12"/>
      <c r="S42" s="12"/>
      <c r="T42" s="12"/>
      <c r="U42" s="12"/>
      <c r="V42" s="12"/>
      <c r="W42" s="12"/>
      <c r="X42" s="12"/>
      <c r="Y42" s="12"/>
      <c r="Z42" s="12"/>
      <c r="AA42" s="12"/>
      <c r="AB42" s="12"/>
    </row>
    <row r="43">
      <c r="A43" s="12"/>
      <c r="B43" s="12"/>
      <c r="C43" s="12"/>
      <c r="D43" s="12"/>
      <c r="E43" s="12"/>
      <c r="F43" s="13"/>
      <c r="G43" s="13"/>
      <c r="H43" s="13"/>
      <c r="I43" s="13"/>
      <c r="J43" s="12"/>
      <c r="K43" s="12"/>
      <c r="L43" s="12"/>
      <c r="M43" s="12"/>
      <c r="N43" s="12"/>
      <c r="O43" s="12"/>
      <c r="P43" s="12"/>
      <c r="Q43" s="12"/>
      <c r="R43" s="12"/>
      <c r="S43" s="12"/>
      <c r="T43" s="12"/>
      <c r="U43" s="12"/>
      <c r="V43" s="12"/>
      <c r="W43" s="12"/>
      <c r="X43" s="12"/>
      <c r="Y43" s="12"/>
      <c r="Z43" s="12"/>
      <c r="AA43" s="12"/>
      <c r="AB43" s="12"/>
    </row>
    <row r="44">
      <c r="A44" s="12"/>
      <c r="B44" s="12"/>
      <c r="C44" s="12"/>
      <c r="D44" s="12"/>
      <c r="E44" s="12"/>
      <c r="F44" s="13"/>
      <c r="G44" s="13"/>
      <c r="H44" s="13"/>
      <c r="I44" s="13"/>
      <c r="J44" s="12"/>
      <c r="K44" s="12"/>
      <c r="L44" s="12"/>
      <c r="M44" s="12"/>
      <c r="N44" s="12"/>
      <c r="O44" s="12"/>
      <c r="P44" s="12"/>
      <c r="Q44" s="12"/>
      <c r="R44" s="12"/>
      <c r="S44" s="12"/>
      <c r="T44" s="12"/>
      <c r="U44" s="12"/>
      <c r="V44" s="12"/>
      <c r="W44" s="12"/>
      <c r="X44" s="12"/>
      <c r="Y44" s="12"/>
      <c r="Z44" s="12"/>
      <c r="AA44" s="12"/>
      <c r="AB44" s="12"/>
    </row>
    <row r="45">
      <c r="A45" s="12"/>
      <c r="B45" s="12"/>
      <c r="C45" s="12"/>
      <c r="D45" s="12"/>
      <c r="E45" s="12"/>
      <c r="F45" s="13"/>
      <c r="G45" s="13"/>
      <c r="H45" s="13"/>
      <c r="I45" s="13"/>
      <c r="J45" s="12"/>
      <c r="K45" s="12"/>
      <c r="L45" s="12"/>
      <c r="M45" s="12"/>
      <c r="N45" s="12"/>
      <c r="O45" s="12"/>
      <c r="P45" s="12"/>
      <c r="Q45" s="12"/>
      <c r="R45" s="12"/>
      <c r="S45" s="12"/>
      <c r="T45" s="12"/>
      <c r="U45" s="12"/>
      <c r="V45" s="12"/>
      <c r="W45" s="12"/>
      <c r="X45" s="12"/>
      <c r="Y45" s="12"/>
      <c r="Z45" s="12"/>
      <c r="AA45" s="12"/>
      <c r="AB45" s="12"/>
    </row>
    <row r="46">
      <c r="A46" s="12"/>
      <c r="B46" s="12"/>
      <c r="C46" s="12"/>
      <c r="D46" s="12"/>
      <c r="E46" s="12"/>
      <c r="F46" s="13"/>
      <c r="G46" s="13"/>
      <c r="H46" s="13"/>
      <c r="I46" s="13"/>
      <c r="J46" s="12"/>
      <c r="K46" s="12"/>
      <c r="L46" s="12"/>
      <c r="M46" s="12"/>
      <c r="N46" s="12"/>
      <c r="O46" s="12"/>
      <c r="P46" s="12"/>
      <c r="Q46" s="12"/>
      <c r="R46" s="12"/>
      <c r="S46" s="12"/>
      <c r="T46" s="12"/>
      <c r="U46" s="12"/>
      <c r="V46" s="12"/>
      <c r="W46" s="12"/>
      <c r="X46" s="12"/>
      <c r="Y46" s="12"/>
      <c r="Z46" s="12"/>
      <c r="AA46" s="12"/>
      <c r="AB46" s="12"/>
    </row>
    <row r="47">
      <c r="A47" s="12"/>
      <c r="B47" s="12"/>
      <c r="C47" s="12"/>
      <c r="D47" s="12"/>
      <c r="E47" s="12"/>
      <c r="F47" s="13"/>
      <c r="G47" s="13"/>
      <c r="H47" s="13"/>
      <c r="I47" s="13"/>
      <c r="J47" s="12"/>
      <c r="K47" s="12"/>
      <c r="L47" s="12"/>
      <c r="M47" s="12"/>
      <c r="N47" s="12"/>
      <c r="O47" s="12"/>
      <c r="P47" s="12"/>
      <c r="Q47" s="12"/>
      <c r="R47" s="12"/>
      <c r="S47" s="12"/>
      <c r="T47" s="12"/>
      <c r="U47" s="12"/>
      <c r="V47" s="12"/>
      <c r="W47" s="12"/>
      <c r="X47" s="12"/>
      <c r="Y47" s="12"/>
      <c r="Z47" s="12"/>
      <c r="AA47" s="12"/>
      <c r="AB47" s="12"/>
    </row>
    <row r="48">
      <c r="A48" s="12"/>
      <c r="B48" s="12"/>
      <c r="C48" s="12"/>
      <c r="D48" s="12"/>
      <c r="E48" s="12"/>
      <c r="F48" s="13"/>
      <c r="G48" s="13"/>
      <c r="H48" s="13"/>
      <c r="I48" s="13"/>
      <c r="J48" s="12"/>
      <c r="K48" s="12"/>
      <c r="L48" s="12"/>
      <c r="M48" s="12"/>
      <c r="N48" s="12"/>
      <c r="O48" s="12"/>
      <c r="P48" s="12"/>
      <c r="Q48" s="12"/>
      <c r="R48" s="12"/>
      <c r="S48" s="12"/>
      <c r="T48" s="12"/>
      <c r="U48" s="12"/>
      <c r="V48" s="12"/>
      <c r="W48" s="12"/>
      <c r="X48" s="12"/>
      <c r="Y48" s="12"/>
      <c r="Z48" s="12"/>
      <c r="AA48" s="12"/>
      <c r="AB48" s="12"/>
    </row>
    <row r="49">
      <c r="A49" s="12"/>
      <c r="B49" s="12"/>
      <c r="C49" s="12"/>
      <c r="D49" s="12"/>
      <c r="E49" s="12"/>
      <c r="F49" s="13"/>
      <c r="G49" s="13"/>
      <c r="H49" s="13"/>
      <c r="I49" s="13"/>
      <c r="J49" s="12"/>
      <c r="K49" s="12"/>
      <c r="L49" s="12"/>
      <c r="M49" s="12"/>
      <c r="N49" s="12"/>
      <c r="O49" s="12"/>
      <c r="P49" s="12"/>
      <c r="Q49" s="12"/>
      <c r="R49" s="12"/>
      <c r="S49" s="12"/>
      <c r="T49" s="12"/>
      <c r="U49" s="12"/>
      <c r="V49" s="12"/>
      <c r="W49" s="12"/>
      <c r="X49" s="12"/>
      <c r="Y49" s="12"/>
      <c r="Z49" s="12"/>
      <c r="AA49" s="12"/>
      <c r="AB49" s="12"/>
    </row>
    <row r="50">
      <c r="A50" s="12"/>
      <c r="B50" s="12"/>
      <c r="C50" s="12"/>
      <c r="D50" s="12"/>
      <c r="E50" s="12"/>
      <c r="F50" s="13"/>
      <c r="G50" s="13"/>
      <c r="H50" s="13"/>
      <c r="I50" s="13"/>
      <c r="J50" s="12"/>
      <c r="K50" s="12"/>
      <c r="L50" s="12"/>
      <c r="M50" s="12"/>
      <c r="N50" s="12"/>
      <c r="O50" s="12"/>
      <c r="P50" s="12"/>
      <c r="Q50" s="12"/>
      <c r="R50" s="12"/>
      <c r="S50" s="12"/>
      <c r="T50" s="12"/>
      <c r="U50" s="12"/>
      <c r="V50" s="12"/>
      <c r="W50" s="12"/>
      <c r="X50" s="12"/>
      <c r="Y50" s="12"/>
      <c r="Z50" s="12"/>
      <c r="AA50" s="12"/>
      <c r="AB50" s="12"/>
    </row>
    <row r="51">
      <c r="A51" s="12"/>
      <c r="B51" s="12"/>
      <c r="C51" s="12"/>
      <c r="D51" s="12"/>
      <c r="E51" s="12"/>
      <c r="F51" s="13"/>
      <c r="G51" s="13"/>
      <c r="H51" s="13"/>
      <c r="I51" s="13"/>
      <c r="J51" s="12"/>
      <c r="K51" s="12"/>
      <c r="L51" s="12"/>
      <c r="M51" s="12"/>
      <c r="N51" s="12"/>
      <c r="O51" s="12"/>
      <c r="P51" s="12"/>
      <c r="Q51" s="12"/>
      <c r="R51" s="12"/>
      <c r="S51" s="12"/>
      <c r="T51" s="12"/>
      <c r="U51" s="12"/>
      <c r="V51" s="12"/>
      <c r="W51" s="12"/>
      <c r="X51" s="12"/>
      <c r="Y51" s="12"/>
      <c r="Z51" s="12"/>
      <c r="AA51" s="12"/>
      <c r="AB51" s="12"/>
    </row>
    <row r="52">
      <c r="A52" s="12"/>
      <c r="B52" s="12"/>
      <c r="C52" s="12"/>
      <c r="D52" s="12"/>
      <c r="E52" s="12"/>
      <c r="F52" s="13"/>
      <c r="G52" s="13"/>
      <c r="H52" s="13"/>
      <c r="I52" s="13"/>
      <c r="J52" s="12"/>
      <c r="K52" s="12"/>
      <c r="L52" s="12"/>
      <c r="M52" s="12"/>
      <c r="N52" s="12"/>
      <c r="O52" s="12"/>
      <c r="P52" s="12"/>
      <c r="Q52" s="12"/>
      <c r="R52" s="12"/>
      <c r="S52" s="12"/>
      <c r="T52" s="12"/>
      <c r="U52" s="12"/>
      <c r="V52" s="12"/>
      <c r="W52" s="12"/>
      <c r="X52" s="12"/>
      <c r="Y52" s="12"/>
      <c r="Z52" s="12"/>
      <c r="AA52" s="12"/>
      <c r="AB52" s="12"/>
    </row>
    <row r="53">
      <c r="A53" s="12"/>
      <c r="B53" s="12"/>
      <c r="C53" s="12"/>
      <c r="D53" s="12"/>
      <c r="E53" s="12"/>
      <c r="F53" s="13"/>
      <c r="G53" s="13"/>
      <c r="H53" s="13"/>
      <c r="I53" s="13"/>
      <c r="J53" s="12"/>
      <c r="K53" s="12"/>
      <c r="L53" s="12"/>
      <c r="M53" s="12"/>
      <c r="N53" s="12"/>
      <c r="O53" s="12"/>
      <c r="P53" s="12"/>
      <c r="Q53" s="12"/>
      <c r="R53" s="12"/>
      <c r="S53" s="12"/>
      <c r="T53" s="12"/>
      <c r="U53" s="12"/>
      <c r="V53" s="12"/>
      <c r="W53" s="12"/>
      <c r="X53" s="12"/>
      <c r="Y53" s="12"/>
      <c r="Z53" s="12"/>
      <c r="AA53" s="12"/>
      <c r="AB53" s="12"/>
    </row>
    <row r="54">
      <c r="A54" s="12"/>
      <c r="B54" s="12"/>
      <c r="C54" s="12"/>
      <c r="D54" s="12"/>
      <c r="E54" s="12"/>
      <c r="F54" s="13"/>
      <c r="G54" s="13"/>
      <c r="H54" s="13"/>
      <c r="I54" s="13"/>
      <c r="J54" s="12"/>
      <c r="K54" s="12"/>
      <c r="L54" s="12"/>
      <c r="M54" s="12"/>
      <c r="N54" s="12"/>
      <c r="O54" s="12"/>
      <c r="P54" s="12"/>
      <c r="Q54" s="12"/>
      <c r="R54" s="12"/>
      <c r="S54" s="12"/>
      <c r="T54" s="12"/>
      <c r="U54" s="12"/>
      <c r="V54" s="12"/>
      <c r="W54" s="12"/>
      <c r="X54" s="12"/>
      <c r="Y54" s="12"/>
      <c r="Z54" s="12"/>
      <c r="AA54" s="12"/>
      <c r="AB54" s="12"/>
    </row>
    <row r="55">
      <c r="A55" s="12"/>
      <c r="B55" s="12"/>
      <c r="C55" s="12"/>
      <c r="D55" s="12"/>
      <c r="E55" s="12"/>
      <c r="F55" s="13"/>
      <c r="G55" s="13"/>
      <c r="H55" s="13"/>
      <c r="I55" s="13"/>
      <c r="J55" s="12"/>
      <c r="K55" s="12"/>
      <c r="L55" s="12"/>
      <c r="M55" s="12"/>
      <c r="N55" s="12"/>
      <c r="O55" s="12"/>
      <c r="P55" s="12"/>
      <c r="Q55" s="12"/>
      <c r="R55" s="12"/>
      <c r="S55" s="12"/>
      <c r="T55" s="12"/>
      <c r="U55" s="12"/>
      <c r="V55" s="12"/>
      <c r="W55" s="12"/>
      <c r="X55" s="12"/>
      <c r="Y55" s="12"/>
      <c r="Z55" s="12"/>
      <c r="AA55" s="12"/>
      <c r="AB55" s="12"/>
    </row>
    <row r="56">
      <c r="A56" s="12"/>
      <c r="B56" s="12"/>
      <c r="C56" s="12"/>
      <c r="D56" s="12"/>
      <c r="E56" s="12"/>
      <c r="F56" s="13"/>
      <c r="G56" s="13"/>
      <c r="H56" s="13"/>
      <c r="I56" s="13"/>
      <c r="J56" s="12"/>
      <c r="K56" s="12"/>
      <c r="L56" s="12"/>
      <c r="M56" s="12"/>
      <c r="N56" s="12"/>
      <c r="O56" s="12"/>
      <c r="P56" s="12"/>
      <c r="Q56" s="12"/>
      <c r="R56" s="12"/>
      <c r="S56" s="12"/>
      <c r="T56" s="12"/>
      <c r="U56" s="12"/>
      <c r="V56" s="12"/>
      <c r="W56" s="12"/>
      <c r="X56" s="12"/>
      <c r="Y56" s="12"/>
      <c r="Z56" s="12"/>
      <c r="AA56" s="12"/>
      <c r="AB56" s="12"/>
    </row>
    <row r="57">
      <c r="A57" s="12"/>
      <c r="B57" s="12"/>
      <c r="C57" s="12"/>
      <c r="D57" s="12"/>
      <c r="E57" s="12"/>
      <c r="F57" s="13"/>
      <c r="G57" s="13"/>
      <c r="H57" s="13"/>
      <c r="I57" s="13"/>
      <c r="J57" s="12"/>
      <c r="K57" s="12"/>
      <c r="L57" s="12"/>
      <c r="M57" s="12"/>
      <c r="N57" s="12"/>
      <c r="O57" s="12"/>
      <c r="P57" s="12"/>
      <c r="Q57" s="12"/>
      <c r="R57" s="12"/>
      <c r="S57" s="12"/>
      <c r="T57" s="12"/>
      <c r="U57" s="12"/>
      <c r="V57" s="12"/>
      <c r="W57" s="12"/>
      <c r="X57" s="12"/>
      <c r="Y57" s="12"/>
      <c r="Z57" s="12"/>
      <c r="AA57" s="12"/>
      <c r="AB57" s="12"/>
    </row>
    <row r="58">
      <c r="A58" s="12"/>
      <c r="B58" s="12"/>
      <c r="C58" s="12"/>
      <c r="D58" s="12"/>
      <c r="E58" s="12"/>
      <c r="F58" s="13"/>
      <c r="G58" s="13"/>
      <c r="H58" s="13"/>
      <c r="I58" s="13"/>
      <c r="J58" s="12"/>
      <c r="K58" s="12"/>
      <c r="L58" s="12"/>
      <c r="M58" s="12"/>
      <c r="N58" s="12"/>
      <c r="O58" s="12"/>
      <c r="P58" s="12"/>
      <c r="Q58" s="12"/>
      <c r="R58" s="12"/>
      <c r="S58" s="12"/>
      <c r="T58" s="12"/>
      <c r="U58" s="12"/>
      <c r="V58" s="12"/>
      <c r="W58" s="12"/>
      <c r="X58" s="12"/>
      <c r="Y58" s="12"/>
      <c r="Z58" s="12"/>
      <c r="AA58" s="12"/>
      <c r="AB58" s="12"/>
    </row>
    <row r="59">
      <c r="A59" s="12"/>
      <c r="B59" s="12"/>
      <c r="C59" s="12"/>
      <c r="D59" s="12"/>
      <c r="E59" s="12"/>
      <c r="F59" s="13"/>
      <c r="G59" s="13"/>
      <c r="H59" s="13"/>
      <c r="I59" s="13"/>
      <c r="J59" s="12"/>
      <c r="K59" s="12"/>
      <c r="L59" s="12"/>
      <c r="M59" s="12"/>
      <c r="N59" s="12"/>
      <c r="O59" s="12"/>
      <c r="P59" s="12"/>
      <c r="Q59" s="12"/>
      <c r="R59" s="12"/>
      <c r="S59" s="12"/>
      <c r="T59" s="12"/>
      <c r="U59" s="12"/>
      <c r="V59" s="12"/>
      <c r="W59" s="12"/>
      <c r="X59" s="12"/>
      <c r="Y59" s="12"/>
      <c r="Z59" s="12"/>
      <c r="AA59" s="12"/>
      <c r="AB59" s="12"/>
    </row>
    <row r="60">
      <c r="A60" s="12"/>
      <c r="B60" s="12"/>
      <c r="C60" s="12"/>
      <c r="D60" s="12"/>
      <c r="E60" s="12"/>
      <c r="F60" s="13"/>
      <c r="G60" s="13"/>
      <c r="H60" s="13"/>
      <c r="I60" s="13"/>
      <c r="J60" s="12"/>
      <c r="K60" s="12"/>
      <c r="L60" s="12"/>
      <c r="M60" s="12"/>
      <c r="N60" s="12"/>
      <c r="O60" s="12"/>
      <c r="P60" s="12"/>
      <c r="Q60" s="12"/>
      <c r="R60" s="12"/>
      <c r="S60" s="12"/>
      <c r="T60" s="12"/>
      <c r="U60" s="12"/>
      <c r="V60" s="12"/>
      <c r="W60" s="12"/>
      <c r="X60" s="12"/>
      <c r="Y60" s="12"/>
      <c r="Z60" s="12"/>
      <c r="AA60" s="12"/>
      <c r="AB60" s="12"/>
    </row>
    <row r="61">
      <c r="A61" s="12"/>
      <c r="B61" s="12"/>
      <c r="C61" s="12"/>
      <c r="D61" s="12"/>
      <c r="E61" s="12"/>
      <c r="F61" s="13"/>
      <c r="G61" s="13"/>
      <c r="H61" s="13"/>
      <c r="I61" s="13"/>
      <c r="J61" s="12"/>
      <c r="K61" s="12"/>
      <c r="L61" s="12"/>
      <c r="M61" s="12"/>
      <c r="N61" s="12"/>
      <c r="O61" s="12"/>
      <c r="P61" s="12"/>
      <c r="Q61" s="12"/>
      <c r="R61" s="12"/>
      <c r="S61" s="12"/>
      <c r="T61" s="12"/>
      <c r="U61" s="12"/>
      <c r="V61" s="12"/>
      <c r="W61" s="12"/>
      <c r="X61" s="12"/>
      <c r="Y61" s="12"/>
      <c r="Z61" s="12"/>
      <c r="AA61" s="12"/>
      <c r="AB61" s="12"/>
    </row>
    <row r="62">
      <c r="A62" s="12"/>
      <c r="B62" s="12"/>
      <c r="C62" s="12"/>
      <c r="D62" s="12"/>
      <c r="E62" s="12"/>
      <c r="F62" s="13"/>
      <c r="G62" s="13"/>
      <c r="H62" s="13"/>
      <c r="I62" s="13"/>
      <c r="J62" s="12"/>
      <c r="K62" s="12"/>
      <c r="L62" s="12"/>
      <c r="M62" s="12"/>
      <c r="N62" s="12"/>
      <c r="O62" s="12"/>
      <c r="P62" s="12"/>
      <c r="Q62" s="12"/>
      <c r="R62" s="12"/>
      <c r="S62" s="12"/>
      <c r="T62" s="12"/>
      <c r="U62" s="12"/>
      <c r="V62" s="12"/>
      <c r="W62" s="12"/>
      <c r="X62" s="12"/>
      <c r="Y62" s="12"/>
      <c r="Z62" s="12"/>
      <c r="AA62" s="12"/>
      <c r="AB62" s="12"/>
    </row>
    <row r="63">
      <c r="A63" s="12"/>
      <c r="B63" s="12"/>
      <c r="C63" s="12"/>
      <c r="D63" s="12"/>
      <c r="E63" s="12"/>
      <c r="F63" s="13"/>
      <c r="G63" s="13"/>
      <c r="H63" s="13"/>
      <c r="I63" s="13"/>
      <c r="J63" s="12"/>
      <c r="K63" s="12"/>
      <c r="L63" s="12"/>
      <c r="M63" s="12"/>
      <c r="N63" s="12"/>
      <c r="O63" s="12"/>
      <c r="P63" s="12"/>
      <c r="Q63" s="12"/>
      <c r="R63" s="12"/>
      <c r="S63" s="12"/>
      <c r="T63" s="12"/>
      <c r="U63" s="12"/>
      <c r="V63" s="12"/>
      <c r="W63" s="12"/>
      <c r="X63" s="12"/>
      <c r="Y63" s="12"/>
      <c r="Z63" s="12"/>
      <c r="AA63" s="12"/>
      <c r="AB63" s="12"/>
    </row>
    <row r="64">
      <c r="A64" s="12"/>
      <c r="B64" s="12"/>
      <c r="C64" s="12"/>
      <c r="D64" s="12"/>
      <c r="E64" s="12"/>
      <c r="F64" s="13"/>
      <c r="G64" s="13"/>
      <c r="H64" s="13"/>
      <c r="I64" s="13"/>
      <c r="J64" s="12"/>
      <c r="K64" s="12"/>
      <c r="L64" s="12"/>
      <c r="M64" s="12"/>
      <c r="N64" s="12"/>
      <c r="O64" s="12"/>
      <c r="P64" s="12"/>
      <c r="Q64" s="12"/>
      <c r="R64" s="12"/>
      <c r="S64" s="12"/>
      <c r="T64" s="12"/>
      <c r="U64" s="12"/>
      <c r="V64" s="12"/>
      <c r="W64" s="12"/>
      <c r="X64" s="12"/>
      <c r="Y64" s="12"/>
      <c r="Z64" s="12"/>
      <c r="AA64" s="12"/>
      <c r="AB64" s="12"/>
    </row>
    <row r="65">
      <c r="A65" s="12"/>
      <c r="B65" s="12"/>
      <c r="C65" s="12"/>
      <c r="D65" s="12"/>
      <c r="E65" s="12"/>
      <c r="F65" s="13"/>
      <c r="G65" s="13"/>
      <c r="H65" s="13"/>
      <c r="I65" s="13"/>
      <c r="J65" s="12"/>
      <c r="K65" s="12"/>
      <c r="L65" s="12"/>
      <c r="M65" s="12"/>
      <c r="N65" s="12"/>
      <c r="O65" s="12"/>
      <c r="P65" s="12"/>
      <c r="Q65" s="12"/>
      <c r="R65" s="12"/>
      <c r="S65" s="12"/>
      <c r="T65" s="12"/>
      <c r="U65" s="12"/>
      <c r="V65" s="12"/>
      <c r="W65" s="12"/>
      <c r="X65" s="12"/>
      <c r="Y65" s="12"/>
      <c r="Z65" s="12"/>
      <c r="AA65" s="12"/>
      <c r="AB65" s="12"/>
    </row>
    <row r="66">
      <c r="A66" s="12"/>
      <c r="B66" s="12"/>
      <c r="C66" s="12"/>
      <c r="D66" s="12"/>
      <c r="E66" s="12"/>
      <c r="F66" s="13"/>
      <c r="G66" s="13"/>
      <c r="H66" s="13"/>
      <c r="I66" s="13"/>
      <c r="J66" s="12"/>
      <c r="K66" s="12"/>
      <c r="L66" s="12"/>
      <c r="M66" s="12"/>
      <c r="N66" s="12"/>
      <c r="O66" s="12"/>
      <c r="P66" s="12"/>
      <c r="Q66" s="12"/>
      <c r="R66" s="12"/>
      <c r="S66" s="12"/>
      <c r="T66" s="12"/>
      <c r="U66" s="12"/>
      <c r="V66" s="12"/>
      <c r="W66" s="12"/>
      <c r="X66" s="12"/>
      <c r="Y66" s="12"/>
      <c r="Z66" s="12"/>
      <c r="AA66" s="12"/>
      <c r="AB66" s="12"/>
    </row>
    <row r="67">
      <c r="A67" s="12"/>
      <c r="B67" s="12"/>
      <c r="C67" s="12"/>
      <c r="D67" s="12"/>
      <c r="E67" s="12"/>
      <c r="F67" s="13"/>
      <c r="G67" s="13"/>
      <c r="H67" s="13"/>
      <c r="I67" s="13"/>
      <c r="J67" s="12"/>
      <c r="K67" s="12"/>
      <c r="L67" s="12"/>
      <c r="M67" s="12"/>
      <c r="N67" s="12"/>
      <c r="O67" s="12"/>
      <c r="P67" s="12"/>
      <c r="Q67" s="12"/>
      <c r="R67" s="12"/>
      <c r="S67" s="12"/>
      <c r="T67" s="12"/>
      <c r="U67" s="12"/>
      <c r="V67" s="12"/>
      <c r="W67" s="12"/>
      <c r="X67" s="12"/>
      <c r="Y67" s="12"/>
      <c r="Z67" s="12"/>
      <c r="AA67" s="12"/>
      <c r="AB67" s="12"/>
    </row>
    <row r="68">
      <c r="A68" s="12"/>
      <c r="B68" s="12"/>
      <c r="C68" s="12"/>
      <c r="D68" s="12"/>
      <c r="E68" s="12"/>
      <c r="F68" s="13"/>
      <c r="G68" s="13"/>
      <c r="H68" s="13"/>
      <c r="I68" s="13"/>
      <c r="J68" s="12"/>
      <c r="K68" s="12"/>
      <c r="L68" s="12"/>
      <c r="M68" s="12"/>
      <c r="N68" s="12"/>
      <c r="O68" s="12"/>
      <c r="P68" s="12"/>
      <c r="Q68" s="12"/>
      <c r="R68" s="12"/>
      <c r="S68" s="12"/>
      <c r="T68" s="12"/>
      <c r="U68" s="12"/>
      <c r="V68" s="12"/>
      <c r="W68" s="12"/>
      <c r="X68" s="12"/>
      <c r="Y68" s="12"/>
      <c r="Z68" s="12"/>
      <c r="AA68" s="12"/>
      <c r="AB68" s="12"/>
    </row>
    <row r="69">
      <c r="A69" s="12"/>
      <c r="B69" s="12"/>
      <c r="C69" s="12"/>
      <c r="D69" s="12"/>
      <c r="E69" s="12"/>
      <c r="F69" s="13"/>
      <c r="G69" s="13"/>
      <c r="H69" s="13"/>
      <c r="I69" s="13"/>
      <c r="J69" s="12"/>
      <c r="K69" s="12"/>
      <c r="L69" s="12"/>
      <c r="M69" s="12"/>
      <c r="N69" s="12"/>
      <c r="O69" s="12"/>
      <c r="P69" s="12"/>
      <c r="Q69" s="12"/>
      <c r="R69" s="12"/>
      <c r="S69" s="12"/>
      <c r="T69" s="12"/>
      <c r="U69" s="12"/>
      <c r="V69" s="12"/>
      <c r="W69" s="12"/>
      <c r="X69" s="12"/>
      <c r="Y69" s="12"/>
      <c r="Z69" s="12"/>
      <c r="AA69" s="12"/>
      <c r="AB69" s="12"/>
    </row>
    <row r="70">
      <c r="A70" s="12"/>
      <c r="B70" s="12"/>
      <c r="C70" s="12"/>
      <c r="D70" s="12"/>
      <c r="E70" s="12"/>
      <c r="F70" s="13"/>
      <c r="G70" s="13"/>
      <c r="H70" s="13"/>
      <c r="I70" s="13"/>
      <c r="J70" s="12"/>
      <c r="K70" s="12"/>
      <c r="L70" s="12"/>
      <c r="M70" s="12"/>
      <c r="N70" s="12"/>
      <c r="O70" s="12"/>
      <c r="P70" s="12"/>
      <c r="Q70" s="12"/>
      <c r="R70" s="12"/>
      <c r="S70" s="12"/>
      <c r="T70" s="12"/>
      <c r="U70" s="12"/>
      <c r="V70" s="12"/>
      <c r="W70" s="12"/>
      <c r="X70" s="12"/>
      <c r="Y70" s="12"/>
      <c r="Z70" s="12"/>
      <c r="AA70" s="12"/>
      <c r="AB70" s="12"/>
    </row>
    <row r="71">
      <c r="A71" s="12"/>
      <c r="B71" s="12"/>
      <c r="C71" s="12"/>
      <c r="D71" s="12"/>
      <c r="E71" s="12"/>
      <c r="F71" s="13"/>
      <c r="G71" s="13"/>
      <c r="H71" s="13"/>
      <c r="I71" s="13"/>
      <c r="J71" s="12"/>
      <c r="K71" s="12"/>
      <c r="L71" s="12"/>
      <c r="M71" s="12"/>
      <c r="N71" s="12"/>
      <c r="O71" s="12"/>
      <c r="P71" s="12"/>
      <c r="Q71" s="12"/>
      <c r="R71" s="12"/>
      <c r="S71" s="12"/>
      <c r="T71" s="12"/>
      <c r="U71" s="12"/>
      <c r="V71" s="12"/>
      <c r="W71" s="12"/>
      <c r="X71" s="12"/>
      <c r="Y71" s="12"/>
      <c r="Z71" s="12"/>
      <c r="AA71" s="12"/>
      <c r="AB71" s="12"/>
    </row>
    <row r="72">
      <c r="A72" s="12"/>
      <c r="B72" s="12"/>
      <c r="C72" s="12"/>
      <c r="D72" s="12"/>
      <c r="E72" s="12"/>
      <c r="F72" s="13"/>
      <c r="G72" s="13"/>
      <c r="H72" s="13"/>
      <c r="I72" s="13"/>
      <c r="J72" s="12"/>
      <c r="K72" s="12"/>
      <c r="L72" s="12"/>
      <c r="M72" s="12"/>
      <c r="N72" s="12"/>
      <c r="O72" s="12"/>
      <c r="P72" s="12"/>
      <c r="Q72" s="12"/>
      <c r="R72" s="12"/>
      <c r="S72" s="12"/>
      <c r="T72" s="12"/>
      <c r="U72" s="12"/>
      <c r="V72" s="12"/>
      <c r="W72" s="12"/>
      <c r="X72" s="12"/>
      <c r="Y72" s="12"/>
      <c r="Z72" s="12"/>
      <c r="AA72" s="12"/>
      <c r="AB72" s="12"/>
    </row>
    <row r="73">
      <c r="A73" s="12"/>
      <c r="B73" s="12"/>
      <c r="C73" s="12"/>
      <c r="D73" s="12"/>
      <c r="E73" s="12"/>
      <c r="F73" s="13"/>
      <c r="G73" s="13"/>
      <c r="H73" s="13"/>
      <c r="I73" s="13"/>
      <c r="J73" s="12"/>
      <c r="K73" s="12"/>
      <c r="L73" s="12"/>
      <c r="M73" s="12"/>
      <c r="N73" s="12"/>
      <c r="O73" s="12"/>
      <c r="P73" s="12"/>
      <c r="Q73" s="12"/>
      <c r="R73" s="12"/>
      <c r="S73" s="12"/>
      <c r="T73" s="12"/>
      <c r="U73" s="12"/>
      <c r="V73" s="12"/>
      <c r="W73" s="12"/>
      <c r="X73" s="12"/>
      <c r="Y73" s="12"/>
      <c r="Z73" s="12"/>
      <c r="AA73" s="12"/>
      <c r="AB73" s="12"/>
    </row>
    <row r="74">
      <c r="A74" s="12"/>
      <c r="B74" s="12"/>
      <c r="C74" s="12"/>
      <c r="D74" s="12"/>
      <c r="E74" s="12"/>
      <c r="F74" s="13"/>
      <c r="G74" s="13"/>
      <c r="H74" s="13"/>
      <c r="I74" s="13"/>
      <c r="J74" s="12"/>
      <c r="K74" s="12"/>
      <c r="L74" s="12"/>
      <c r="M74" s="12"/>
      <c r="N74" s="12"/>
      <c r="O74" s="12"/>
      <c r="P74" s="12"/>
      <c r="Q74" s="12"/>
      <c r="R74" s="12"/>
      <c r="S74" s="12"/>
      <c r="T74" s="12"/>
      <c r="U74" s="12"/>
      <c r="V74" s="12"/>
      <c r="W74" s="12"/>
      <c r="X74" s="12"/>
      <c r="Y74" s="12"/>
      <c r="Z74" s="12"/>
      <c r="AA74" s="12"/>
      <c r="AB74" s="12"/>
    </row>
    <row r="75">
      <c r="A75" s="12"/>
      <c r="B75" s="12"/>
      <c r="C75" s="12"/>
      <c r="D75" s="12"/>
      <c r="E75" s="12"/>
      <c r="F75" s="13"/>
      <c r="G75" s="13"/>
      <c r="H75" s="13"/>
      <c r="I75" s="13"/>
      <c r="J75" s="12"/>
      <c r="K75" s="12"/>
      <c r="L75" s="12"/>
      <c r="M75" s="12"/>
      <c r="N75" s="12"/>
      <c r="O75" s="12"/>
      <c r="P75" s="12"/>
      <c r="Q75" s="12"/>
      <c r="R75" s="12"/>
      <c r="S75" s="12"/>
      <c r="T75" s="12"/>
      <c r="U75" s="12"/>
      <c r="V75" s="12"/>
      <c r="W75" s="12"/>
      <c r="X75" s="12"/>
      <c r="Y75" s="12"/>
      <c r="Z75" s="12"/>
      <c r="AA75" s="12"/>
      <c r="AB75" s="12"/>
    </row>
    <row r="76">
      <c r="A76" s="12"/>
      <c r="B76" s="12"/>
      <c r="C76" s="12"/>
      <c r="D76" s="12"/>
      <c r="E76" s="12"/>
      <c r="F76" s="13"/>
      <c r="G76" s="13"/>
      <c r="H76" s="13"/>
      <c r="I76" s="13"/>
      <c r="J76" s="12"/>
      <c r="K76" s="12"/>
      <c r="L76" s="12"/>
      <c r="M76" s="12"/>
      <c r="N76" s="12"/>
      <c r="O76" s="12"/>
      <c r="P76" s="12"/>
      <c r="Q76" s="12"/>
      <c r="R76" s="12"/>
      <c r="S76" s="12"/>
      <c r="T76" s="12"/>
      <c r="U76" s="12"/>
      <c r="V76" s="12"/>
      <c r="W76" s="12"/>
      <c r="X76" s="12"/>
      <c r="Y76" s="12"/>
      <c r="Z76" s="12"/>
      <c r="AA76" s="12"/>
      <c r="AB76" s="12"/>
    </row>
    <row r="77">
      <c r="A77" s="12"/>
      <c r="B77" s="12"/>
      <c r="C77" s="12"/>
      <c r="D77" s="12"/>
      <c r="E77" s="12"/>
      <c r="F77" s="13"/>
      <c r="G77" s="13"/>
      <c r="H77" s="13"/>
      <c r="I77" s="13"/>
      <c r="J77" s="12"/>
      <c r="K77" s="12"/>
      <c r="L77" s="12"/>
      <c r="M77" s="12"/>
      <c r="N77" s="12"/>
      <c r="O77" s="12"/>
      <c r="P77" s="12"/>
      <c r="Q77" s="12"/>
      <c r="R77" s="12"/>
      <c r="S77" s="12"/>
      <c r="T77" s="12"/>
      <c r="U77" s="12"/>
      <c r="V77" s="12"/>
      <c r="W77" s="12"/>
      <c r="X77" s="12"/>
      <c r="Y77" s="12"/>
      <c r="Z77" s="12"/>
      <c r="AA77" s="12"/>
      <c r="AB77" s="12"/>
    </row>
    <row r="78">
      <c r="A78" s="12"/>
      <c r="B78" s="12"/>
      <c r="C78" s="12"/>
      <c r="D78" s="12"/>
      <c r="E78" s="12"/>
      <c r="F78" s="13"/>
      <c r="G78" s="13"/>
      <c r="H78" s="13"/>
      <c r="I78" s="13"/>
      <c r="J78" s="12"/>
      <c r="K78" s="12"/>
      <c r="L78" s="12"/>
      <c r="M78" s="12"/>
      <c r="N78" s="12"/>
      <c r="O78" s="12"/>
      <c r="P78" s="12"/>
      <c r="Q78" s="12"/>
      <c r="R78" s="12"/>
      <c r="S78" s="12"/>
      <c r="T78" s="12"/>
      <c r="U78" s="12"/>
      <c r="V78" s="12"/>
      <c r="W78" s="12"/>
      <c r="X78" s="12"/>
      <c r="Y78" s="12"/>
      <c r="Z78" s="12"/>
      <c r="AA78" s="12"/>
      <c r="AB78" s="12"/>
    </row>
    <row r="79">
      <c r="A79" s="12"/>
      <c r="B79" s="12"/>
      <c r="C79" s="12"/>
      <c r="D79" s="12"/>
      <c r="E79" s="12"/>
      <c r="F79" s="13"/>
      <c r="G79" s="13"/>
      <c r="H79" s="13"/>
      <c r="I79" s="13"/>
      <c r="J79" s="12"/>
      <c r="K79" s="12"/>
      <c r="L79" s="12"/>
      <c r="M79" s="12"/>
      <c r="N79" s="12"/>
      <c r="O79" s="12"/>
      <c r="P79" s="12"/>
      <c r="Q79" s="12"/>
      <c r="R79" s="12"/>
      <c r="S79" s="12"/>
      <c r="T79" s="12"/>
      <c r="U79" s="12"/>
      <c r="V79" s="12"/>
      <c r="W79" s="12"/>
      <c r="X79" s="12"/>
      <c r="Y79" s="12"/>
      <c r="Z79" s="12"/>
      <c r="AA79" s="12"/>
      <c r="AB79" s="12"/>
    </row>
    <row r="80">
      <c r="A80" s="12"/>
      <c r="B80" s="12"/>
      <c r="C80" s="12"/>
      <c r="D80" s="12"/>
      <c r="E80" s="12"/>
      <c r="F80" s="13"/>
      <c r="G80" s="13"/>
      <c r="H80" s="13"/>
      <c r="I80" s="13"/>
      <c r="J80" s="12"/>
      <c r="K80" s="12"/>
      <c r="L80" s="12"/>
      <c r="M80" s="12"/>
      <c r="N80" s="12"/>
      <c r="O80" s="12"/>
      <c r="P80" s="12"/>
      <c r="Q80" s="12"/>
      <c r="R80" s="12"/>
      <c r="S80" s="12"/>
      <c r="T80" s="12"/>
      <c r="U80" s="12"/>
      <c r="V80" s="12"/>
      <c r="W80" s="12"/>
      <c r="X80" s="12"/>
      <c r="Y80" s="12"/>
      <c r="Z80" s="12"/>
      <c r="AA80" s="12"/>
      <c r="AB80" s="12"/>
    </row>
    <row r="81">
      <c r="A81" s="12"/>
      <c r="B81" s="12"/>
      <c r="C81" s="12"/>
      <c r="D81" s="12"/>
      <c r="E81" s="12"/>
      <c r="F81" s="13"/>
      <c r="G81" s="13"/>
      <c r="H81" s="13"/>
      <c r="I81" s="13"/>
      <c r="J81" s="12"/>
      <c r="K81" s="12"/>
      <c r="L81" s="12"/>
      <c r="M81" s="12"/>
      <c r="N81" s="12"/>
      <c r="O81" s="12"/>
      <c r="P81" s="12"/>
      <c r="Q81" s="12"/>
      <c r="R81" s="12"/>
      <c r="S81" s="12"/>
      <c r="T81" s="12"/>
      <c r="U81" s="12"/>
      <c r="V81" s="12"/>
      <c r="W81" s="12"/>
      <c r="X81" s="12"/>
      <c r="Y81" s="12"/>
      <c r="Z81" s="12"/>
      <c r="AA81" s="12"/>
      <c r="AB81" s="12"/>
    </row>
    <row r="82">
      <c r="A82" s="12"/>
      <c r="B82" s="12"/>
      <c r="C82" s="12"/>
      <c r="D82" s="12"/>
      <c r="E82" s="12"/>
      <c r="F82" s="13"/>
      <c r="G82" s="13"/>
      <c r="H82" s="13"/>
      <c r="I82" s="13"/>
      <c r="J82" s="12"/>
      <c r="K82" s="12"/>
      <c r="L82" s="12"/>
      <c r="M82" s="12"/>
      <c r="N82" s="12"/>
      <c r="O82" s="12"/>
      <c r="P82" s="12"/>
      <c r="Q82" s="12"/>
      <c r="R82" s="12"/>
      <c r="S82" s="12"/>
      <c r="T82" s="12"/>
      <c r="U82" s="12"/>
      <c r="V82" s="12"/>
      <c r="W82" s="12"/>
      <c r="X82" s="12"/>
      <c r="Y82" s="12"/>
      <c r="Z82" s="12"/>
      <c r="AA82" s="12"/>
      <c r="AB82" s="12"/>
    </row>
    <row r="83">
      <c r="A83" s="12"/>
      <c r="B83" s="12"/>
      <c r="C83" s="12"/>
      <c r="D83" s="12"/>
      <c r="E83" s="12"/>
      <c r="F83" s="13"/>
      <c r="G83" s="13"/>
      <c r="H83" s="13"/>
      <c r="I83" s="13"/>
      <c r="J83" s="12"/>
      <c r="K83" s="12"/>
      <c r="L83" s="12"/>
      <c r="M83" s="12"/>
      <c r="N83" s="12"/>
      <c r="O83" s="12"/>
      <c r="P83" s="12"/>
      <c r="Q83" s="12"/>
      <c r="R83" s="12"/>
      <c r="S83" s="12"/>
      <c r="T83" s="12"/>
      <c r="U83" s="12"/>
      <c r="V83" s="12"/>
      <c r="W83" s="12"/>
      <c r="X83" s="12"/>
      <c r="Y83" s="12"/>
      <c r="Z83" s="12"/>
      <c r="AA83" s="12"/>
      <c r="AB83" s="12"/>
    </row>
    <row r="84">
      <c r="A84" s="12"/>
      <c r="B84" s="12"/>
      <c r="C84" s="12"/>
      <c r="D84" s="12"/>
      <c r="E84" s="12"/>
      <c r="F84" s="13"/>
      <c r="G84" s="13"/>
      <c r="H84" s="13"/>
      <c r="I84" s="13"/>
      <c r="J84" s="12"/>
      <c r="K84" s="12"/>
      <c r="L84" s="12"/>
      <c r="M84" s="12"/>
      <c r="N84" s="12"/>
      <c r="O84" s="12"/>
      <c r="P84" s="12"/>
      <c r="Q84" s="12"/>
      <c r="R84" s="12"/>
      <c r="S84" s="12"/>
      <c r="T84" s="12"/>
      <c r="U84" s="12"/>
      <c r="V84" s="12"/>
      <c r="W84" s="12"/>
      <c r="X84" s="12"/>
      <c r="Y84" s="12"/>
      <c r="Z84" s="12"/>
      <c r="AA84" s="12"/>
      <c r="AB84" s="12"/>
    </row>
    <row r="85">
      <c r="A85" s="12"/>
      <c r="B85" s="12"/>
      <c r="C85" s="12"/>
      <c r="D85" s="12"/>
      <c r="E85" s="12"/>
      <c r="F85" s="13"/>
      <c r="G85" s="13"/>
      <c r="H85" s="13"/>
      <c r="I85" s="13"/>
      <c r="J85" s="12"/>
      <c r="K85" s="12"/>
      <c r="L85" s="12"/>
      <c r="M85" s="12"/>
      <c r="N85" s="12"/>
      <c r="O85" s="12"/>
      <c r="P85" s="12"/>
      <c r="Q85" s="12"/>
      <c r="R85" s="12"/>
      <c r="S85" s="12"/>
      <c r="T85" s="12"/>
      <c r="U85" s="12"/>
      <c r="V85" s="12"/>
      <c r="W85" s="12"/>
      <c r="X85" s="12"/>
      <c r="Y85" s="12"/>
      <c r="Z85" s="12"/>
      <c r="AA85" s="12"/>
      <c r="AB85" s="12"/>
    </row>
    <row r="86">
      <c r="A86" s="12"/>
      <c r="B86" s="12"/>
      <c r="C86" s="12"/>
      <c r="D86" s="12"/>
      <c r="E86" s="12"/>
      <c r="F86" s="13"/>
      <c r="G86" s="13"/>
      <c r="H86" s="13"/>
      <c r="I86" s="13"/>
      <c r="J86" s="12"/>
      <c r="K86" s="12"/>
      <c r="L86" s="12"/>
      <c r="M86" s="12"/>
      <c r="N86" s="12"/>
      <c r="O86" s="12"/>
      <c r="P86" s="12"/>
      <c r="Q86" s="12"/>
      <c r="R86" s="12"/>
      <c r="S86" s="12"/>
      <c r="T86" s="12"/>
      <c r="U86" s="12"/>
      <c r="V86" s="12"/>
      <c r="W86" s="12"/>
      <c r="X86" s="12"/>
      <c r="Y86" s="12"/>
      <c r="Z86" s="12"/>
      <c r="AA86" s="12"/>
      <c r="AB86" s="12"/>
    </row>
    <row r="87">
      <c r="A87" s="12"/>
      <c r="B87" s="12"/>
      <c r="C87" s="12"/>
      <c r="D87" s="12"/>
      <c r="E87" s="12"/>
      <c r="F87" s="13"/>
      <c r="G87" s="13"/>
      <c r="H87" s="13"/>
      <c r="I87" s="13"/>
      <c r="J87" s="12"/>
      <c r="K87" s="12"/>
      <c r="L87" s="12"/>
      <c r="M87" s="12"/>
      <c r="N87" s="12"/>
      <c r="O87" s="12"/>
      <c r="P87" s="12"/>
      <c r="Q87" s="12"/>
      <c r="R87" s="12"/>
      <c r="S87" s="12"/>
      <c r="T87" s="12"/>
      <c r="U87" s="12"/>
      <c r="V87" s="12"/>
      <c r="W87" s="12"/>
      <c r="X87" s="12"/>
      <c r="Y87" s="12"/>
      <c r="Z87" s="12"/>
      <c r="AA87" s="12"/>
      <c r="AB87" s="12"/>
    </row>
    <row r="88">
      <c r="A88" s="12"/>
      <c r="B88" s="12"/>
      <c r="C88" s="12"/>
      <c r="D88" s="12"/>
      <c r="E88" s="12"/>
      <c r="F88" s="13"/>
      <c r="G88" s="13"/>
      <c r="H88" s="13"/>
      <c r="I88" s="13"/>
      <c r="J88" s="12"/>
      <c r="K88" s="12"/>
      <c r="L88" s="12"/>
      <c r="M88" s="12"/>
      <c r="N88" s="12"/>
      <c r="O88" s="12"/>
      <c r="P88" s="12"/>
      <c r="Q88" s="12"/>
      <c r="R88" s="12"/>
      <c r="S88" s="12"/>
      <c r="T88" s="12"/>
      <c r="U88" s="12"/>
      <c r="V88" s="12"/>
      <c r="W88" s="12"/>
      <c r="X88" s="12"/>
      <c r="Y88" s="12"/>
      <c r="Z88" s="12"/>
      <c r="AA88" s="12"/>
      <c r="AB88" s="12"/>
    </row>
    <row r="89">
      <c r="A89" s="12"/>
      <c r="B89" s="12"/>
      <c r="C89" s="12"/>
      <c r="D89" s="12"/>
      <c r="E89" s="12"/>
      <c r="F89" s="13"/>
      <c r="G89" s="13"/>
      <c r="H89" s="13"/>
      <c r="I89" s="13"/>
      <c r="J89" s="12"/>
      <c r="K89" s="12"/>
      <c r="L89" s="12"/>
      <c r="M89" s="12"/>
      <c r="N89" s="12"/>
      <c r="O89" s="12"/>
      <c r="P89" s="12"/>
      <c r="Q89" s="12"/>
      <c r="R89" s="12"/>
      <c r="S89" s="12"/>
      <c r="T89" s="12"/>
      <c r="U89" s="12"/>
      <c r="V89" s="12"/>
      <c r="W89" s="12"/>
      <c r="X89" s="12"/>
      <c r="Y89" s="12"/>
      <c r="Z89" s="12"/>
      <c r="AA89" s="12"/>
      <c r="AB89" s="12"/>
    </row>
    <row r="90">
      <c r="A90" s="12"/>
      <c r="B90" s="12"/>
      <c r="C90" s="12"/>
      <c r="D90" s="12"/>
      <c r="E90" s="12"/>
      <c r="F90" s="13"/>
      <c r="G90" s="13"/>
      <c r="H90" s="13"/>
      <c r="I90" s="13"/>
      <c r="J90" s="12"/>
      <c r="K90" s="12"/>
      <c r="L90" s="12"/>
      <c r="M90" s="12"/>
      <c r="N90" s="12"/>
      <c r="O90" s="12"/>
      <c r="P90" s="12"/>
      <c r="Q90" s="12"/>
      <c r="R90" s="12"/>
      <c r="S90" s="12"/>
      <c r="T90" s="12"/>
      <c r="U90" s="12"/>
      <c r="V90" s="12"/>
      <c r="W90" s="12"/>
      <c r="X90" s="12"/>
      <c r="Y90" s="12"/>
      <c r="Z90" s="12"/>
      <c r="AA90" s="12"/>
      <c r="AB90" s="12"/>
    </row>
    <row r="91">
      <c r="A91" s="12"/>
      <c r="B91" s="12"/>
      <c r="C91" s="12"/>
      <c r="D91" s="12"/>
      <c r="E91" s="12"/>
      <c r="F91" s="13"/>
      <c r="G91" s="13"/>
      <c r="H91" s="13"/>
      <c r="I91" s="13"/>
      <c r="J91" s="12"/>
      <c r="K91" s="12"/>
      <c r="L91" s="12"/>
      <c r="M91" s="12"/>
      <c r="N91" s="12"/>
      <c r="O91" s="12"/>
      <c r="P91" s="12"/>
      <c r="Q91" s="12"/>
      <c r="R91" s="12"/>
      <c r="S91" s="12"/>
      <c r="T91" s="12"/>
      <c r="U91" s="12"/>
      <c r="V91" s="12"/>
      <c r="W91" s="12"/>
      <c r="X91" s="12"/>
      <c r="Y91" s="12"/>
      <c r="Z91" s="12"/>
      <c r="AA91" s="12"/>
      <c r="AB91" s="12"/>
    </row>
    <row r="92">
      <c r="A92" s="12"/>
      <c r="B92" s="12"/>
      <c r="C92" s="12"/>
      <c r="D92" s="12"/>
      <c r="E92" s="12"/>
      <c r="F92" s="13"/>
      <c r="G92" s="13"/>
      <c r="H92" s="13"/>
      <c r="I92" s="13"/>
      <c r="J92" s="12"/>
      <c r="K92" s="12"/>
      <c r="L92" s="12"/>
      <c r="M92" s="12"/>
      <c r="N92" s="12"/>
      <c r="O92" s="12"/>
      <c r="P92" s="12"/>
      <c r="Q92" s="12"/>
      <c r="R92" s="12"/>
      <c r="S92" s="12"/>
      <c r="T92" s="12"/>
      <c r="U92" s="12"/>
      <c r="V92" s="12"/>
      <c r="W92" s="12"/>
      <c r="X92" s="12"/>
      <c r="Y92" s="12"/>
      <c r="Z92" s="12"/>
      <c r="AA92" s="12"/>
      <c r="AB92" s="12"/>
    </row>
    <row r="93">
      <c r="A93" s="12"/>
      <c r="B93" s="12"/>
      <c r="C93" s="12"/>
      <c r="D93" s="12"/>
      <c r="E93" s="12"/>
      <c r="F93" s="13"/>
      <c r="G93" s="13"/>
      <c r="H93" s="13"/>
      <c r="I93" s="13"/>
      <c r="J93" s="12"/>
      <c r="K93" s="12"/>
      <c r="L93" s="12"/>
      <c r="M93" s="12"/>
      <c r="N93" s="12"/>
      <c r="O93" s="12"/>
      <c r="P93" s="12"/>
      <c r="Q93" s="12"/>
      <c r="R93" s="12"/>
      <c r="S93" s="12"/>
      <c r="T93" s="12"/>
      <c r="U93" s="12"/>
      <c r="V93" s="12"/>
      <c r="W93" s="12"/>
      <c r="X93" s="12"/>
      <c r="Y93" s="12"/>
      <c r="Z93" s="12"/>
      <c r="AA93" s="12"/>
      <c r="AB93" s="12"/>
    </row>
    <row r="94">
      <c r="A94" s="12"/>
      <c r="B94" s="12"/>
      <c r="C94" s="12"/>
      <c r="D94" s="12"/>
      <c r="E94" s="12"/>
      <c r="F94" s="13"/>
      <c r="G94" s="13"/>
      <c r="H94" s="13"/>
      <c r="I94" s="13"/>
      <c r="J94" s="12"/>
      <c r="K94" s="12"/>
      <c r="L94" s="12"/>
      <c r="M94" s="12"/>
      <c r="N94" s="12"/>
      <c r="O94" s="12"/>
      <c r="P94" s="12"/>
      <c r="Q94" s="12"/>
      <c r="R94" s="12"/>
      <c r="S94" s="12"/>
      <c r="T94" s="12"/>
      <c r="U94" s="12"/>
      <c r="V94" s="12"/>
      <c r="W94" s="12"/>
      <c r="X94" s="12"/>
      <c r="Y94" s="12"/>
      <c r="Z94" s="12"/>
      <c r="AA94" s="12"/>
      <c r="AB94" s="12"/>
    </row>
    <row r="95">
      <c r="A95" s="12"/>
      <c r="B95" s="12"/>
      <c r="C95" s="12"/>
      <c r="D95" s="12"/>
      <c r="E95" s="12"/>
      <c r="F95" s="13"/>
      <c r="G95" s="13"/>
      <c r="H95" s="13"/>
      <c r="I95" s="13"/>
      <c r="J95" s="12"/>
      <c r="K95" s="12"/>
      <c r="L95" s="12"/>
      <c r="M95" s="12"/>
      <c r="N95" s="12"/>
      <c r="O95" s="12"/>
      <c r="P95" s="12"/>
      <c r="Q95" s="12"/>
      <c r="R95" s="12"/>
      <c r="S95" s="12"/>
      <c r="T95" s="12"/>
      <c r="U95" s="12"/>
      <c r="V95" s="12"/>
      <c r="W95" s="12"/>
      <c r="X95" s="12"/>
      <c r="Y95" s="12"/>
      <c r="Z95" s="12"/>
      <c r="AA95" s="12"/>
      <c r="AB95" s="12"/>
    </row>
    <row r="96">
      <c r="A96" s="12"/>
      <c r="B96" s="12"/>
      <c r="C96" s="12"/>
      <c r="D96" s="12"/>
      <c r="E96" s="12"/>
      <c r="F96" s="13"/>
      <c r="G96" s="13"/>
      <c r="H96" s="13"/>
      <c r="I96" s="13"/>
      <c r="J96" s="12"/>
      <c r="K96" s="12"/>
      <c r="L96" s="12"/>
      <c r="M96" s="12"/>
      <c r="N96" s="12"/>
      <c r="O96" s="12"/>
      <c r="P96" s="12"/>
      <c r="Q96" s="12"/>
      <c r="R96" s="12"/>
      <c r="S96" s="12"/>
      <c r="T96" s="12"/>
      <c r="U96" s="12"/>
      <c r="V96" s="12"/>
      <c r="W96" s="12"/>
      <c r="X96" s="12"/>
      <c r="Y96" s="12"/>
      <c r="Z96" s="12"/>
      <c r="AA96" s="12"/>
      <c r="AB96" s="12"/>
    </row>
    <row r="97">
      <c r="A97" s="12"/>
      <c r="B97" s="12"/>
      <c r="C97" s="12"/>
      <c r="D97" s="12"/>
      <c r="E97" s="12"/>
      <c r="F97" s="13"/>
      <c r="G97" s="13"/>
      <c r="H97" s="13"/>
      <c r="I97" s="13"/>
      <c r="J97" s="12"/>
      <c r="K97" s="12"/>
      <c r="L97" s="12"/>
      <c r="M97" s="12"/>
      <c r="N97" s="12"/>
      <c r="O97" s="12"/>
      <c r="P97" s="12"/>
      <c r="Q97" s="12"/>
      <c r="R97" s="12"/>
      <c r="S97" s="12"/>
      <c r="T97" s="12"/>
      <c r="U97" s="12"/>
      <c r="V97" s="12"/>
      <c r="W97" s="12"/>
      <c r="X97" s="12"/>
      <c r="Y97" s="12"/>
      <c r="Z97" s="12"/>
      <c r="AA97" s="12"/>
      <c r="AB97" s="12"/>
    </row>
    <row r="98">
      <c r="A98" s="12"/>
      <c r="B98" s="12"/>
      <c r="C98" s="12"/>
      <c r="D98" s="12"/>
      <c r="E98" s="12"/>
      <c r="F98" s="13"/>
      <c r="G98" s="13"/>
      <c r="H98" s="13"/>
      <c r="I98" s="13"/>
      <c r="J98" s="12"/>
      <c r="K98" s="12"/>
      <c r="L98" s="12"/>
      <c r="M98" s="12"/>
      <c r="N98" s="12"/>
      <c r="O98" s="12"/>
      <c r="P98" s="12"/>
      <c r="Q98" s="12"/>
      <c r="R98" s="12"/>
      <c r="S98" s="12"/>
      <c r="T98" s="12"/>
      <c r="U98" s="12"/>
      <c r="V98" s="12"/>
      <c r="W98" s="12"/>
      <c r="X98" s="12"/>
      <c r="Y98" s="12"/>
      <c r="Z98" s="12"/>
      <c r="AA98" s="12"/>
      <c r="AB98" s="12"/>
    </row>
    <row r="99">
      <c r="A99" s="12"/>
      <c r="B99" s="12"/>
      <c r="C99" s="12"/>
      <c r="D99" s="12"/>
      <c r="E99" s="12"/>
      <c r="F99" s="13"/>
      <c r="G99" s="13"/>
      <c r="H99" s="13"/>
      <c r="I99" s="13"/>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12"/>
      <c r="F100" s="13"/>
      <c r="G100" s="13"/>
      <c r="H100" s="13"/>
      <c r="I100" s="13"/>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12"/>
      <c r="F101" s="13"/>
      <c r="G101" s="13"/>
      <c r="H101" s="13"/>
      <c r="I101" s="13"/>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12"/>
      <c r="F102" s="13"/>
      <c r="G102" s="13"/>
      <c r="H102" s="13"/>
      <c r="I102" s="13"/>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12"/>
      <c r="F103" s="13"/>
      <c r="G103" s="13"/>
      <c r="H103" s="13"/>
      <c r="I103" s="13"/>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12"/>
      <c r="F104" s="13"/>
      <c r="G104" s="13"/>
      <c r="H104" s="13"/>
      <c r="I104" s="13"/>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12"/>
      <c r="F105" s="13"/>
      <c r="G105" s="13"/>
      <c r="H105" s="13"/>
      <c r="I105" s="13"/>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12"/>
      <c r="F106" s="13"/>
      <c r="G106" s="13"/>
      <c r="H106" s="13"/>
      <c r="I106" s="13"/>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12"/>
      <c r="F107" s="13"/>
      <c r="G107" s="13"/>
      <c r="H107" s="13"/>
      <c r="I107" s="13"/>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12"/>
      <c r="F108" s="13"/>
      <c r="G108" s="13"/>
      <c r="H108" s="13"/>
      <c r="I108" s="13"/>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12"/>
      <c r="F109" s="13"/>
      <c r="G109" s="13"/>
      <c r="H109" s="13"/>
      <c r="I109" s="13"/>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12"/>
      <c r="F110" s="13"/>
      <c r="G110" s="13"/>
      <c r="H110" s="13"/>
      <c r="I110" s="13"/>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12"/>
      <c r="F111" s="13"/>
      <c r="G111" s="13"/>
      <c r="H111" s="13"/>
      <c r="I111" s="13"/>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12"/>
      <c r="F112" s="13"/>
      <c r="G112" s="13"/>
      <c r="H112" s="13"/>
      <c r="I112" s="13"/>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12"/>
      <c r="F113" s="13"/>
      <c r="G113" s="13"/>
      <c r="H113" s="13"/>
      <c r="I113" s="13"/>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12"/>
      <c r="F114" s="13"/>
      <c r="G114" s="13"/>
      <c r="H114" s="13"/>
      <c r="I114" s="13"/>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12"/>
      <c r="F115" s="13"/>
      <c r="G115" s="13"/>
      <c r="H115" s="13"/>
      <c r="I115" s="13"/>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12"/>
      <c r="F116" s="13"/>
      <c r="G116" s="13"/>
      <c r="H116" s="13"/>
      <c r="I116" s="13"/>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12"/>
      <c r="F117" s="13"/>
      <c r="G117" s="13"/>
      <c r="H117" s="13"/>
      <c r="I117" s="13"/>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12"/>
      <c r="F118" s="13"/>
      <c r="G118" s="13"/>
      <c r="H118" s="13"/>
      <c r="I118" s="13"/>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12"/>
      <c r="F119" s="13"/>
      <c r="G119" s="13"/>
      <c r="H119" s="13"/>
      <c r="I119" s="13"/>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12"/>
      <c r="F120" s="13"/>
      <c r="G120" s="13"/>
      <c r="H120" s="13"/>
      <c r="I120" s="13"/>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12"/>
      <c r="F121" s="13"/>
      <c r="G121" s="13"/>
      <c r="H121" s="13"/>
      <c r="I121" s="13"/>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12"/>
      <c r="F122" s="13"/>
      <c r="G122" s="13"/>
      <c r="H122" s="13"/>
      <c r="I122" s="13"/>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12"/>
      <c r="F123" s="13"/>
      <c r="G123" s="13"/>
      <c r="H123" s="13"/>
      <c r="I123" s="13"/>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12"/>
      <c r="F124" s="13"/>
      <c r="G124" s="13"/>
      <c r="H124" s="13"/>
      <c r="I124" s="13"/>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12"/>
      <c r="F125" s="13"/>
      <c r="G125" s="13"/>
      <c r="H125" s="13"/>
      <c r="I125" s="13"/>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12"/>
      <c r="F126" s="13"/>
      <c r="G126" s="13"/>
      <c r="H126" s="13"/>
      <c r="I126" s="13"/>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12"/>
      <c r="F127" s="13"/>
      <c r="G127" s="13"/>
      <c r="H127" s="13"/>
      <c r="I127" s="13"/>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12"/>
      <c r="F128" s="13"/>
      <c r="G128" s="13"/>
      <c r="H128" s="13"/>
      <c r="I128" s="13"/>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12"/>
      <c r="F129" s="13"/>
      <c r="G129" s="13"/>
      <c r="H129" s="13"/>
      <c r="I129" s="13"/>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12"/>
      <c r="F130" s="13"/>
      <c r="G130" s="13"/>
      <c r="H130" s="13"/>
      <c r="I130" s="13"/>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12"/>
      <c r="F131" s="13"/>
      <c r="G131" s="13"/>
      <c r="H131" s="13"/>
      <c r="I131" s="13"/>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12"/>
      <c r="F132" s="13"/>
      <c r="G132" s="13"/>
      <c r="H132" s="13"/>
      <c r="I132" s="13"/>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12"/>
      <c r="F133" s="13"/>
      <c r="G133" s="13"/>
      <c r="H133" s="13"/>
      <c r="I133" s="13"/>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12"/>
      <c r="F134" s="13"/>
      <c r="G134" s="13"/>
      <c r="H134" s="13"/>
      <c r="I134" s="13"/>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12"/>
      <c r="F135" s="13"/>
      <c r="G135" s="13"/>
      <c r="H135" s="13"/>
      <c r="I135" s="13"/>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12"/>
      <c r="F136" s="13"/>
      <c r="G136" s="13"/>
      <c r="H136" s="13"/>
      <c r="I136" s="13"/>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12"/>
      <c r="F137" s="13"/>
      <c r="G137" s="13"/>
      <c r="H137" s="13"/>
      <c r="I137" s="13"/>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12"/>
      <c r="F138" s="13"/>
      <c r="G138" s="13"/>
      <c r="H138" s="13"/>
      <c r="I138" s="13"/>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12"/>
      <c r="F139" s="13"/>
      <c r="G139" s="13"/>
      <c r="H139" s="13"/>
      <c r="I139" s="13"/>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12"/>
      <c r="F140" s="13"/>
      <c r="G140" s="13"/>
      <c r="H140" s="13"/>
      <c r="I140" s="13"/>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12"/>
      <c r="F141" s="13"/>
      <c r="G141" s="13"/>
      <c r="H141" s="13"/>
      <c r="I141" s="13"/>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12"/>
      <c r="F142" s="13"/>
      <c r="G142" s="13"/>
      <c r="H142" s="13"/>
      <c r="I142" s="13"/>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12"/>
      <c r="F143" s="13"/>
      <c r="G143" s="13"/>
      <c r="H143" s="13"/>
      <c r="I143" s="13"/>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12"/>
      <c r="F144" s="13"/>
      <c r="G144" s="13"/>
      <c r="H144" s="13"/>
      <c r="I144" s="13"/>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12"/>
      <c r="F145" s="13"/>
      <c r="G145" s="13"/>
      <c r="H145" s="13"/>
      <c r="I145" s="13"/>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12"/>
      <c r="F146" s="13"/>
      <c r="G146" s="13"/>
      <c r="H146" s="13"/>
      <c r="I146" s="13"/>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12"/>
      <c r="F147" s="13"/>
      <c r="G147" s="13"/>
      <c r="H147" s="13"/>
      <c r="I147" s="13"/>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12"/>
      <c r="F148" s="13"/>
      <c r="G148" s="13"/>
      <c r="H148" s="13"/>
      <c r="I148" s="13"/>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12"/>
      <c r="F149" s="13"/>
      <c r="G149" s="13"/>
      <c r="H149" s="13"/>
      <c r="I149" s="13"/>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12"/>
      <c r="F150" s="13"/>
      <c r="G150" s="13"/>
      <c r="H150" s="13"/>
      <c r="I150" s="13"/>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12"/>
      <c r="F151" s="13"/>
      <c r="G151" s="13"/>
      <c r="H151" s="13"/>
      <c r="I151" s="13"/>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12"/>
      <c r="F152" s="13"/>
      <c r="G152" s="13"/>
      <c r="H152" s="13"/>
      <c r="I152" s="13"/>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12"/>
      <c r="F153" s="13"/>
      <c r="G153" s="13"/>
      <c r="H153" s="13"/>
      <c r="I153" s="13"/>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12"/>
      <c r="F154" s="13"/>
      <c r="G154" s="13"/>
      <c r="H154" s="13"/>
      <c r="I154" s="13"/>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12"/>
      <c r="F155" s="13"/>
      <c r="G155" s="13"/>
      <c r="H155" s="13"/>
      <c r="I155" s="13"/>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12"/>
      <c r="F156" s="13"/>
      <c r="G156" s="13"/>
      <c r="H156" s="13"/>
      <c r="I156" s="13"/>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12"/>
      <c r="F157" s="13"/>
      <c r="G157" s="13"/>
      <c r="H157" s="13"/>
      <c r="I157" s="13"/>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12"/>
      <c r="F158" s="13"/>
      <c r="G158" s="13"/>
      <c r="H158" s="13"/>
      <c r="I158" s="13"/>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12"/>
      <c r="F159" s="13"/>
      <c r="G159" s="13"/>
      <c r="H159" s="13"/>
      <c r="I159" s="13"/>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12"/>
      <c r="F160" s="13"/>
      <c r="G160" s="13"/>
      <c r="H160" s="13"/>
      <c r="I160" s="13"/>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12"/>
      <c r="F161" s="13"/>
      <c r="G161" s="13"/>
      <c r="H161" s="13"/>
      <c r="I161" s="13"/>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12"/>
      <c r="F162" s="13"/>
      <c r="G162" s="13"/>
      <c r="H162" s="13"/>
      <c r="I162" s="13"/>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12"/>
      <c r="F163" s="13"/>
      <c r="G163" s="13"/>
      <c r="H163" s="13"/>
      <c r="I163" s="13"/>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12"/>
      <c r="F164" s="13"/>
      <c r="G164" s="13"/>
      <c r="H164" s="13"/>
      <c r="I164" s="13"/>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12"/>
      <c r="F165" s="13"/>
      <c r="G165" s="13"/>
      <c r="H165" s="13"/>
      <c r="I165" s="13"/>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12"/>
      <c r="F166" s="13"/>
      <c r="G166" s="13"/>
      <c r="H166" s="13"/>
      <c r="I166" s="13"/>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12"/>
      <c r="F167" s="13"/>
      <c r="G167" s="13"/>
      <c r="H167" s="13"/>
      <c r="I167" s="13"/>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12"/>
      <c r="F168" s="13"/>
      <c r="G168" s="13"/>
      <c r="H168" s="13"/>
      <c r="I168" s="13"/>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12"/>
      <c r="F169" s="13"/>
      <c r="G169" s="13"/>
      <c r="H169" s="13"/>
      <c r="I169" s="13"/>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12"/>
      <c r="F170" s="13"/>
      <c r="G170" s="13"/>
      <c r="H170" s="13"/>
      <c r="I170" s="13"/>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12"/>
      <c r="F171" s="13"/>
      <c r="G171" s="13"/>
      <c r="H171" s="13"/>
      <c r="I171" s="13"/>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12"/>
      <c r="F172" s="13"/>
      <c r="G172" s="13"/>
      <c r="H172" s="13"/>
      <c r="I172" s="13"/>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12"/>
      <c r="F173" s="13"/>
      <c r="G173" s="13"/>
      <c r="H173" s="13"/>
      <c r="I173" s="13"/>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12"/>
      <c r="F174" s="13"/>
      <c r="G174" s="13"/>
      <c r="H174" s="13"/>
      <c r="I174" s="13"/>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12"/>
      <c r="F175" s="13"/>
      <c r="G175" s="13"/>
      <c r="H175" s="13"/>
      <c r="I175" s="13"/>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12"/>
      <c r="F176" s="13"/>
      <c r="G176" s="13"/>
      <c r="H176" s="13"/>
      <c r="I176" s="13"/>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12"/>
      <c r="F177" s="13"/>
      <c r="G177" s="13"/>
      <c r="H177" s="13"/>
      <c r="I177" s="13"/>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12"/>
      <c r="F178" s="13"/>
      <c r="G178" s="13"/>
      <c r="H178" s="13"/>
      <c r="I178" s="13"/>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12"/>
      <c r="F179" s="13"/>
      <c r="G179" s="13"/>
      <c r="H179" s="13"/>
      <c r="I179" s="13"/>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12"/>
      <c r="F180" s="13"/>
      <c r="G180" s="13"/>
      <c r="H180" s="13"/>
      <c r="I180" s="13"/>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12"/>
      <c r="F181" s="13"/>
      <c r="G181" s="13"/>
      <c r="H181" s="13"/>
      <c r="I181" s="13"/>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12"/>
      <c r="F182" s="13"/>
      <c r="G182" s="13"/>
      <c r="H182" s="13"/>
      <c r="I182" s="13"/>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12"/>
      <c r="F183" s="13"/>
      <c r="G183" s="13"/>
      <c r="H183" s="13"/>
      <c r="I183" s="13"/>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12"/>
      <c r="F184" s="13"/>
      <c r="G184" s="13"/>
      <c r="H184" s="13"/>
      <c r="I184" s="13"/>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12"/>
      <c r="F185" s="13"/>
      <c r="G185" s="13"/>
      <c r="H185" s="13"/>
      <c r="I185" s="13"/>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12"/>
      <c r="F186" s="13"/>
      <c r="G186" s="13"/>
      <c r="H186" s="13"/>
      <c r="I186" s="13"/>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12"/>
      <c r="F187" s="13"/>
      <c r="G187" s="13"/>
      <c r="H187" s="13"/>
      <c r="I187" s="13"/>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12"/>
      <c r="F188" s="13"/>
      <c r="G188" s="13"/>
      <c r="H188" s="13"/>
      <c r="I188" s="13"/>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12"/>
      <c r="F189" s="13"/>
      <c r="G189" s="13"/>
      <c r="H189" s="13"/>
      <c r="I189" s="13"/>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12"/>
      <c r="F190" s="13"/>
      <c r="G190" s="13"/>
      <c r="H190" s="13"/>
      <c r="I190" s="13"/>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12"/>
      <c r="F191" s="13"/>
      <c r="G191" s="13"/>
      <c r="H191" s="13"/>
      <c r="I191" s="13"/>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12"/>
      <c r="F192" s="13"/>
      <c r="G192" s="13"/>
      <c r="H192" s="13"/>
      <c r="I192" s="13"/>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12"/>
      <c r="F193" s="13"/>
      <c r="G193" s="13"/>
      <c r="H193" s="13"/>
      <c r="I193" s="13"/>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12"/>
      <c r="F194" s="13"/>
      <c r="G194" s="13"/>
      <c r="H194" s="13"/>
      <c r="I194" s="13"/>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12"/>
      <c r="F195" s="13"/>
      <c r="G195" s="13"/>
      <c r="H195" s="13"/>
      <c r="I195" s="13"/>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12"/>
      <c r="F196" s="13"/>
      <c r="G196" s="13"/>
      <c r="H196" s="13"/>
      <c r="I196" s="13"/>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12"/>
      <c r="F197" s="13"/>
      <c r="G197" s="13"/>
      <c r="H197" s="13"/>
      <c r="I197" s="13"/>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12"/>
      <c r="F198" s="13"/>
      <c r="G198" s="13"/>
      <c r="H198" s="13"/>
      <c r="I198" s="13"/>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12"/>
      <c r="F199" s="13"/>
      <c r="G199" s="13"/>
      <c r="H199" s="13"/>
      <c r="I199" s="13"/>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12"/>
      <c r="F200" s="13"/>
      <c r="G200" s="13"/>
      <c r="H200" s="13"/>
      <c r="I200" s="13"/>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12"/>
      <c r="F201" s="13"/>
      <c r="G201" s="13"/>
      <c r="H201" s="13"/>
      <c r="I201" s="13"/>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12"/>
      <c r="F202" s="13"/>
      <c r="G202" s="13"/>
      <c r="H202" s="13"/>
      <c r="I202" s="13"/>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12"/>
      <c r="F203" s="13"/>
      <c r="G203" s="13"/>
      <c r="H203" s="13"/>
      <c r="I203" s="13"/>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12"/>
      <c r="F204" s="13"/>
      <c r="G204" s="13"/>
      <c r="H204" s="13"/>
      <c r="I204" s="13"/>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12"/>
      <c r="F205" s="13"/>
      <c r="G205" s="13"/>
      <c r="H205" s="13"/>
      <c r="I205" s="13"/>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12"/>
      <c r="F206" s="13"/>
      <c r="G206" s="13"/>
      <c r="H206" s="13"/>
      <c r="I206" s="13"/>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12"/>
      <c r="F207" s="13"/>
      <c r="G207" s="13"/>
      <c r="H207" s="13"/>
      <c r="I207" s="13"/>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12"/>
      <c r="F208" s="13"/>
      <c r="G208" s="13"/>
      <c r="H208" s="13"/>
      <c r="I208" s="13"/>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12"/>
      <c r="F209" s="13"/>
      <c r="G209" s="13"/>
      <c r="H209" s="13"/>
      <c r="I209" s="13"/>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12"/>
      <c r="F210" s="13"/>
      <c r="G210" s="13"/>
      <c r="H210" s="13"/>
      <c r="I210" s="13"/>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12"/>
      <c r="F211" s="13"/>
      <c r="G211" s="13"/>
      <c r="H211" s="13"/>
      <c r="I211" s="13"/>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12"/>
      <c r="F212" s="13"/>
      <c r="G212" s="13"/>
      <c r="H212" s="13"/>
      <c r="I212" s="13"/>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12"/>
      <c r="F213" s="13"/>
      <c r="G213" s="13"/>
      <c r="H213" s="13"/>
      <c r="I213" s="13"/>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12"/>
      <c r="F214" s="13"/>
      <c r="G214" s="13"/>
      <c r="H214" s="13"/>
      <c r="I214" s="13"/>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12"/>
      <c r="F215" s="13"/>
      <c r="G215" s="13"/>
      <c r="H215" s="13"/>
      <c r="I215" s="13"/>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12"/>
      <c r="F216" s="13"/>
      <c r="G216" s="13"/>
      <c r="H216" s="13"/>
      <c r="I216" s="13"/>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12"/>
      <c r="F217" s="13"/>
      <c r="G217" s="13"/>
      <c r="H217" s="13"/>
      <c r="I217" s="13"/>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12"/>
      <c r="F218" s="13"/>
      <c r="G218" s="13"/>
      <c r="H218" s="13"/>
      <c r="I218" s="13"/>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12"/>
      <c r="F219" s="13"/>
      <c r="G219" s="13"/>
      <c r="H219" s="13"/>
      <c r="I219" s="13"/>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12"/>
      <c r="F220" s="13"/>
      <c r="G220" s="13"/>
      <c r="H220" s="13"/>
      <c r="I220" s="13"/>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12"/>
      <c r="F221" s="13"/>
      <c r="G221" s="13"/>
      <c r="H221" s="13"/>
      <c r="I221" s="13"/>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12"/>
      <c r="F222" s="13"/>
      <c r="G222" s="13"/>
      <c r="H222" s="13"/>
      <c r="I222" s="13"/>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12"/>
      <c r="F223" s="13"/>
      <c r="G223" s="13"/>
      <c r="H223" s="13"/>
      <c r="I223" s="13"/>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12"/>
      <c r="F224" s="13"/>
      <c r="G224" s="13"/>
      <c r="H224" s="13"/>
      <c r="I224" s="13"/>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12"/>
      <c r="F225" s="13"/>
      <c r="G225" s="13"/>
      <c r="H225" s="13"/>
      <c r="I225" s="13"/>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12"/>
      <c r="F226" s="13"/>
      <c r="G226" s="13"/>
      <c r="H226" s="13"/>
      <c r="I226" s="13"/>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12"/>
      <c r="F227" s="13"/>
      <c r="G227" s="13"/>
      <c r="H227" s="13"/>
      <c r="I227" s="13"/>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12"/>
      <c r="F228" s="13"/>
      <c r="G228" s="13"/>
      <c r="H228" s="13"/>
      <c r="I228" s="13"/>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12"/>
      <c r="F229" s="13"/>
      <c r="G229" s="13"/>
      <c r="H229" s="13"/>
      <c r="I229" s="13"/>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12"/>
      <c r="F230" s="13"/>
      <c r="G230" s="13"/>
      <c r="H230" s="13"/>
      <c r="I230" s="13"/>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12"/>
      <c r="F231" s="13"/>
      <c r="G231" s="13"/>
      <c r="H231" s="13"/>
      <c r="I231" s="13"/>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12"/>
      <c r="F232" s="13"/>
      <c r="G232" s="13"/>
      <c r="H232" s="13"/>
      <c r="I232" s="13"/>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12"/>
      <c r="F233" s="13"/>
      <c r="G233" s="13"/>
      <c r="H233" s="13"/>
      <c r="I233" s="13"/>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12"/>
      <c r="F234" s="13"/>
      <c r="G234" s="13"/>
      <c r="H234" s="13"/>
      <c r="I234" s="13"/>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12"/>
      <c r="F235" s="13"/>
      <c r="G235" s="13"/>
      <c r="H235" s="13"/>
      <c r="I235" s="13"/>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12"/>
      <c r="F236" s="13"/>
      <c r="G236" s="13"/>
      <c r="H236" s="13"/>
      <c r="I236" s="13"/>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12"/>
      <c r="F237" s="13"/>
      <c r="G237" s="13"/>
      <c r="H237" s="13"/>
      <c r="I237" s="13"/>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12"/>
      <c r="F238" s="13"/>
      <c r="G238" s="13"/>
      <c r="H238" s="13"/>
      <c r="I238" s="13"/>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12"/>
      <c r="F239" s="13"/>
      <c r="G239" s="13"/>
      <c r="H239" s="13"/>
      <c r="I239" s="13"/>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12"/>
      <c r="F240" s="13"/>
      <c r="G240" s="13"/>
      <c r="H240" s="13"/>
      <c r="I240" s="13"/>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12"/>
      <c r="F241" s="13"/>
      <c r="G241" s="13"/>
      <c r="H241" s="13"/>
      <c r="I241" s="13"/>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12"/>
      <c r="F242" s="13"/>
      <c r="G242" s="13"/>
      <c r="H242" s="13"/>
      <c r="I242" s="13"/>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12"/>
      <c r="F243" s="13"/>
      <c r="G243" s="13"/>
      <c r="H243" s="13"/>
      <c r="I243" s="13"/>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12"/>
      <c r="F244" s="13"/>
      <c r="G244" s="13"/>
      <c r="H244" s="13"/>
      <c r="I244" s="13"/>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12"/>
      <c r="F245" s="13"/>
      <c r="G245" s="13"/>
      <c r="H245" s="13"/>
      <c r="I245" s="13"/>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12"/>
      <c r="F246" s="13"/>
      <c r="G246" s="13"/>
      <c r="H246" s="13"/>
      <c r="I246" s="13"/>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12"/>
      <c r="F247" s="13"/>
      <c r="G247" s="13"/>
      <c r="H247" s="13"/>
      <c r="I247" s="13"/>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12"/>
      <c r="F248" s="13"/>
      <c r="G248" s="13"/>
      <c r="H248" s="13"/>
      <c r="I248" s="13"/>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12"/>
      <c r="F249" s="13"/>
      <c r="G249" s="13"/>
      <c r="H249" s="13"/>
      <c r="I249" s="13"/>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12"/>
      <c r="F250" s="13"/>
      <c r="G250" s="13"/>
      <c r="H250" s="13"/>
      <c r="I250" s="13"/>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12"/>
      <c r="F251" s="13"/>
      <c r="G251" s="13"/>
      <c r="H251" s="13"/>
      <c r="I251" s="13"/>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12"/>
      <c r="F252" s="13"/>
      <c r="G252" s="13"/>
      <c r="H252" s="13"/>
      <c r="I252" s="13"/>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12"/>
      <c r="F253" s="13"/>
      <c r="G253" s="13"/>
      <c r="H253" s="13"/>
      <c r="I253" s="13"/>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12"/>
      <c r="F254" s="13"/>
      <c r="G254" s="13"/>
      <c r="H254" s="13"/>
      <c r="I254" s="13"/>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12"/>
      <c r="F255" s="13"/>
      <c r="G255" s="13"/>
      <c r="H255" s="13"/>
      <c r="I255" s="13"/>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12"/>
      <c r="F256" s="13"/>
      <c r="G256" s="13"/>
      <c r="H256" s="13"/>
      <c r="I256" s="13"/>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12"/>
      <c r="F257" s="13"/>
      <c r="G257" s="13"/>
      <c r="H257" s="13"/>
      <c r="I257" s="13"/>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12"/>
      <c r="F258" s="13"/>
      <c r="G258" s="13"/>
      <c r="H258" s="13"/>
      <c r="I258" s="13"/>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12"/>
      <c r="F259" s="13"/>
      <c r="G259" s="13"/>
      <c r="H259" s="13"/>
      <c r="I259" s="13"/>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12"/>
      <c r="F260" s="13"/>
      <c r="G260" s="13"/>
      <c r="H260" s="13"/>
      <c r="I260" s="13"/>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12"/>
      <c r="F261" s="13"/>
      <c r="G261" s="13"/>
      <c r="H261" s="13"/>
      <c r="I261" s="13"/>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12"/>
      <c r="F262" s="13"/>
      <c r="G262" s="13"/>
      <c r="H262" s="13"/>
      <c r="I262" s="13"/>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12"/>
      <c r="F263" s="13"/>
      <c r="G263" s="13"/>
      <c r="H263" s="13"/>
      <c r="I263" s="13"/>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12"/>
      <c r="F264" s="13"/>
      <c r="G264" s="13"/>
      <c r="H264" s="13"/>
      <c r="I264" s="13"/>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12"/>
      <c r="F265" s="13"/>
      <c r="G265" s="13"/>
      <c r="H265" s="13"/>
      <c r="I265" s="13"/>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12"/>
      <c r="F266" s="13"/>
      <c r="G266" s="13"/>
      <c r="H266" s="13"/>
      <c r="I266" s="13"/>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12"/>
      <c r="F267" s="13"/>
      <c r="G267" s="13"/>
      <c r="H267" s="13"/>
      <c r="I267" s="13"/>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12"/>
      <c r="F268" s="13"/>
      <c r="G268" s="13"/>
      <c r="H268" s="13"/>
      <c r="I268" s="13"/>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12"/>
      <c r="F269" s="13"/>
      <c r="G269" s="13"/>
      <c r="H269" s="13"/>
      <c r="I269" s="13"/>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12"/>
      <c r="F270" s="13"/>
      <c r="G270" s="13"/>
      <c r="H270" s="13"/>
      <c r="I270" s="13"/>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12"/>
      <c r="F271" s="13"/>
      <c r="G271" s="13"/>
      <c r="H271" s="13"/>
      <c r="I271" s="13"/>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12"/>
      <c r="F272" s="13"/>
      <c r="G272" s="13"/>
      <c r="H272" s="13"/>
      <c r="I272" s="13"/>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12"/>
      <c r="F273" s="13"/>
      <c r="G273" s="13"/>
      <c r="H273" s="13"/>
      <c r="I273" s="13"/>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12"/>
      <c r="F274" s="13"/>
      <c r="G274" s="13"/>
      <c r="H274" s="13"/>
      <c r="I274" s="13"/>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12"/>
      <c r="F275" s="13"/>
      <c r="G275" s="13"/>
      <c r="H275" s="13"/>
      <c r="I275" s="13"/>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12"/>
      <c r="F276" s="13"/>
      <c r="G276" s="13"/>
      <c r="H276" s="13"/>
      <c r="I276" s="13"/>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12"/>
      <c r="F277" s="13"/>
      <c r="G277" s="13"/>
      <c r="H277" s="13"/>
      <c r="I277" s="13"/>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12"/>
      <c r="F278" s="13"/>
      <c r="G278" s="13"/>
      <c r="H278" s="13"/>
      <c r="I278" s="13"/>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12"/>
      <c r="F279" s="13"/>
      <c r="G279" s="13"/>
      <c r="H279" s="13"/>
      <c r="I279" s="13"/>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12"/>
      <c r="F280" s="13"/>
      <c r="G280" s="13"/>
      <c r="H280" s="13"/>
      <c r="I280" s="13"/>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12"/>
      <c r="F281" s="13"/>
      <c r="G281" s="13"/>
      <c r="H281" s="13"/>
      <c r="I281" s="13"/>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12"/>
      <c r="F282" s="13"/>
      <c r="G282" s="13"/>
      <c r="H282" s="13"/>
      <c r="I282" s="13"/>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12"/>
      <c r="F283" s="13"/>
      <c r="G283" s="13"/>
      <c r="H283" s="13"/>
      <c r="I283" s="13"/>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12"/>
      <c r="F284" s="13"/>
      <c r="G284" s="13"/>
      <c r="H284" s="13"/>
      <c r="I284" s="13"/>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12"/>
      <c r="F285" s="13"/>
      <c r="G285" s="13"/>
      <c r="H285" s="13"/>
      <c r="I285" s="13"/>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12"/>
      <c r="F286" s="13"/>
      <c r="G286" s="13"/>
      <c r="H286" s="13"/>
      <c r="I286" s="13"/>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12"/>
      <c r="F287" s="13"/>
      <c r="G287" s="13"/>
      <c r="H287" s="13"/>
      <c r="I287" s="13"/>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12"/>
      <c r="F288" s="13"/>
      <c r="G288" s="13"/>
      <c r="H288" s="13"/>
      <c r="I288" s="13"/>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12"/>
      <c r="F289" s="13"/>
      <c r="G289" s="13"/>
      <c r="H289" s="13"/>
      <c r="I289" s="13"/>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12"/>
      <c r="F290" s="13"/>
      <c r="G290" s="13"/>
      <c r="H290" s="13"/>
      <c r="I290" s="13"/>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12"/>
      <c r="F291" s="13"/>
      <c r="G291" s="13"/>
      <c r="H291" s="13"/>
      <c r="I291" s="13"/>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12"/>
      <c r="F292" s="13"/>
      <c r="G292" s="13"/>
      <c r="H292" s="13"/>
      <c r="I292" s="13"/>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12"/>
      <c r="F293" s="13"/>
      <c r="G293" s="13"/>
      <c r="H293" s="13"/>
      <c r="I293" s="13"/>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12"/>
      <c r="F294" s="13"/>
      <c r="G294" s="13"/>
      <c r="H294" s="13"/>
      <c r="I294" s="13"/>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12"/>
      <c r="F295" s="13"/>
      <c r="G295" s="13"/>
      <c r="H295" s="13"/>
      <c r="I295" s="13"/>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12"/>
      <c r="F296" s="13"/>
      <c r="G296" s="13"/>
      <c r="H296" s="13"/>
      <c r="I296" s="13"/>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12"/>
      <c r="F297" s="13"/>
      <c r="G297" s="13"/>
      <c r="H297" s="13"/>
      <c r="I297" s="13"/>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12"/>
      <c r="F298" s="13"/>
      <c r="G298" s="13"/>
      <c r="H298" s="13"/>
      <c r="I298" s="13"/>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12"/>
      <c r="F299" s="13"/>
      <c r="G299" s="13"/>
      <c r="H299" s="13"/>
      <c r="I299" s="13"/>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12"/>
      <c r="F300" s="13"/>
      <c r="G300" s="13"/>
      <c r="H300" s="13"/>
      <c r="I300" s="13"/>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12"/>
      <c r="F301" s="13"/>
      <c r="G301" s="13"/>
      <c r="H301" s="13"/>
      <c r="I301" s="13"/>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12"/>
      <c r="F302" s="13"/>
      <c r="G302" s="13"/>
      <c r="H302" s="13"/>
      <c r="I302" s="13"/>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12"/>
      <c r="F303" s="13"/>
      <c r="G303" s="13"/>
      <c r="H303" s="13"/>
      <c r="I303" s="13"/>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12"/>
      <c r="F304" s="13"/>
      <c r="G304" s="13"/>
      <c r="H304" s="13"/>
      <c r="I304" s="13"/>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12"/>
      <c r="F305" s="13"/>
      <c r="G305" s="13"/>
      <c r="H305" s="13"/>
      <c r="I305" s="13"/>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12"/>
      <c r="F306" s="13"/>
      <c r="G306" s="13"/>
      <c r="H306" s="13"/>
      <c r="I306" s="13"/>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12"/>
      <c r="F307" s="13"/>
      <c r="G307" s="13"/>
      <c r="H307" s="13"/>
      <c r="I307" s="13"/>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12"/>
      <c r="F308" s="13"/>
      <c r="G308" s="13"/>
      <c r="H308" s="13"/>
      <c r="I308" s="13"/>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12"/>
      <c r="F309" s="13"/>
      <c r="G309" s="13"/>
      <c r="H309" s="13"/>
      <c r="I309" s="13"/>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12"/>
      <c r="F310" s="13"/>
      <c r="G310" s="13"/>
      <c r="H310" s="13"/>
      <c r="I310" s="13"/>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12"/>
      <c r="F311" s="13"/>
      <c r="G311" s="13"/>
      <c r="H311" s="13"/>
      <c r="I311" s="13"/>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12"/>
      <c r="F312" s="13"/>
      <c r="G312" s="13"/>
      <c r="H312" s="13"/>
      <c r="I312" s="13"/>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12"/>
      <c r="F313" s="13"/>
      <c r="G313" s="13"/>
      <c r="H313" s="13"/>
      <c r="I313" s="13"/>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12"/>
      <c r="F314" s="13"/>
      <c r="G314" s="13"/>
      <c r="H314" s="13"/>
      <c r="I314" s="13"/>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12"/>
      <c r="F315" s="13"/>
      <c r="G315" s="13"/>
      <c r="H315" s="13"/>
      <c r="I315" s="13"/>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12"/>
      <c r="F316" s="13"/>
      <c r="G316" s="13"/>
      <c r="H316" s="13"/>
      <c r="I316" s="13"/>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12"/>
      <c r="F317" s="13"/>
      <c r="G317" s="13"/>
      <c r="H317" s="13"/>
      <c r="I317" s="13"/>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12"/>
      <c r="F318" s="13"/>
      <c r="G318" s="13"/>
      <c r="H318" s="13"/>
      <c r="I318" s="13"/>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12"/>
      <c r="F319" s="13"/>
      <c r="G319" s="13"/>
      <c r="H319" s="13"/>
      <c r="I319" s="13"/>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12"/>
      <c r="F320" s="13"/>
      <c r="G320" s="13"/>
      <c r="H320" s="13"/>
      <c r="I320" s="13"/>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12"/>
      <c r="F321" s="13"/>
      <c r="G321" s="13"/>
      <c r="H321" s="13"/>
      <c r="I321" s="13"/>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12"/>
      <c r="F322" s="13"/>
      <c r="G322" s="13"/>
      <c r="H322" s="13"/>
      <c r="I322" s="13"/>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12"/>
      <c r="F323" s="13"/>
      <c r="G323" s="13"/>
      <c r="H323" s="13"/>
      <c r="I323" s="13"/>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12"/>
      <c r="F324" s="13"/>
      <c r="G324" s="13"/>
      <c r="H324" s="13"/>
      <c r="I324" s="13"/>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12"/>
      <c r="F325" s="13"/>
      <c r="G325" s="13"/>
      <c r="H325" s="13"/>
      <c r="I325" s="13"/>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12"/>
      <c r="F326" s="13"/>
      <c r="G326" s="13"/>
      <c r="H326" s="13"/>
      <c r="I326" s="13"/>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12"/>
      <c r="F327" s="13"/>
      <c r="G327" s="13"/>
      <c r="H327" s="13"/>
      <c r="I327" s="13"/>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12"/>
      <c r="F328" s="13"/>
      <c r="G328" s="13"/>
      <c r="H328" s="13"/>
      <c r="I328" s="13"/>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12"/>
      <c r="F329" s="13"/>
      <c r="G329" s="13"/>
      <c r="H329" s="13"/>
      <c r="I329" s="13"/>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12"/>
      <c r="F330" s="13"/>
      <c r="G330" s="13"/>
      <c r="H330" s="13"/>
      <c r="I330" s="13"/>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12"/>
      <c r="F331" s="13"/>
      <c r="G331" s="13"/>
      <c r="H331" s="13"/>
      <c r="I331" s="13"/>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12"/>
      <c r="F332" s="13"/>
      <c r="G332" s="13"/>
      <c r="H332" s="13"/>
      <c r="I332" s="13"/>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12"/>
      <c r="F333" s="13"/>
      <c r="G333" s="13"/>
      <c r="H333" s="13"/>
      <c r="I333" s="13"/>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12"/>
      <c r="F334" s="13"/>
      <c r="G334" s="13"/>
      <c r="H334" s="13"/>
      <c r="I334" s="13"/>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12"/>
      <c r="F335" s="13"/>
      <c r="G335" s="13"/>
      <c r="H335" s="13"/>
      <c r="I335" s="13"/>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12"/>
      <c r="F336" s="13"/>
      <c r="G336" s="13"/>
      <c r="H336" s="13"/>
      <c r="I336" s="13"/>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12"/>
      <c r="F337" s="13"/>
      <c r="G337" s="13"/>
      <c r="H337" s="13"/>
      <c r="I337" s="13"/>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12"/>
      <c r="F338" s="13"/>
      <c r="G338" s="13"/>
      <c r="H338" s="13"/>
      <c r="I338" s="13"/>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12"/>
      <c r="F339" s="13"/>
      <c r="G339" s="13"/>
      <c r="H339" s="13"/>
      <c r="I339" s="13"/>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12"/>
      <c r="F340" s="13"/>
      <c r="G340" s="13"/>
      <c r="H340" s="13"/>
      <c r="I340" s="13"/>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12"/>
      <c r="F341" s="13"/>
      <c r="G341" s="13"/>
      <c r="H341" s="13"/>
      <c r="I341" s="13"/>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12"/>
      <c r="F342" s="13"/>
      <c r="G342" s="13"/>
      <c r="H342" s="13"/>
      <c r="I342" s="13"/>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12"/>
      <c r="F343" s="13"/>
      <c r="G343" s="13"/>
      <c r="H343" s="13"/>
      <c r="I343" s="13"/>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12"/>
      <c r="F344" s="13"/>
      <c r="G344" s="13"/>
      <c r="H344" s="13"/>
      <c r="I344" s="13"/>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12"/>
      <c r="F345" s="13"/>
      <c r="G345" s="13"/>
      <c r="H345" s="13"/>
      <c r="I345" s="13"/>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12"/>
      <c r="F346" s="13"/>
      <c r="G346" s="13"/>
      <c r="H346" s="13"/>
      <c r="I346" s="13"/>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12"/>
      <c r="F347" s="13"/>
      <c r="G347" s="13"/>
      <c r="H347" s="13"/>
      <c r="I347" s="13"/>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12"/>
      <c r="F348" s="13"/>
      <c r="G348" s="13"/>
      <c r="H348" s="13"/>
      <c r="I348" s="13"/>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12"/>
      <c r="F349" s="13"/>
      <c r="G349" s="13"/>
      <c r="H349" s="13"/>
      <c r="I349" s="13"/>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12"/>
      <c r="F350" s="13"/>
      <c r="G350" s="13"/>
      <c r="H350" s="13"/>
      <c r="I350" s="13"/>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12"/>
      <c r="F351" s="13"/>
      <c r="G351" s="13"/>
      <c r="H351" s="13"/>
      <c r="I351" s="13"/>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12"/>
      <c r="F352" s="13"/>
      <c r="G352" s="13"/>
      <c r="H352" s="13"/>
      <c r="I352" s="13"/>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12"/>
      <c r="F353" s="13"/>
      <c r="G353" s="13"/>
      <c r="H353" s="13"/>
      <c r="I353" s="13"/>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12"/>
      <c r="F354" s="13"/>
      <c r="G354" s="13"/>
      <c r="H354" s="13"/>
      <c r="I354" s="13"/>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12"/>
      <c r="F355" s="13"/>
      <c r="G355" s="13"/>
      <c r="H355" s="13"/>
      <c r="I355" s="13"/>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12"/>
      <c r="F356" s="13"/>
      <c r="G356" s="13"/>
      <c r="H356" s="13"/>
      <c r="I356" s="13"/>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12"/>
      <c r="F357" s="13"/>
      <c r="G357" s="13"/>
      <c r="H357" s="13"/>
      <c r="I357" s="13"/>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12"/>
      <c r="F358" s="13"/>
      <c r="G358" s="13"/>
      <c r="H358" s="13"/>
      <c r="I358" s="13"/>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12"/>
      <c r="F359" s="13"/>
      <c r="G359" s="13"/>
      <c r="H359" s="13"/>
      <c r="I359" s="13"/>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12"/>
      <c r="F360" s="13"/>
      <c r="G360" s="13"/>
      <c r="H360" s="13"/>
      <c r="I360" s="13"/>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12"/>
      <c r="F361" s="13"/>
      <c r="G361" s="13"/>
      <c r="H361" s="13"/>
      <c r="I361" s="13"/>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12"/>
      <c r="F362" s="13"/>
      <c r="G362" s="13"/>
      <c r="H362" s="13"/>
      <c r="I362" s="13"/>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12"/>
      <c r="F363" s="13"/>
      <c r="G363" s="13"/>
      <c r="H363" s="13"/>
      <c r="I363" s="13"/>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12"/>
      <c r="F364" s="13"/>
      <c r="G364" s="13"/>
      <c r="H364" s="13"/>
      <c r="I364" s="13"/>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12"/>
      <c r="F365" s="13"/>
      <c r="G365" s="13"/>
      <c r="H365" s="13"/>
      <c r="I365" s="13"/>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12"/>
      <c r="F366" s="13"/>
      <c r="G366" s="13"/>
      <c r="H366" s="13"/>
      <c r="I366" s="13"/>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12"/>
      <c r="F367" s="13"/>
      <c r="G367" s="13"/>
      <c r="H367" s="13"/>
      <c r="I367" s="13"/>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12"/>
      <c r="F368" s="13"/>
      <c r="G368" s="13"/>
      <c r="H368" s="13"/>
      <c r="I368" s="13"/>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12"/>
      <c r="F369" s="13"/>
      <c r="G369" s="13"/>
      <c r="H369" s="13"/>
      <c r="I369" s="13"/>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12"/>
      <c r="F370" s="13"/>
      <c r="G370" s="13"/>
      <c r="H370" s="13"/>
      <c r="I370" s="13"/>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12"/>
      <c r="F371" s="13"/>
      <c r="G371" s="13"/>
      <c r="H371" s="13"/>
      <c r="I371" s="13"/>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12"/>
      <c r="F372" s="13"/>
      <c r="G372" s="13"/>
      <c r="H372" s="13"/>
      <c r="I372" s="13"/>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12"/>
      <c r="F373" s="13"/>
      <c r="G373" s="13"/>
      <c r="H373" s="13"/>
      <c r="I373" s="13"/>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12"/>
      <c r="F374" s="13"/>
      <c r="G374" s="13"/>
      <c r="H374" s="13"/>
      <c r="I374" s="13"/>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12"/>
      <c r="F375" s="13"/>
      <c r="G375" s="13"/>
      <c r="H375" s="13"/>
      <c r="I375" s="13"/>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12"/>
      <c r="F376" s="13"/>
      <c r="G376" s="13"/>
      <c r="H376" s="13"/>
      <c r="I376" s="13"/>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12"/>
      <c r="F377" s="13"/>
      <c r="G377" s="13"/>
      <c r="H377" s="13"/>
      <c r="I377" s="13"/>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12"/>
      <c r="F378" s="13"/>
      <c r="G378" s="13"/>
      <c r="H378" s="13"/>
      <c r="I378" s="13"/>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12"/>
      <c r="F379" s="13"/>
      <c r="G379" s="13"/>
      <c r="H379" s="13"/>
      <c r="I379" s="13"/>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12"/>
      <c r="F380" s="13"/>
      <c r="G380" s="13"/>
      <c r="H380" s="13"/>
      <c r="I380" s="13"/>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12"/>
      <c r="F381" s="13"/>
      <c r="G381" s="13"/>
      <c r="H381" s="13"/>
      <c r="I381" s="13"/>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12"/>
      <c r="F382" s="13"/>
      <c r="G382" s="13"/>
      <c r="H382" s="13"/>
      <c r="I382" s="13"/>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12"/>
      <c r="F383" s="13"/>
      <c r="G383" s="13"/>
      <c r="H383" s="13"/>
      <c r="I383" s="13"/>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12"/>
      <c r="F384" s="13"/>
      <c r="G384" s="13"/>
      <c r="H384" s="13"/>
      <c r="I384" s="13"/>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12"/>
      <c r="F385" s="13"/>
      <c r="G385" s="13"/>
      <c r="H385" s="13"/>
      <c r="I385" s="13"/>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12"/>
      <c r="F386" s="13"/>
      <c r="G386" s="13"/>
      <c r="H386" s="13"/>
      <c r="I386" s="13"/>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12"/>
      <c r="F387" s="13"/>
      <c r="G387" s="13"/>
      <c r="H387" s="13"/>
      <c r="I387" s="13"/>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12"/>
      <c r="F388" s="13"/>
      <c r="G388" s="13"/>
      <c r="H388" s="13"/>
      <c r="I388" s="13"/>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12"/>
      <c r="F389" s="13"/>
      <c r="G389" s="13"/>
      <c r="H389" s="13"/>
      <c r="I389" s="13"/>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12"/>
      <c r="F390" s="13"/>
      <c r="G390" s="13"/>
      <c r="H390" s="13"/>
      <c r="I390" s="13"/>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12"/>
      <c r="F391" s="13"/>
      <c r="G391" s="13"/>
      <c r="H391" s="13"/>
      <c r="I391" s="13"/>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12"/>
      <c r="F392" s="13"/>
      <c r="G392" s="13"/>
      <c r="H392" s="13"/>
      <c r="I392" s="13"/>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12"/>
      <c r="F393" s="13"/>
      <c r="G393" s="13"/>
      <c r="H393" s="13"/>
      <c r="I393" s="13"/>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12"/>
      <c r="F394" s="13"/>
      <c r="G394" s="13"/>
      <c r="H394" s="13"/>
      <c r="I394" s="13"/>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12"/>
      <c r="F395" s="13"/>
      <c r="G395" s="13"/>
      <c r="H395" s="13"/>
      <c r="I395" s="13"/>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12"/>
      <c r="F396" s="13"/>
      <c r="G396" s="13"/>
      <c r="H396" s="13"/>
      <c r="I396" s="13"/>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12"/>
      <c r="F397" s="13"/>
      <c r="G397" s="13"/>
      <c r="H397" s="13"/>
      <c r="I397" s="13"/>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12"/>
      <c r="F398" s="13"/>
      <c r="G398" s="13"/>
      <c r="H398" s="13"/>
      <c r="I398" s="13"/>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12"/>
      <c r="F399" s="13"/>
      <c r="G399" s="13"/>
      <c r="H399" s="13"/>
      <c r="I399" s="13"/>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12"/>
      <c r="F400" s="13"/>
      <c r="G400" s="13"/>
      <c r="H400" s="13"/>
      <c r="I400" s="13"/>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12"/>
      <c r="F401" s="13"/>
      <c r="G401" s="13"/>
      <c r="H401" s="13"/>
      <c r="I401" s="13"/>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12"/>
      <c r="F402" s="13"/>
      <c r="G402" s="13"/>
      <c r="H402" s="13"/>
      <c r="I402" s="13"/>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12"/>
      <c r="F403" s="13"/>
      <c r="G403" s="13"/>
      <c r="H403" s="13"/>
      <c r="I403" s="13"/>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12"/>
      <c r="F404" s="13"/>
      <c r="G404" s="13"/>
      <c r="H404" s="13"/>
      <c r="I404" s="13"/>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12"/>
      <c r="F405" s="13"/>
      <c r="G405" s="13"/>
      <c r="H405" s="13"/>
      <c r="I405" s="13"/>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12"/>
      <c r="F406" s="13"/>
      <c r="G406" s="13"/>
      <c r="H406" s="13"/>
      <c r="I406" s="13"/>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12"/>
      <c r="F407" s="13"/>
      <c r="G407" s="13"/>
      <c r="H407" s="13"/>
      <c r="I407" s="13"/>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12"/>
      <c r="F408" s="13"/>
      <c r="G408" s="13"/>
      <c r="H408" s="13"/>
      <c r="I408" s="13"/>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12"/>
      <c r="F409" s="13"/>
      <c r="G409" s="13"/>
      <c r="H409" s="13"/>
      <c r="I409" s="13"/>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12"/>
      <c r="F410" s="13"/>
      <c r="G410" s="13"/>
      <c r="H410" s="13"/>
      <c r="I410" s="13"/>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12"/>
      <c r="F411" s="13"/>
      <c r="G411" s="13"/>
      <c r="H411" s="13"/>
      <c r="I411" s="13"/>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12"/>
      <c r="F412" s="13"/>
      <c r="G412" s="13"/>
      <c r="H412" s="13"/>
      <c r="I412" s="13"/>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12"/>
      <c r="F413" s="13"/>
      <c r="G413" s="13"/>
      <c r="H413" s="13"/>
      <c r="I413" s="13"/>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12"/>
      <c r="F414" s="13"/>
      <c r="G414" s="13"/>
      <c r="H414" s="13"/>
      <c r="I414" s="13"/>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12"/>
      <c r="F415" s="13"/>
      <c r="G415" s="13"/>
      <c r="H415" s="13"/>
      <c r="I415" s="13"/>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12"/>
      <c r="F416" s="13"/>
      <c r="G416" s="13"/>
      <c r="H416" s="13"/>
      <c r="I416" s="13"/>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12"/>
      <c r="F417" s="13"/>
      <c r="G417" s="13"/>
      <c r="H417" s="13"/>
      <c r="I417" s="13"/>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12"/>
      <c r="F418" s="13"/>
      <c r="G418" s="13"/>
      <c r="H418" s="13"/>
      <c r="I418" s="13"/>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12"/>
      <c r="F419" s="13"/>
      <c r="G419" s="13"/>
      <c r="H419" s="13"/>
      <c r="I419" s="13"/>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12"/>
      <c r="F420" s="13"/>
      <c r="G420" s="13"/>
      <c r="H420" s="13"/>
      <c r="I420" s="13"/>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12"/>
      <c r="F421" s="13"/>
      <c r="G421" s="13"/>
      <c r="H421" s="13"/>
      <c r="I421" s="13"/>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12"/>
      <c r="F422" s="13"/>
      <c r="G422" s="13"/>
      <c r="H422" s="13"/>
      <c r="I422" s="13"/>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12"/>
      <c r="F423" s="13"/>
      <c r="G423" s="13"/>
      <c r="H423" s="13"/>
      <c r="I423" s="13"/>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12"/>
      <c r="F424" s="13"/>
      <c r="G424" s="13"/>
      <c r="H424" s="13"/>
      <c r="I424" s="13"/>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12"/>
      <c r="F425" s="13"/>
      <c r="G425" s="13"/>
      <c r="H425" s="13"/>
      <c r="I425" s="13"/>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12"/>
      <c r="F426" s="13"/>
      <c r="G426" s="13"/>
      <c r="H426" s="13"/>
      <c r="I426" s="13"/>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12"/>
      <c r="F427" s="13"/>
      <c r="G427" s="13"/>
      <c r="H427" s="13"/>
      <c r="I427" s="13"/>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12"/>
      <c r="F428" s="13"/>
      <c r="G428" s="13"/>
      <c r="H428" s="13"/>
      <c r="I428" s="13"/>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12"/>
      <c r="F429" s="13"/>
      <c r="G429" s="13"/>
      <c r="H429" s="13"/>
      <c r="I429" s="13"/>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12"/>
      <c r="F430" s="13"/>
      <c r="G430" s="13"/>
      <c r="H430" s="13"/>
      <c r="I430" s="13"/>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12"/>
      <c r="F431" s="13"/>
      <c r="G431" s="13"/>
      <c r="H431" s="13"/>
      <c r="I431" s="13"/>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12"/>
      <c r="F432" s="13"/>
      <c r="G432" s="13"/>
      <c r="H432" s="13"/>
      <c r="I432" s="13"/>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12"/>
      <c r="F433" s="13"/>
      <c r="G433" s="13"/>
      <c r="H433" s="13"/>
      <c r="I433" s="13"/>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12"/>
      <c r="F434" s="13"/>
      <c r="G434" s="13"/>
      <c r="H434" s="13"/>
      <c r="I434" s="13"/>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12"/>
      <c r="F435" s="13"/>
      <c r="G435" s="13"/>
      <c r="H435" s="13"/>
      <c r="I435" s="13"/>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12"/>
      <c r="F436" s="13"/>
      <c r="G436" s="13"/>
      <c r="H436" s="13"/>
      <c r="I436" s="13"/>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12"/>
      <c r="F437" s="13"/>
      <c r="G437" s="13"/>
      <c r="H437" s="13"/>
      <c r="I437" s="13"/>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12"/>
      <c r="F438" s="13"/>
      <c r="G438" s="13"/>
      <c r="H438" s="13"/>
      <c r="I438" s="13"/>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12"/>
      <c r="F439" s="13"/>
      <c r="G439" s="13"/>
      <c r="H439" s="13"/>
      <c r="I439" s="13"/>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12"/>
      <c r="F440" s="13"/>
      <c r="G440" s="13"/>
      <c r="H440" s="13"/>
      <c r="I440" s="13"/>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12"/>
      <c r="F441" s="13"/>
      <c r="G441" s="13"/>
      <c r="H441" s="13"/>
      <c r="I441" s="13"/>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12"/>
      <c r="F442" s="13"/>
      <c r="G442" s="13"/>
      <c r="H442" s="13"/>
      <c r="I442" s="13"/>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12"/>
      <c r="F443" s="13"/>
      <c r="G443" s="13"/>
      <c r="H443" s="13"/>
      <c r="I443" s="13"/>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12"/>
      <c r="F444" s="13"/>
      <c r="G444" s="13"/>
      <c r="H444" s="13"/>
      <c r="I444" s="13"/>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12"/>
      <c r="F445" s="13"/>
      <c r="G445" s="13"/>
      <c r="H445" s="13"/>
      <c r="I445" s="13"/>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12"/>
      <c r="F446" s="13"/>
      <c r="G446" s="13"/>
      <c r="H446" s="13"/>
      <c r="I446" s="13"/>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12"/>
      <c r="F447" s="13"/>
      <c r="G447" s="13"/>
      <c r="H447" s="13"/>
      <c r="I447" s="13"/>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12"/>
      <c r="F448" s="13"/>
      <c r="G448" s="13"/>
      <c r="H448" s="13"/>
      <c r="I448" s="13"/>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12"/>
      <c r="F449" s="13"/>
      <c r="G449" s="13"/>
      <c r="H449" s="13"/>
      <c r="I449" s="13"/>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12"/>
      <c r="F450" s="13"/>
      <c r="G450" s="13"/>
      <c r="H450" s="13"/>
      <c r="I450" s="13"/>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12"/>
      <c r="F451" s="13"/>
      <c r="G451" s="13"/>
      <c r="H451" s="13"/>
      <c r="I451" s="13"/>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12"/>
      <c r="F452" s="13"/>
      <c r="G452" s="13"/>
      <c r="H452" s="13"/>
      <c r="I452" s="13"/>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12"/>
      <c r="F453" s="13"/>
      <c r="G453" s="13"/>
      <c r="H453" s="13"/>
      <c r="I453" s="13"/>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12"/>
      <c r="F454" s="13"/>
      <c r="G454" s="13"/>
      <c r="H454" s="13"/>
      <c r="I454" s="13"/>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12"/>
      <c r="F455" s="13"/>
      <c r="G455" s="13"/>
      <c r="H455" s="13"/>
      <c r="I455" s="13"/>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12"/>
      <c r="F456" s="13"/>
      <c r="G456" s="13"/>
      <c r="H456" s="13"/>
      <c r="I456" s="13"/>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12"/>
      <c r="F457" s="13"/>
      <c r="G457" s="13"/>
      <c r="H457" s="13"/>
      <c r="I457" s="13"/>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12"/>
      <c r="F458" s="13"/>
      <c r="G458" s="13"/>
      <c r="H458" s="13"/>
      <c r="I458" s="13"/>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12"/>
      <c r="F459" s="13"/>
      <c r="G459" s="13"/>
      <c r="H459" s="13"/>
      <c r="I459" s="13"/>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12"/>
      <c r="F460" s="13"/>
      <c r="G460" s="13"/>
      <c r="H460" s="13"/>
      <c r="I460" s="13"/>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12"/>
      <c r="F461" s="13"/>
      <c r="G461" s="13"/>
      <c r="H461" s="13"/>
      <c r="I461" s="13"/>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12"/>
      <c r="F462" s="13"/>
      <c r="G462" s="13"/>
      <c r="H462" s="13"/>
      <c r="I462" s="13"/>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12"/>
      <c r="F463" s="13"/>
      <c r="G463" s="13"/>
      <c r="H463" s="13"/>
      <c r="I463" s="13"/>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12"/>
      <c r="F464" s="13"/>
      <c r="G464" s="13"/>
      <c r="H464" s="13"/>
      <c r="I464" s="13"/>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12"/>
      <c r="F465" s="13"/>
      <c r="G465" s="13"/>
      <c r="H465" s="13"/>
      <c r="I465" s="13"/>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12"/>
      <c r="F466" s="13"/>
      <c r="G466" s="13"/>
      <c r="H466" s="13"/>
      <c r="I466" s="13"/>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12"/>
      <c r="F467" s="13"/>
      <c r="G467" s="13"/>
      <c r="H467" s="13"/>
      <c r="I467" s="13"/>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12"/>
      <c r="F468" s="13"/>
      <c r="G468" s="13"/>
      <c r="H468" s="13"/>
      <c r="I468" s="13"/>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12"/>
      <c r="F469" s="13"/>
      <c r="G469" s="13"/>
      <c r="H469" s="13"/>
      <c r="I469" s="13"/>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12"/>
      <c r="F470" s="13"/>
      <c r="G470" s="13"/>
      <c r="H470" s="13"/>
      <c r="I470" s="13"/>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12"/>
      <c r="F471" s="13"/>
      <c r="G471" s="13"/>
      <c r="H471" s="13"/>
      <c r="I471" s="13"/>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12"/>
      <c r="F472" s="13"/>
      <c r="G472" s="13"/>
      <c r="H472" s="13"/>
      <c r="I472" s="13"/>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12"/>
      <c r="F473" s="13"/>
      <c r="G473" s="13"/>
      <c r="H473" s="13"/>
      <c r="I473" s="13"/>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12"/>
      <c r="F474" s="13"/>
      <c r="G474" s="13"/>
      <c r="H474" s="13"/>
      <c r="I474" s="13"/>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12"/>
      <c r="F475" s="13"/>
      <c r="G475" s="13"/>
      <c r="H475" s="13"/>
      <c r="I475" s="13"/>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12"/>
      <c r="F476" s="13"/>
      <c r="G476" s="13"/>
      <c r="H476" s="13"/>
      <c r="I476" s="13"/>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12"/>
      <c r="F477" s="13"/>
      <c r="G477" s="13"/>
      <c r="H477" s="13"/>
      <c r="I477" s="13"/>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12"/>
      <c r="F478" s="13"/>
      <c r="G478" s="13"/>
      <c r="H478" s="13"/>
      <c r="I478" s="13"/>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12"/>
      <c r="F479" s="13"/>
      <c r="G479" s="13"/>
      <c r="H479" s="13"/>
      <c r="I479" s="13"/>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12"/>
      <c r="F480" s="13"/>
      <c r="G480" s="13"/>
      <c r="H480" s="13"/>
      <c r="I480" s="13"/>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12"/>
      <c r="F481" s="13"/>
      <c r="G481" s="13"/>
      <c r="H481" s="13"/>
      <c r="I481" s="13"/>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12"/>
      <c r="F482" s="13"/>
      <c r="G482" s="13"/>
      <c r="H482" s="13"/>
      <c r="I482" s="13"/>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12"/>
      <c r="F483" s="13"/>
      <c r="G483" s="13"/>
      <c r="H483" s="13"/>
      <c r="I483" s="13"/>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12"/>
      <c r="F484" s="13"/>
      <c r="G484" s="13"/>
      <c r="H484" s="13"/>
      <c r="I484" s="13"/>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12"/>
      <c r="F485" s="13"/>
      <c r="G485" s="13"/>
      <c r="H485" s="13"/>
      <c r="I485" s="13"/>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12"/>
      <c r="F486" s="13"/>
      <c r="G486" s="13"/>
      <c r="H486" s="13"/>
      <c r="I486" s="13"/>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12"/>
      <c r="F487" s="13"/>
      <c r="G487" s="13"/>
      <c r="H487" s="13"/>
      <c r="I487" s="13"/>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12"/>
      <c r="F488" s="13"/>
      <c r="G488" s="13"/>
      <c r="H488" s="13"/>
      <c r="I488" s="13"/>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12"/>
      <c r="F489" s="13"/>
      <c r="G489" s="13"/>
      <c r="H489" s="13"/>
      <c r="I489" s="13"/>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12"/>
      <c r="F490" s="13"/>
      <c r="G490" s="13"/>
      <c r="H490" s="13"/>
      <c r="I490" s="13"/>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12"/>
      <c r="F491" s="13"/>
      <c r="G491" s="13"/>
      <c r="H491" s="13"/>
      <c r="I491" s="13"/>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12"/>
      <c r="F492" s="13"/>
      <c r="G492" s="13"/>
      <c r="H492" s="13"/>
      <c r="I492" s="13"/>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12"/>
      <c r="F493" s="13"/>
      <c r="G493" s="13"/>
      <c r="H493" s="13"/>
      <c r="I493" s="13"/>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12"/>
      <c r="F494" s="13"/>
      <c r="G494" s="13"/>
      <c r="H494" s="13"/>
      <c r="I494" s="13"/>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12"/>
      <c r="F495" s="13"/>
      <c r="G495" s="13"/>
      <c r="H495" s="13"/>
      <c r="I495" s="13"/>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12"/>
      <c r="F496" s="13"/>
      <c r="G496" s="13"/>
      <c r="H496" s="13"/>
      <c r="I496" s="13"/>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12"/>
      <c r="F497" s="13"/>
      <c r="G497" s="13"/>
      <c r="H497" s="13"/>
      <c r="I497" s="13"/>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12"/>
      <c r="F498" s="13"/>
      <c r="G498" s="13"/>
      <c r="H498" s="13"/>
      <c r="I498" s="13"/>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12"/>
      <c r="F499" s="13"/>
      <c r="G499" s="13"/>
      <c r="H499" s="13"/>
      <c r="I499" s="13"/>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12"/>
      <c r="F500" s="13"/>
      <c r="G500" s="13"/>
      <c r="H500" s="13"/>
      <c r="I500" s="13"/>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12"/>
      <c r="F501" s="13"/>
      <c r="G501" s="13"/>
      <c r="H501" s="13"/>
      <c r="I501" s="13"/>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12"/>
      <c r="F502" s="13"/>
      <c r="G502" s="13"/>
      <c r="H502" s="13"/>
      <c r="I502" s="13"/>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12"/>
      <c r="F503" s="13"/>
      <c r="G503" s="13"/>
      <c r="H503" s="13"/>
      <c r="I503" s="13"/>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12"/>
      <c r="F504" s="13"/>
      <c r="G504" s="13"/>
      <c r="H504" s="13"/>
      <c r="I504" s="13"/>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12"/>
      <c r="F505" s="13"/>
      <c r="G505" s="13"/>
      <c r="H505" s="13"/>
      <c r="I505" s="13"/>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12"/>
      <c r="F506" s="13"/>
      <c r="G506" s="13"/>
      <c r="H506" s="13"/>
      <c r="I506" s="13"/>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12"/>
      <c r="F507" s="13"/>
      <c r="G507" s="13"/>
      <c r="H507" s="13"/>
      <c r="I507" s="13"/>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12"/>
      <c r="F508" s="13"/>
      <c r="G508" s="13"/>
      <c r="H508" s="13"/>
      <c r="I508" s="13"/>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12"/>
      <c r="F509" s="13"/>
      <c r="G509" s="13"/>
      <c r="H509" s="13"/>
      <c r="I509" s="13"/>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12"/>
      <c r="F510" s="13"/>
      <c r="G510" s="13"/>
      <c r="H510" s="13"/>
      <c r="I510" s="13"/>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12"/>
      <c r="F511" s="13"/>
      <c r="G511" s="13"/>
      <c r="H511" s="13"/>
      <c r="I511" s="13"/>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12"/>
      <c r="F512" s="13"/>
      <c r="G512" s="13"/>
      <c r="H512" s="13"/>
      <c r="I512" s="13"/>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12"/>
      <c r="F513" s="13"/>
      <c r="G513" s="13"/>
      <c r="H513" s="13"/>
      <c r="I513" s="13"/>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12"/>
      <c r="F514" s="13"/>
      <c r="G514" s="13"/>
      <c r="H514" s="13"/>
      <c r="I514" s="13"/>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12"/>
      <c r="F515" s="13"/>
      <c r="G515" s="13"/>
      <c r="H515" s="13"/>
      <c r="I515" s="13"/>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12"/>
      <c r="F516" s="13"/>
      <c r="G516" s="13"/>
      <c r="H516" s="13"/>
      <c r="I516" s="13"/>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12"/>
      <c r="F517" s="13"/>
      <c r="G517" s="13"/>
      <c r="H517" s="13"/>
      <c r="I517" s="13"/>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12"/>
      <c r="F518" s="13"/>
      <c r="G518" s="13"/>
      <c r="H518" s="13"/>
      <c r="I518" s="13"/>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12"/>
      <c r="F519" s="13"/>
      <c r="G519" s="13"/>
      <c r="H519" s="13"/>
      <c r="I519" s="13"/>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12"/>
      <c r="F520" s="13"/>
      <c r="G520" s="13"/>
      <c r="H520" s="13"/>
      <c r="I520" s="13"/>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12"/>
      <c r="F521" s="13"/>
      <c r="G521" s="13"/>
      <c r="H521" s="13"/>
      <c r="I521" s="13"/>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12"/>
      <c r="F522" s="13"/>
      <c r="G522" s="13"/>
      <c r="H522" s="13"/>
      <c r="I522" s="13"/>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12"/>
      <c r="F523" s="13"/>
      <c r="G523" s="13"/>
      <c r="H523" s="13"/>
      <c r="I523" s="13"/>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12"/>
      <c r="F524" s="13"/>
      <c r="G524" s="13"/>
      <c r="H524" s="13"/>
      <c r="I524" s="13"/>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12"/>
      <c r="F525" s="13"/>
      <c r="G525" s="13"/>
      <c r="H525" s="13"/>
      <c r="I525" s="13"/>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12"/>
      <c r="F526" s="13"/>
      <c r="G526" s="13"/>
      <c r="H526" s="13"/>
      <c r="I526" s="13"/>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12"/>
      <c r="F527" s="13"/>
      <c r="G527" s="13"/>
      <c r="H527" s="13"/>
      <c r="I527" s="13"/>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12"/>
      <c r="F528" s="13"/>
      <c r="G528" s="13"/>
      <c r="H528" s="13"/>
      <c r="I528" s="13"/>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12"/>
      <c r="F529" s="13"/>
      <c r="G529" s="13"/>
      <c r="H529" s="13"/>
      <c r="I529" s="13"/>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12"/>
      <c r="F530" s="13"/>
      <c r="G530" s="13"/>
      <c r="H530" s="13"/>
      <c r="I530" s="13"/>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12"/>
      <c r="F531" s="13"/>
      <c r="G531" s="13"/>
      <c r="H531" s="13"/>
      <c r="I531" s="13"/>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12"/>
      <c r="F532" s="13"/>
      <c r="G532" s="13"/>
      <c r="H532" s="13"/>
      <c r="I532" s="13"/>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12"/>
      <c r="F533" s="13"/>
      <c r="G533" s="13"/>
      <c r="H533" s="13"/>
      <c r="I533" s="13"/>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12"/>
      <c r="F534" s="13"/>
      <c r="G534" s="13"/>
      <c r="H534" s="13"/>
      <c r="I534" s="13"/>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12"/>
      <c r="F535" s="13"/>
      <c r="G535" s="13"/>
      <c r="H535" s="13"/>
      <c r="I535" s="13"/>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12"/>
      <c r="F536" s="13"/>
      <c r="G536" s="13"/>
      <c r="H536" s="13"/>
      <c r="I536" s="13"/>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12"/>
      <c r="F537" s="13"/>
      <c r="G537" s="13"/>
      <c r="H537" s="13"/>
      <c r="I537" s="13"/>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12"/>
      <c r="F538" s="13"/>
      <c r="G538" s="13"/>
      <c r="H538" s="13"/>
      <c r="I538" s="13"/>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12"/>
      <c r="F539" s="13"/>
      <c r="G539" s="13"/>
      <c r="H539" s="13"/>
      <c r="I539" s="13"/>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12"/>
      <c r="F540" s="13"/>
      <c r="G540" s="13"/>
      <c r="H540" s="13"/>
      <c r="I540" s="13"/>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12"/>
      <c r="F541" s="13"/>
      <c r="G541" s="13"/>
      <c r="H541" s="13"/>
      <c r="I541" s="13"/>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12"/>
      <c r="F542" s="13"/>
      <c r="G542" s="13"/>
      <c r="H542" s="13"/>
      <c r="I542" s="13"/>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12"/>
      <c r="F543" s="13"/>
      <c r="G543" s="13"/>
      <c r="H543" s="13"/>
      <c r="I543" s="13"/>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12"/>
      <c r="F544" s="13"/>
      <c r="G544" s="13"/>
      <c r="H544" s="13"/>
      <c r="I544" s="13"/>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12"/>
      <c r="F545" s="13"/>
      <c r="G545" s="13"/>
      <c r="H545" s="13"/>
      <c r="I545" s="13"/>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12"/>
      <c r="F546" s="13"/>
      <c r="G546" s="13"/>
      <c r="H546" s="13"/>
      <c r="I546" s="13"/>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12"/>
      <c r="F547" s="13"/>
      <c r="G547" s="13"/>
      <c r="H547" s="13"/>
      <c r="I547" s="13"/>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12"/>
      <c r="F548" s="13"/>
      <c r="G548" s="13"/>
      <c r="H548" s="13"/>
      <c r="I548" s="13"/>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12"/>
      <c r="F549" s="13"/>
      <c r="G549" s="13"/>
      <c r="H549" s="13"/>
      <c r="I549" s="13"/>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12"/>
      <c r="F550" s="13"/>
      <c r="G550" s="13"/>
      <c r="H550" s="13"/>
      <c r="I550" s="13"/>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12"/>
      <c r="F551" s="13"/>
      <c r="G551" s="13"/>
      <c r="H551" s="13"/>
      <c r="I551" s="13"/>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12"/>
      <c r="F552" s="13"/>
      <c r="G552" s="13"/>
      <c r="H552" s="13"/>
      <c r="I552" s="13"/>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12"/>
      <c r="F553" s="13"/>
      <c r="G553" s="13"/>
      <c r="H553" s="13"/>
      <c r="I553" s="13"/>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12"/>
      <c r="F554" s="13"/>
      <c r="G554" s="13"/>
      <c r="H554" s="13"/>
      <c r="I554" s="13"/>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12"/>
      <c r="F555" s="13"/>
      <c r="G555" s="13"/>
      <c r="H555" s="13"/>
      <c r="I555" s="13"/>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12"/>
      <c r="F556" s="13"/>
      <c r="G556" s="13"/>
      <c r="H556" s="13"/>
      <c r="I556" s="13"/>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12"/>
      <c r="F557" s="13"/>
      <c r="G557" s="13"/>
      <c r="H557" s="13"/>
      <c r="I557" s="13"/>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12"/>
      <c r="F558" s="13"/>
      <c r="G558" s="13"/>
      <c r="H558" s="13"/>
      <c r="I558" s="13"/>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12"/>
      <c r="F559" s="13"/>
      <c r="G559" s="13"/>
      <c r="H559" s="13"/>
      <c r="I559" s="13"/>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12"/>
      <c r="F560" s="13"/>
      <c r="G560" s="13"/>
      <c r="H560" s="13"/>
      <c r="I560" s="13"/>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12"/>
      <c r="F561" s="13"/>
      <c r="G561" s="13"/>
      <c r="H561" s="13"/>
      <c r="I561" s="13"/>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12"/>
      <c r="F562" s="13"/>
      <c r="G562" s="13"/>
      <c r="H562" s="13"/>
      <c r="I562" s="13"/>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12"/>
      <c r="F563" s="13"/>
      <c r="G563" s="13"/>
      <c r="H563" s="13"/>
      <c r="I563" s="13"/>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12"/>
      <c r="F564" s="13"/>
      <c r="G564" s="13"/>
      <c r="H564" s="13"/>
      <c r="I564" s="13"/>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12"/>
      <c r="F565" s="13"/>
      <c r="G565" s="13"/>
      <c r="H565" s="13"/>
      <c r="I565" s="13"/>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12"/>
      <c r="F566" s="13"/>
      <c r="G566" s="13"/>
      <c r="H566" s="13"/>
      <c r="I566" s="13"/>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12"/>
      <c r="F567" s="13"/>
      <c r="G567" s="13"/>
      <c r="H567" s="13"/>
      <c r="I567" s="13"/>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12"/>
      <c r="F568" s="13"/>
      <c r="G568" s="13"/>
      <c r="H568" s="13"/>
      <c r="I568" s="13"/>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12"/>
      <c r="F569" s="13"/>
      <c r="G569" s="13"/>
      <c r="H569" s="13"/>
      <c r="I569" s="13"/>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12"/>
      <c r="F570" s="13"/>
      <c r="G570" s="13"/>
      <c r="H570" s="13"/>
      <c r="I570" s="13"/>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12"/>
      <c r="F571" s="13"/>
      <c r="G571" s="13"/>
      <c r="H571" s="13"/>
      <c r="I571" s="13"/>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12"/>
      <c r="F572" s="13"/>
      <c r="G572" s="13"/>
      <c r="H572" s="13"/>
      <c r="I572" s="13"/>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12"/>
      <c r="F573" s="13"/>
      <c r="G573" s="13"/>
      <c r="H573" s="13"/>
      <c r="I573" s="13"/>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12"/>
      <c r="F574" s="13"/>
      <c r="G574" s="13"/>
      <c r="H574" s="13"/>
      <c r="I574" s="13"/>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12"/>
      <c r="F575" s="13"/>
      <c r="G575" s="13"/>
      <c r="H575" s="13"/>
      <c r="I575" s="13"/>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12"/>
      <c r="F576" s="13"/>
      <c r="G576" s="13"/>
      <c r="H576" s="13"/>
      <c r="I576" s="13"/>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12"/>
      <c r="F577" s="13"/>
      <c r="G577" s="13"/>
      <c r="H577" s="13"/>
      <c r="I577" s="13"/>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12"/>
      <c r="F578" s="13"/>
      <c r="G578" s="13"/>
      <c r="H578" s="13"/>
      <c r="I578" s="13"/>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12"/>
      <c r="F579" s="13"/>
      <c r="G579" s="13"/>
      <c r="H579" s="13"/>
      <c r="I579" s="13"/>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12"/>
      <c r="F580" s="13"/>
      <c r="G580" s="13"/>
      <c r="H580" s="13"/>
      <c r="I580" s="13"/>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12"/>
      <c r="F581" s="13"/>
      <c r="G581" s="13"/>
      <c r="H581" s="13"/>
      <c r="I581" s="13"/>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12"/>
      <c r="F582" s="13"/>
      <c r="G582" s="13"/>
      <c r="H582" s="13"/>
      <c r="I582" s="13"/>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12"/>
      <c r="F583" s="13"/>
      <c r="G583" s="13"/>
      <c r="H583" s="13"/>
      <c r="I583" s="13"/>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12"/>
      <c r="F584" s="13"/>
      <c r="G584" s="13"/>
      <c r="H584" s="13"/>
      <c r="I584" s="13"/>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12"/>
      <c r="F585" s="13"/>
      <c r="G585" s="13"/>
      <c r="H585" s="13"/>
      <c r="I585" s="13"/>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12"/>
      <c r="F586" s="13"/>
      <c r="G586" s="13"/>
      <c r="H586" s="13"/>
      <c r="I586" s="13"/>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12"/>
      <c r="F587" s="13"/>
      <c r="G587" s="13"/>
      <c r="H587" s="13"/>
      <c r="I587" s="13"/>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12"/>
      <c r="F588" s="13"/>
      <c r="G588" s="13"/>
      <c r="H588" s="13"/>
      <c r="I588" s="13"/>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12"/>
      <c r="F589" s="13"/>
      <c r="G589" s="13"/>
      <c r="H589" s="13"/>
      <c r="I589" s="13"/>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12"/>
      <c r="F590" s="13"/>
      <c r="G590" s="13"/>
      <c r="H590" s="13"/>
      <c r="I590" s="13"/>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12"/>
      <c r="F591" s="13"/>
      <c r="G591" s="13"/>
      <c r="H591" s="13"/>
      <c r="I591" s="13"/>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12"/>
      <c r="F592" s="13"/>
      <c r="G592" s="13"/>
      <c r="H592" s="13"/>
      <c r="I592" s="13"/>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12"/>
      <c r="F593" s="13"/>
      <c r="G593" s="13"/>
      <c r="H593" s="13"/>
      <c r="I593" s="13"/>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12"/>
      <c r="F594" s="13"/>
      <c r="G594" s="13"/>
      <c r="H594" s="13"/>
      <c r="I594" s="13"/>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12"/>
      <c r="F595" s="13"/>
      <c r="G595" s="13"/>
      <c r="H595" s="13"/>
      <c r="I595" s="13"/>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12"/>
      <c r="F596" s="13"/>
      <c r="G596" s="13"/>
      <c r="H596" s="13"/>
      <c r="I596" s="13"/>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12"/>
      <c r="F597" s="13"/>
      <c r="G597" s="13"/>
      <c r="H597" s="13"/>
      <c r="I597" s="13"/>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12"/>
      <c r="F598" s="13"/>
      <c r="G598" s="13"/>
      <c r="H598" s="13"/>
      <c r="I598" s="13"/>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12"/>
      <c r="F599" s="13"/>
      <c r="G599" s="13"/>
      <c r="H599" s="13"/>
      <c r="I599" s="13"/>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12"/>
      <c r="F600" s="13"/>
      <c r="G600" s="13"/>
      <c r="H600" s="13"/>
      <c r="I600" s="13"/>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12"/>
      <c r="F601" s="13"/>
      <c r="G601" s="13"/>
      <c r="H601" s="13"/>
      <c r="I601" s="13"/>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12"/>
      <c r="F602" s="13"/>
      <c r="G602" s="13"/>
      <c r="H602" s="13"/>
      <c r="I602" s="13"/>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12"/>
      <c r="F603" s="13"/>
      <c r="G603" s="13"/>
      <c r="H603" s="13"/>
      <c r="I603" s="13"/>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12"/>
      <c r="F604" s="13"/>
      <c r="G604" s="13"/>
      <c r="H604" s="13"/>
      <c r="I604" s="13"/>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12"/>
      <c r="F605" s="13"/>
      <c r="G605" s="13"/>
      <c r="H605" s="13"/>
      <c r="I605" s="13"/>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12"/>
      <c r="F606" s="13"/>
      <c r="G606" s="13"/>
      <c r="H606" s="13"/>
      <c r="I606" s="13"/>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12"/>
      <c r="F607" s="13"/>
      <c r="G607" s="13"/>
      <c r="H607" s="13"/>
      <c r="I607" s="13"/>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12"/>
      <c r="F608" s="13"/>
      <c r="G608" s="13"/>
      <c r="H608" s="13"/>
      <c r="I608" s="13"/>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12"/>
      <c r="F609" s="13"/>
      <c r="G609" s="13"/>
      <c r="H609" s="13"/>
      <c r="I609" s="13"/>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12"/>
      <c r="F610" s="13"/>
      <c r="G610" s="13"/>
      <c r="H610" s="13"/>
      <c r="I610" s="13"/>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12"/>
      <c r="F611" s="13"/>
      <c r="G611" s="13"/>
      <c r="H611" s="13"/>
      <c r="I611" s="13"/>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12"/>
      <c r="F612" s="13"/>
      <c r="G612" s="13"/>
      <c r="H612" s="13"/>
      <c r="I612" s="13"/>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12"/>
      <c r="F613" s="13"/>
      <c r="G613" s="13"/>
      <c r="H613" s="13"/>
      <c r="I613" s="13"/>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12"/>
      <c r="F614" s="13"/>
      <c r="G614" s="13"/>
      <c r="H614" s="13"/>
      <c r="I614" s="13"/>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12"/>
      <c r="F615" s="13"/>
      <c r="G615" s="13"/>
      <c r="H615" s="13"/>
      <c r="I615" s="13"/>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12"/>
      <c r="F616" s="13"/>
      <c r="G616" s="13"/>
      <c r="H616" s="13"/>
      <c r="I616" s="13"/>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12"/>
      <c r="F617" s="13"/>
      <c r="G617" s="13"/>
      <c r="H617" s="13"/>
      <c r="I617" s="13"/>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12"/>
      <c r="F618" s="13"/>
      <c r="G618" s="13"/>
      <c r="H618" s="13"/>
      <c r="I618" s="13"/>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12"/>
      <c r="F619" s="13"/>
      <c r="G619" s="13"/>
      <c r="H619" s="13"/>
      <c r="I619" s="13"/>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12"/>
      <c r="F620" s="13"/>
      <c r="G620" s="13"/>
      <c r="H620" s="13"/>
      <c r="I620" s="13"/>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12"/>
      <c r="F621" s="13"/>
      <c r="G621" s="13"/>
      <c r="H621" s="13"/>
      <c r="I621" s="13"/>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12"/>
      <c r="F622" s="13"/>
      <c r="G622" s="13"/>
      <c r="H622" s="13"/>
      <c r="I622" s="13"/>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12"/>
      <c r="F623" s="13"/>
      <c r="G623" s="13"/>
      <c r="H623" s="13"/>
      <c r="I623" s="13"/>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12"/>
      <c r="F624" s="13"/>
      <c r="G624" s="13"/>
      <c r="H624" s="13"/>
      <c r="I624" s="13"/>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12"/>
      <c r="F625" s="13"/>
      <c r="G625" s="13"/>
      <c r="H625" s="13"/>
      <c r="I625" s="13"/>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12"/>
      <c r="F626" s="13"/>
      <c r="G626" s="13"/>
      <c r="H626" s="13"/>
      <c r="I626" s="13"/>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12"/>
      <c r="F627" s="13"/>
      <c r="G627" s="13"/>
      <c r="H627" s="13"/>
      <c r="I627" s="13"/>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12"/>
      <c r="F628" s="13"/>
      <c r="G628" s="13"/>
      <c r="H628" s="13"/>
      <c r="I628" s="13"/>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12"/>
      <c r="F629" s="13"/>
      <c r="G629" s="13"/>
      <c r="H629" s="13"/>
      <c r="I629" s="13"/>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12"/>
      <c r="F630" s="13"/>
      <c r="G630" s="13"/>
      <c r="H630" s="13"/>
      <c r="I630" s="13"/>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12"/>
      <c r="F631" s="13"/>
      <c r="G631" s="13"/>
      <c r="H631" s="13"/>
      <c r="I631" s="13"/>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12"/>
      <c r="F632" s="13"/>
      <c r="G632" s="13"/>
      <c r="H632" s="13"/>
      <c r="I632" s="13"/>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12"/>
      <c r="F633" s="13"/>
      <c r="G633" s="13"/>
      <c r="H633" s="13"/>
      <c r="I633" s="13"/>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12"/>
      <c r="F634" s="13"/>
      <c r="G634" s="13"/>
      <c r="H634" s="13"/>
      <c r="I634" s="13"/>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12"/>
      <c r="F635" s="13"/>
      <c r="G635" s="13"/>
      <c r="H635" s="13"/>
      <c r="I635" s="13"/>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12"/>
      <c r="F636" s="13"/>
      <c r="G636" s="13"/>
      <c r="H636" s="13"/>
      <c r="I636" s="13"/>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12"/>
      <c r="F637" s="13"/>
      <c r="G637" s="13"/>
      <c r="H637" s="13"/>
      <c r="I637" s="13"/>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12"/>
      <c r="F638" s="13"/>
      <c r="G638" s="13"/>
      <c r="H638" s="13"/>
      <c r="I638" s="13"/>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12"/>
      <c r="F639" s="13"/>
      <c r="G639" s="13"/>
      <c r="H639" s="13"/>
      <c r="I639" s="13"/>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12"/>
      <c r="F640" s="13"/>
      <c r="G640" s="13"/>
      <c r="H640" s="13"/>
      <c r="I640" s="13"/>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12"/>
      <c r="F641" s="13"/>
      <c r="G641" s="13"/>
      <c r="H641" s="13"/>
      <c r="I641" s="13"/>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12"/>
      <c r="F642" s="13"/>
      <c r="G642" s="13"/>
      <c r="H642" s="13"/>
      <c r="I642" s="13"/>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12"/>
      <c r="F643" s="13"/>
      <c r="G643" s="13"/>
      <c r="H643" s="13"/>
      <c r="I643" s="13"/>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12"/>
      <c r="F644" s="13"/>
      <c r="G644" s="13"/>
      <c r="H644" s="13"/>
      <c r="I644" s="13"/>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12"/>
      <c r="F645" s="13"/>
      <c r="G645" s="13"/>
      <c r="H645" s="13"/>
      <c r="I645" s="13"/>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12"/>
      <c r="F646" s="13"/>
      <c r="G646" s="13"/>
      <c r="H646" s="13"/>
      <c r="I646" s="13"/>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12"/>
      <c r="F647" s="13"/>
      <c r="G647" s="13"/>
      <c r="H647" s="13"/>
      <c r="I647" s="13"/>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12"/>
      <c r="F648" s="13"/>
      <c r="G648" s="13"/>
      <c r="H648" s="13"/>
      <c r="I648" s="13"/>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12"/>
      <c r="F649" s="13"/>
      <c r="G649" s="13"/>
      <c r="H649" s="13"/>
      <c r="I649" s="13"/>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12"/>
      <c r="F650" s="13"/>
      <c r="G650" s="13"/>
      <c r="H650" s="13"/>
      <c r="I650" s="13"/>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12"/>
      <c r="F651" s="13"/>
      <c r="G651" s="13"/>
      <c r="H651" s="13"/>
      <c r="I651" s="13"/>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12"/>
      <c r="F652" s="13"/>
      <c r="G652" s="13"/>
      <c r="H652" s="13"/>
      <c r="I652" s="13"/>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12"/>
      <c r="F653" s="13"/>
      <c r="G653" s="13"/>
      <c r="H653" s="13"/>
      <c r="I653" s="13"/>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12"/>
      <c r="F654" s="13"/>
      <c r="G654" s="13"/>
      <c r="H654" s="13"/>
      <c r="I654" s="13"/>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12"/>
      <c r="F655" s="13"/>
      <c r="G655" s="13"/>
      <c r="H655" s="13"/>
      <c r="I655" s="13"/>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12"/>
      <c r="F656" s="13"/>
      <c r="G656" s="13"/>
      <c r="H656" s="13"/>
      <c r="I656" s="13"/>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12"/>
      <c r="F657" s="13"/>
      <c r="G657" s="13"/>
      <c r="H657" s="13"/>
      <c r="I657" s="13"/>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12"/>
      <c r="F658" s="13"/>
      <c r="G658" s="13"/>
      <c r="H658" s="13"/>
      <c r="I658" s="13"/>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12"/>
      <c r="F659" s="13"/>
      <c r="G659" s="13"/>
      <c r="H659" s="13"/>
      <c r="I659" s="13"/>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12"/>
      <c r="F660" s="13"/>
      <c r="G660" s="13"/>
      <c r="H660" s="13"/>
      <c r="I660" s="13"/>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12"/>
      <c r="F661" s="13"/>
      <c r="G661" s="13"/>
      <c r="H661" s="13"/>
      <c r="I661" s="13"/>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12"/>
      <c r="F662" s="13"/>
      <c r="G662" s="13"/>
      <c r="H662" s="13"/>
      <c r="I662" s="13"/>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12"/>
      <c r="F663" s="13"/>
      <c r="G663" s="13"/>
      <c r="H663" s="13"/>
      <c r="I663" s="13"/>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12"/>
      <c r="F664" s="13"/>
      <c r="G664" s="13"/>
      <c r="H664" s="13"/>
      <c r="I664" s="13"/>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12"/>
      <c r="F665" s="13"/>
      <c r="G665" s="13"/>
      <c r="H665" s="13"/>
      <c r="I665" s="13"/>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12"/>
      <c r="F666" s="13"/>
      <c r="G666" s="13"/>
      <c r="H666" s="13"/>
      <c r="I666" s="13"/>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12"/>
      <c r="F667" s="13"/>
      <c r="G667" s="13"/>
      <c r="H667" s="13"/>
      <c r="I667" s="13"/>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12"/>
      <c r="F668" s="13"/>
      <c r="G668" s="13"/>
      <c r="H668" s="13"/>
      <c r="I668" s="13"/>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12"/>
      <c r="F669" s="13"/>
      <c r="G669" s="13"/>
      <c r="H669" s="13"/>
      <c r="I669" s="13"/>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12"/>
      <c r="F670" s="13"/>
      <c r="G670" s="13"/>
      <c r="H670" s="13"/>
      <c r="I670" s="13"/>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12"/>
      <c r="F671" s="13"/>
      <c r="G671" s="13"/>
      <c r="H671" s="13"/>
      <c r="I671" s="13"/>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12"/>
      <c r="F672" s="13"/>
      <c r="G672" s="13"/>
      <c r="H672" s="13"/>
      <c r="I672" s="13"/>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12"/>
      <c r="F673" s="13"/>
      <c r="G673" s="13"/>
      <c r="H673" s="13"/>
      <c r="I673" s="13"/>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12"/>
      <c r="F674" s="13"/>
      <c r="G674" s="13"/>
      <c r="H674" s="13"/>
      <c r="I674" s="13"/>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12"/>
      <c r="F675" s="13"/>
      <c r="G675" s="13"/>
      <c r="H675" s="13"/>
      <c r="I675" s="13"/>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12"/>
      <c r="F676" s="13"/>
      <c r="G676" s="13"/>
      <c r="H676" s="13"/>
      <c r="I676" s="13"/>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12"/>
      <c r="F677" s="13"/>
      <c r="G677" s="13"/>
      <c r="H677" s="13"/>
      <c r="I677" s="13"/>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12"/>
      <c r="F678" s="13"/>
      <c r="G678" s="13"/>
      <c r="H678" s="13"/>
      <c r="I678" s="13"/>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12"/>
      <c r="F679" s="13"/>
      <c r="G679" s="13"/>
      <c r="H679" s="13"/>
      <c r="I679" s="13"/>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12"/>
      <c r="F680" s="13"/>
      <c r="G680" s="13"/>
      <c r="H680" s="13"/>
      <c r="I680" s="13"/>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12"/>
      <c r="F681" s="13"/>
      <c r="G681" s="13"/>
      <c r="H681" s="13"/>
      <c r="I681" s="13"/>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12"/>
      <c r="F682" s="13"/>
      <c r="G682" s="13"/>
      <c r="H682" s="13"/>
      <c r="I682" s="13"/>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12"/>
      <c r="F683" s="13"/>
      <c r="G683" s="13"/>
      <c r="H683" s="13"/>
      <c r="I683" s="13"/>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12"/>
      <c r="F684" s="13"/>
      <c r="G684" s="13"/>
      <c r="H684" s="13"/>
      <c r="I684" s="13"/>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12"/>
      <c r="F685" s="13"/>
      <c r="G685" s="13"/>
      <c r="H685" s="13"/>
      <c r="I685" s="13"/>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12"/>
      <c r="F686" s="13"/>
      <c r="G686" s="13"/>
      <c r="H686" s="13"/>
      <c r="I686" s="13"/>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12"/>
      <c r="F687" s="13"/>
      <c r="G687" s="13"/>
      <c r="H687" s="13"/>
      <c r="I687" s="13"/>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12"/>
      <c r="F688" s="13"/>
      <c r="G688" s="13"/>
      <c r="H688" s="13"/>
      <c r="I688" s="13"/>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12"/>
      <c r="F689" s="13"/>
      <c r="G689" s="13"/>
      <c r="H689" s="13"/>
      <c r="I689" s="13"/>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12"/>
      <c r="F690" s="13"/>
      <c r="G690" s="13"/>
      <c r="H690" s="13"/>
      <c r="I690" s="13"/>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12"/>
      <c r="F691" s="13"/>
      <c r="G691" s="13"/>
      <c r="H691" s="13"/>
      <c r="I691" s="13"/>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12"/>
      <c r="F692" s="13"/>
      <c r="G692" s="13"/>
      <c r="H692" s="13"/>
      <c r="I692" s="13"/>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12"/>
      <c r="F693" s="13"/>
      <c r="G693" s="13"/>
      <c r="H693" s="13"/>
      <c r="I693" s="13"/>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12"/>
      <c r="F694" s="13"/>
      <c r="G694" s="13"/>
      <c r="H694" s="13"/>
      <c r="I694" s="13"/>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12"/>
      <c r="F695" s="13"/>
      <c r="G695" s="13"/>
      <c r="H695" s="13"/>
      <c r="I695" s="13"/>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12"/>
      <c r="F696" s="13"/>
      <c r="G696" s="13"/>
      <c r="H696" s="13"/>
      <c r="I696" s="13"/>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12"/>
      <c r="F697" s="13"/>
      <c r="G697" s="13"/>
      <c r="H697" s="13"/>
      <c r="I697" s="13"/>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12"/>
      <c r="F698" s="13"/>
      <c r="G698" s="13"/>
      <c r="H698" s="13"/>
      <c r="I698" s="13"/>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12"/>
      <c r="F699" s="13"/>
      <c r="G699" s="13"/>
      <c r="H699" s="13"/>
      <c r="I699" s="13"/>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12"/>
      <c r="F700" s="13"/>
      <c r="G700" s="13"/>
      <c r="H700" s="13"/>
      <c r="I700" s="13"/>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12"/>
      <c r="F701" s="13"/>
      <c r="G701" s="13"/>
      <c r="H701" s="13"/>
      <c r="I701" s="13"/>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12"/>
      <c r="F702" s="13"/>
      <c r="G702" s="13"/>
      <c r="H702" s="13"/>
      <c r="I702" s="13"/>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12"/>
      <c r="F703" s="13"/>
      <c r="G703" s="13"/>
      <c r="H703" s="13"/>
      <c r="I703" s="13"/>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12"/>
      <c r="F704" s="13"/>
      <c r="G704" s="13"/>
      <c r="H704" s="13"/>
      <c r="I704" s="13"/>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12"/>
      <c r="F705" s="13"/>
      <c r="G705" s="13"/>
      <c r="H705" s="13"/>
      <c r="I705" s="13"/>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12"/>
      <c r="F706" s="13"/>
      <c r="G706" s="13"/>
      <c r="H706" s="13"/>
      <c r="I706" s="13"/>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12"/>
      <c r="F707" s="13"/>
      <c r="G707" s="13"/>
      <c r="H707" s="13"/>
      <c r="I707" s="13"/>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12"/>
      <c r="F708" s="13"/>
      <c r="G708" s="13"/>
      <c r="H708" s="13"/>
      <c r="I708" s="13"/>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12"/>
      <c r="F709" s="13"/>
      <c r="G709" s="13"/>
      <c r="H709" s="13"/>
      <c r="I709" s="13"/>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12"/>
      <c r="F710" s="13"/>
      <c r="G710" s="13"/>
      <c r="H710" s="13"/>
      <c r="I710" s="13"/>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12"/>
      <c r="F711" s="13"/>
      <c r="G711" s="13"/>
      <c r="H711" s="13"/>
      <c r="I711" s="13"/>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12"/>
      <c r="F712" s="13"/>
      <c r="G712" s="13"/>
      <c r="H712" s="13"/>
      <c r="I712" s="13"/>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12"/>
      <c r="F713" s="13"/>
      <c r="G713" s="13"/>
      <c r="H713" s="13"/>
      <c r="I713" s="13"/>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12"/>
      <c r="F714" s="13"/>
      <c r="G714" s="13"/>
      <c r="H714" s="13"/>
      <c r="I714" s="13"/>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12"/>
      <c r="F715" s="13"/>
      <c r="G715" s="13"/>
      <c r="H715" s="13"/>
      <c r="I715" s="13"/>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12"/>
      <c r="F716" s="13"/>
      <c r="G716" s="13"/>
      <c r="H716" s="13"/>
      <c r="I716" s="13"/>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12"/>
      <c r="F717" s="13"/>
      <c r="G717" s="13"/>
      <c r="H717" s="13"/>
      <c r="I717" s="13"/>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12"/>
      <c r="F718" s="13"/>
      <c r="G718" s="13"/>
      <c r="H718" s="13"/>
      <c r="I718" s="13"/>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12"/>
      <c r="F719" s="13"/>
      <c r="G719" s="13"/>
      <c r="H719" s="13"/>
      <c r="I719" s="13"/>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12"/>
      <c r="F720" s="13"/>
      <c r="G720" s="13"/>
      <c r="H720" s="13"/>
      <c r="I720" s="13"/>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12"/>
      <c r="F721" s="13"/>
      <c r="G721" s="13"/>
      <c r="H721" s="13"/>
      <c r="I721" s="13"/>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12"/>
      <c r="F722" s="13"/>
      <c r="G722" s="13"/>
      <c r="H722" s="13"/>
      <c r="I722" s="13"/>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12"/>
      <c r="F723" s="13"/>
      <c r="G723" s="13"/>
      <c r="H723" s="13"/>
      <c r="I723" s="13"/>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12"/>
      <c r="F724" s="13"/>
      <c r="G724" s="13"/>
      <c r="H724" s="13"/>
      <c r="I724" s="13"/>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12"/>
      <c r="F725" s="13"/>
      <c r="G725" s="13"/>
      <c r="H725" s="13"/>
      <c r="I725" s="13"/>
      <c r="J725" s="12"/>
      <c r="K725" s="12"/>
      <c r="L725" s="12"/>
      <c r="M725" s="12"/>
      <c r="N725" s="12"/>
      <c r="O725" s="12"/>
      <c r="P725" s="12"/>
      <c r="Q725" s="12"/>
      <c r="R725" s="12"/>
      <c r="S725" s="12"/>
      <c r="T725" s="12"/>
      <c r="U725" s="12"/>
      <c r="V725" s="12"/>
      <c r="W725" s="12"/>
      <c r="X725" s="12"/>
      <c r="Y725" s="12"/>
      <c r="Z725" s="12"/>
      <c r="AA725" s="12"/>
      <c r="AB725" s="12"/>
    </row>
  </sheetData>
  <drawing r:id="rId1"/>
</worksheet>
</file>