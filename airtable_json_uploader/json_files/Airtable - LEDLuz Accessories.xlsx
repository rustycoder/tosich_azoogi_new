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JR Neon" sheetId="1" r:id="rId5"/>
  </sheets>
  <definedNames/>
  <calcPr/>
</workbook>
</file>

<file path=xl/sharedStrings.xml><?xml version="1.0" encoding="utf-8"?>
<sst xmlns="http://schemas.openxmlformats.org/spreadsheetml/2006/main" count="258" uniqueCount="142">
  <si>
    <t>SKU</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</si>
  <si>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</si>
  <si>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</si>
  <si>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</si>
  <si>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</si>
  <si>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</si>
  <si>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</si>
  <si>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</si>
  <si>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</si>
  <si>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</si>
  <si>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</si>
  <si>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</si>
  <si>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</si>
  <si>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</si>
  <si>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</si>
  <si>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</si>
  <si>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</si>
  <si>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</si>
  <si>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</si>
  <si>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</si>
  <si>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</si>
  <si>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</si>
  <si>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</si>
  <si>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</si>
  <si>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</si>
  <si>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Stocked Item</t>
  </si>
  <si>
    <t>PR021-LC-BLK-DN</t>
  </si>
  <si>
    <t>L-Connector | Black | Down</t>
  </si>
  <si>
    <t>simple</t>
  </si>
  <si>
    <t>Accessories</t>
  </si>
  <si>
    <t>draft</t>
  </si>
  <si>
    <t>Elevate your architectural lighting design with the sleek and stylish L-Connector in versatile black. Engineered to create seamless, continuous lines of light, this essential accessory allows you to effortlessly navigate angles and transform any space with a modern, sophisticated aesthetic. Perfectly blending form and function, it adds dynamic visual interest and a polished, high-end finish to your custom lighting installation.</t>
  </si>
  <si>
    <t>Elevate your lighting design with our stylish L-Connector in sleek black. Effortlessly navigate angles and create seamless, modern lines of light for a high-end finish.</t>
  </si>
  <si>
    <t>CHINA - LEDLUZ CO. LIMITED</t>
  </si>
  <si>
    <t>PR021-Suspension</t>
  </si>
  <si>
    <t>Suspension Kit | PR021</t>
  </si>
  <si>
    <t>Transform your lighting setups with the sleek and modern Suspension Kit for the PR021. Designed to effortlessly elevate your space, this premium mounting accessory gives your lighting fixtures a floating, dynamic presence that instantly catches the eye. Whether you are aiming for a contemporary architectural feel or a refined minimalist aesthetic, it delivers the perfect balance of elegance and structural poise, ensuring your custom lighting design hangs gracefully while stealing the show.</t>
  </si>
  <si>
    <t>Elevate your space with the sleek PR021 Suspension Kit. Give your lighting fixtures a floating, dynamic presence and a refined modern aesthetic effortlessly.</t>
  </si>
  <si>
    <t>PR127-180deg-Coupler</t>
  </si>
  <si>
    <t>180 degree coupler with screws</t>
  </si>
  <si>
    <t>Transform your lighting setup with our premium 180-Degree Coupler with Screws, designed to seamlessly extend your light runs into breathtaking, continuous displays. Engineered for effortless integration, this essential component provides superior structural support while maintaining a sleek, uninterrupted aesthetic. Elevate your space with flawless transitions and create truly mesmerizing, professional-grade illumination with ultimate confidence and style.</t>
  </si>
  <si>
    <t>Effortlessly extend your light runs into seamless, continuous displays. Elevate your space with flawless transitions and mesmerizing illumination.</t>
  </si>
  <si>
    <t>PR130-Endcap-White</t>
  </si>
  <si>
    <t>White End Caps</t>
  </si>
  <si>
    <t>Elevate your lighting design with our premium White End Caps, designed to deliver a flawless, professional finish to any modern space. These sleek end caps create seamless transitions and a refined look that effortlessly blends into contemporary interiors. Crafted for aesthetics and effortless integration, they provide the perfect finishing touch to complete your custom lighting setup with elegance and sophisticated charm.</t>
  </si>
  <si>
    <t>Elevate your lighting design with sleek White End Caps. Perfect for seamless transitions and a sophisticated finish in any modern space.</t>
  </si>
  <si>
    <t>PR133 - Endcap</t>
  </si>
  <si>
    <t>Black End cap</t>
  </si>
  <si>
    <t>Complete your custom architectural lighting setup with a sleek, flawless finish using our premium black end cap. Designed to seamlessly cap off your profiles, this stylish accessory adds a refined, modern touch while delivering a polished, professional appearance to any room. Effortlessly elevate your space's design aesthetic with a sophisticated detail that blends beauty and functionality into one perfect final touch.</t>
  </si>
  <si>
    <t>Complete your lighting setup with our sleek black end cap. Designed for a flawless finish, it adds modern sophistication to any space.</t>
  </si>
  <si>
    <t>PR001-EndCap-Silver</t>
  </si>
  <si>
    <t>End Cap | With &amp; Without Holes</t>
  </si>
  <si>
    <t>Achieve a flawless, professional finish for your custom lighting project with our premium silver end caps. Designed to seamlessly cap off your installations with elegance, these versatile end caps provide a clean, refined look while offering maximum flexibility for wire management. Whether you need a continuous seamless aesthetic or convenient access points, they deliver the perfect balance of sophisticated style and practical versatility to complete your modern architectural vision.</t>
  </si>
  <si>
    <t>Complete your custom lighting project with our sleek silver end caps. Designed for a clean, elegant finish that brings effortless sophistication to any space.</t>
  </si>
  <si>
    <t>PR002-MetalClips</t>
  </si>
  <si>
    <t>Meta Mounting Clips | PR002/00</t>
  </si>
  <si>
    <t>Effortlessly secure your lighting vision with these sleek and reliable metal mounting clips. Designed to deliver a clean, professional finish, they provide the perfect structural support while seamlessly blending into any architectural space. Elevate your installation with maximum stability and modern sophistication, ensuring your custom lighting setup stays perfectly in place and looks stunning from every angle.</t>
  </si>
  <si>
    <t>Effortlessly secure your lighting vision with sleek, reliable metal mounting clips designed for ultimate stability and modern style.</t>
  </si>
  <si>
    <t>PR131-EndCap-White</t>
  </si>
  <si>
    <t>Achieve a flawless, professional finish for your lighting installations with our sleek white end caps. Designed to provide a clean, refined edge, these versatile accessories perfectly complete your custom LED setups with an elegant touch. Whether you need seamless enclosed ends or clean wire pass-throughs, they ensure your lighting design looks beautifully integrated, modern, and polished from every angle.</t>
  </si>
  <si>
    <t>Elevate your LED lighting with sleek white end caps. Deliver a clean, seamless finish and modern elegance to any custom installation effortlessly.</t>
  </si>
  <si>
    <t>PR002-EndCap</t>
  </si>
  <si>
    <t>Complete your architectural lighting project with a flawless finish using our premium End Cap. Designed to provide a sleek, professional touch, this essential accessory seamlessly seals your lighting profiles for a refined, modern look. Whether you need an enclosed setup or a clean passage for wiring, its versatile design adapts effortlessly to your installation needs, ensuring your space stays looking polished and beautifully illuminated.</t>
  </si>
  <si>
    <t>Give your architectural lighting a flawless finish with our premium end caps, designed to add effortless sophistication and modern elegance to any space.</t>
  </si>
  <si>
    <t>PR008-EndCap</t>
  </si>
  <si>
    <t>Achieve a flawless, professional finish for your architectural lighting setup with our premium end caps. Designed to seamlessly cap off your profiles, they provide a clean, polished look that conceals wiring and internal components for a truly sophisticated aesthetic. Available with options for integrated wire entry or solid closure, these essential accessories bring cohesive design and elevated detail to your custom lighting installation.</t>
  </si>
  <si>
    <t>Achieve a flawless, professional finish with our premium end caps, giving your lighting setup a sleek and sophisticated modern look.</t>
  </si>
  <si>
    <t>PR008-MetalClips</t>
  </si>
  <si>
    <t>Meta Mounting Clips | PR008</t>
  </si>
  <si>
    <t>Effortlessly elevate your lighting design with these premium mounting clips tailored for the PR008 series. Designed to provide a secure and seamless installation, these clips ensure your lighting setup stays perfectly aligned and looking crisp in any environment. Crafted with a sleek profile and exceptional durability, they offer the perfect hidden support to let your brilliant illuminated designs take center stage.</t>
  </si>
  <si>
    <t>Seamlessly secure your PR008 lighting setup with these premium clips. Designed for invisible, perfect alignment to let your designs take center stage.</t>
  </si>
  <si>
    <t>PR009-MetalClips</t>
  </si>
  <si>
    <t>Meta Mounting Clips | PR009</t>
  </si>
  <si>
    <t>Secure your lighting installation with precision and confidence using these premium metal mounting clips. Designed specifically to complement your PR009 LED profiles, these sturdy clips provide a clean, professional finish while ensuring a seamless and reliable fit. Perfect for creating sleek, sophisticated lighting displays, they offer an effortless way to elevate your architectural designs and bring your interior vision to life.</t>
  </si>
  <si>
    <t>Securely mount your PR009 LED profiles with ease. These sleek metal clips deliver a flawless, modern finish for effortless style.</t>
  </si>
  <si>
    <t>PR008-Diffuser-3m</t>
  </si>
  <si>
    <t>Opal Diffuser | 3m</t>
  </si>
  <si>
    <t>Transform your lighting setup with our stunning Opal Diffuser, designed to create smooth, beautifully balanced illumination in any environment. Crafted to effortlessly soften harsh light and reduce glare, this premium accessory creates an inviting, sophisticated ambiance that elevates your space. Perfect for achieving a clean, seamless look, it adds a refined touch to your architectural design, ensuring your lighting feels warm, modern, and perfectly polished.</t>
  </si>
  <si>
    <t>Softly disperse light and eliminate glare with our Opal Diffuser. Create a smooth, inviting glow that effortlessly elevates any modern space with refined elegance.</t>
  </si>
  <si>
    <t>PR027-EndCap</t>
  </si>
  <si>
    <t>Complete your custom lighting setup with these premium End Caps, designed to provide a seamless, clean finish to any space. Crafting a sophisticated and polished aesthetic, these essential accessories neatly seal your light fixtures for a flawless, professional look. Elevate your architectural lighting design and transform your interiors with an effortlessly refined, modern appearance.</t>
  </si>
  <si>
    <t>Elevate your lighting setup with sleek end caps designed for a flawless, polished finish. Transform any space with modern elegance and effortless style.</t>
  </si>
  <si>
    <t>DIFF-PROM</t>
  </si>
  <si>
    <t>PROM Diffuser</t>
  </si>
  <si>
    <t>Transform your space with the smooth, elegant glow of the PROM Diffuser. Designed to seamlessly blend into any architectural setting, this premium accessory softly disperses light to create a warm, inviting ambiance without harsh glare. Perfect for elevating your interior aesthetic, it delivers a clean, modern finish that enhances the overall feel of your custom lighting setup while providing a sophisticated touch to your favorite rooms.</t>
  </si>
  <si>
    <t>Elevate your space with the PROM Diffuser. Effortlessly soften light to create a warm, glare-free glow and add a refined, modern touch to your ambiance.</t>
  </si>
  <si>
    <t>DIFF-STD</t>
  </si>
  <si>
    <t>Standard Diffuser</t>
  </si>
  <si>
    <t>Transform your lighting setup with our Standard Diffuser, designed to seamlessly blend form and function for a flawless, modern look. Engineered to deliver beautifully soft, even illumination, it eliminates harsh shadows and creates a warm, inviting atmosphere in any space. Perfectly complementing your existing architecture, this versatile accessory brings a touch of effortless elegance and refined style, turning everyday lighting into a captivating visual experience.</t>
  </si>
  <si>
    <t>Elevate your space with our Standard Diffuser, delivering beautifully soft, even light to create a warm, inviting atmosphere with effortless modern style.</t>
  </si>
  <si>
    <t>DIFF-007</t>
  </si>
  <si>
    <t>PR007 Diffuser</t>
  </si>
  <si>
    <t>Transform your lighting displays with the PR007 Diffuser, designed to create a beautifully smooth, continuous glow that instantly elevates any environment. By softly dispersing illumination, it softens harsh shadows and adds an elegant, modern ambience to your space. Perfect for creating a polished and sophisticated look, this diffuser ensures your custom lighting setup delivers captivating visual comfort and style.</t>
  </si>
  <si>
    <t>Elevate your space with the PR007 Diffuser. Enjoy a beautifully smooth, continuous glow that softens shadows and adds effortless modern elegance to any room.</t>
  </si>
  <si>
    <t>DIFF-008</t>
  </si>
  <si>
    <t>PR008 Diffuser</t>
  </si>
  <si>
    <t>Transform your lighting setup with the PR008 Diffuser, designed to create a smooth, mesmerizing glow that instantly elevates any room. This essential accessory beautifully softens illumination, eliminating harsh glares to deliver an inviting, sophisticated ambiance throughout your space. Perfectly blending form and function, it offers a clean, refined finish that transforms ordinary lighting into a captivating visual experience.</t>
  </si>
  <si>
    <t>Transform your space with the PR008 Diffuser. Effortlessly soften harsh light into an inviting, mesmerizing glow for an elegant finish.</t>
  </si>
  <si>
    <t>DIFF-016</t>
  </si>
  <si>
    <t>PR016 Diffuser</t>
  </si>
  <si>
    <t>Elevate your lighting design to a new level of elegance with the PR016 Diffuser. Expertly crafted to transform harsh light into a smooth, captivating glow, this essential component seamlessly blends function with modern aesthetics. It enhances the visual atmosphere of any room, creating a warm, polished ambiance that leaves a lasting impression while seamlessly integrating into your custom architectural setup.</t>
  </si>
  <si>
    <t>Elevate your space with the PR016 Diffuser. Transform harsh light into a smooth, captivating glow that brings modern elegance and warmth to any room.</t>
  </si>
  <si>
    <t>DIFF-017</t>
  </si>
  <si>
    <t>PR017 Diffuser</t>
  </si>
  <si>
    <t>Transform your lighting design with the PR017 Diffuser, crafted to deliver smooth, mesmerizing illumination that elevates any environment. Engineered to seamlessly soften harsh light, this essential accessory creates a warm, inviting ambiance with flawless continuity and clean aesthetic lines. Whether you are aiming for a sleek contemporary vibe or a sophisticated architectural look, it provides the ultimate finishing touch to ensure your custom lighting installation looks impeccably polished and effortlessly stylish.</t>
  </si>
  <si>
    <t>Elevate your space with the PR017 Diffuser. Enjoy smooth, mesmerizing light and a warm ambiance for an effortlessly stylish and polished finish.</t>
  </si>
  <si>
    <t>DIFF-018</t>
  </si>
  <si>
    <t>PR018 Diffuser</t>
  </si>
  <si>
    <t>Transform your lighting design with the PR018 Diffuser, crafted to deliver a beautifully smooth and sophisticated ambient glow to any space. Designed to elevate your environment, this essential accessory seamlessly softens illumination to create a warm, inviting atmosphere with a pristine, high-end finish. Perfect for adding that final touch of modern elegance, it effortlessly enhances your custom lighting setup, ensuring your space always looks its absolute best.</t>
  </si>
  <si>
    <t>Elevate your space with the PR018 Diffuser. Soften harsh lighting into a smooth, ambient glow that adds warmth, modern elegance, and a high-end finish to any room.</t>
  </si>
  <si>
    <t>DIFF-021</t>
  </si>
  <si>
    <t>PR021 Diffuser</t>
  </si>
  <si>
    <t>Elevate your lighting installations with the PR021 Diffuser, designed to transform harsh light into a smooth, captivating glow. Crafted to enhance the ambient beauty of any space, this essential accessory effortlessly blends performance with aesthetics to create a seamless, sophisticated linear light effect. Perfect for adding a polished, high-end finish to your architectural designs, it ensures your lighting setup looks effortlessly elegant and beautifully refined.</t>
  </si>
  <si>
    <t>Transform harsh light into a smooth, captivating glow with the PR021 Diffuser. Add an effortlessly elegant, high-end finish to your linear lighting.</t>
  </si>
  <si>
    <t>DIFF-034</t>
  </si>
  <si>
    <t>PR034 Diffuser</t>
  </si>
  <si>
    <t>Transform your lighting setup with the sleek PR034 Diffuser, expertly designed to elevate your space with soft, beautifully balanced illumination. Crafting a seamless visual atmosphere, this essential accessory softens harsh glare into a smooth, captivating glow that effortlessly enhances any interior aesthetic. Perfect for creating refined, continuous lines of light, it delivers a high-end, polished finish that takes your custom lighting design to the next level of modern elegance.</t>
  </si>
  <si>
    <t>Elevate your space with the sleek PR034 Diffuser. It softens harsh glare into a smooth, captivating glow, delivering modern elegance and seamless lines of light.</t>
  </si>
  <si>
    <t>DIFF-115</t>
  </si>
  <si>
    <t>PR115 Diffuser</t>
  </si>
  <si>
    <t>Elevate your lighting design with the PR115 Diffuser, meticulously crafted to soften and evenly distribute light for a truly captivating ambiance. Designed to seamlessly blend into any modern space, this essential accessory creates flawless, continuous illumination while eliminating harsh glare. Transform your environment with smooth, professional-grade light diffusion that effortlessly adds elegance, warmth, and a polished finish to your custom LED setup.</t>
  </si>
  <si>
    <t>Transform your room with the PR115 Diffuser. Create a smooth, beautiful glow that effortlessly adds warmth and modern elegance to any space.</t>
  </si>
  <si>
    <t>DIFF-126</t>
  </si>
  <si>
    <t>PR126 Diffuser</t>
  </si>
  <si>
    <t>Transform your space with the PR126 Diffuser, designed to create a beautifully soft, continuous glow that elevates any architectural lighting design. Engineered for flawless visual integration, it softens harsh light to deliver a smooth, sophisticated ambience that feels both modern and luxurious. Perfectly complementing your custom LED installations, this essential accessory provides the ultimate finishing touch, turning ordinary illumination into a stunning, refined visual experience.</t>
  </si>
  <si>
    <t>Transform your space with the PR126 Diffuser. Enjoy a soft, continuous glow that brings effortless elegance and modern luxury to your custom lighting setup.</t>
  </si>
  <si>
    <t>DIFF-127</t>
  </si>
  <si>
    <t>PR127 Diffuser</t>
  </si>
  <si>
    <t>Elevate your lighting design with the PR127 Diffuser, crafted to deliver a smooth, flawless glow that seamlessly transforms any room. Designed to soften harsh light and create a warm, inviting ambiance, this essential accessory provides a sophisticated, professional finish to your custom lighting installation. Perfect for modern spaces, it brings an effortlessly elegant look and refined aesthetic to your home or commercial setting.</t>
  </si>
  <si>
    <t>Elevate your lighting with the PR127 Diffuser, delivering a smooth, flawless glow that effortlessly brings warm elegance and modern sophistication to any space.</t>
  </si>
  <si>
    <t>DIFF-130/131</t>
  </si>
  <si>
    <t>PR130/PR131 Diffuser</t>
  </si>
  <si>
    <t>Elevate your lighting installations with our premium PR130/PR131 Diffuser, designed to create a smooth, continuous glow that transforms any space into a modern sanctuary. Crafted for seamless integration, this essential accessory effortlessly softens harsh illumination into an elegant, ambient light flow. Enhance the visual appeal of your custom lighting setup while adding a sophisticated, polished touch to contemporary architectural designs.</t>
  </si>
  <si>
    <t>Elevate your space with the PR130/PR131 Diffuser. Soften harsh lighting into a smooth, elegant glow that brings modern warmth and sophistication to any setup.</t>
  </si>
  <si>
    <t>DIFF-132</t>
  </si>
  <si>
    <t>PR132 Diffuser</t>
  </si>
  <si>
    <t>Transform your lighting design into a stunning visual experience with the PR132 Diffuser. Designed to effortlessly soften and blend light, this essential accessory creates a smooth, continuous glow that brings warmth, elegance, and modern sophistication to any space. Elevate your atmosphere and achieve a flawless, high-end finish that turns simple illumination into an extraordinary architectural statement.</t>
  </si>
  <si>
    <t>Elevate your space with the PR132 Diffuser. Effortlessly soften light into a smooth, elegant glow that adds modern sophistication to any environment.</t>
  </si>
  <si>
    <t>Concord Suspension</t>
  </si>
  <si>
    <t>316 Stainless Suspensions Wire</t>
  </si>
  <si>
    <t>Elevate your lighting design with our premium 316 Stainless Suspensions Wire, crafted to bring an effortless sense of elegance and modern sophistication to any space. Designed for flawless hanging installations, this refined accessory provides a sleek, floating presence that seamlessly integrates into contemporary interiors. Enhance your decor with a perfectly poised, architectural aesthetic that highlights your custom lighting setup with ultimate style and grace.</t>
  </si>
  <si>
    <t>Elevate your lighting design with our premium suspension wire, bringing an effortless sense of elegance and modern sophistication to any floating installation.</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</si>
</sst>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b/>
      <sz val="10.0"/>
      <color theme="1"/>
      <name val="DM Sans"/>
    </font>
    <font>
      <b/>
      <sz val="10.0"/>
      <color rgb="FFFFFFFF"/>
      <name val="DM Sans"/>
    </font>
    <font>
      <sz val="10.0"/>
      <color theme="1"/>
      <name val="DM Sans"/>
    </font>
  </fonts>
  <fills count="7">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0"/>
    </xf>
    <xf borderId="1" fillId="4"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0" fontId="3" numFmtId="0" xfId="0" applyAlignment="1" applyBorder="1" applyFont="1">
      <alignment readingOrder="0" shrinkToFit="0" vertical="center" wrapText="1"/>
    </xf>
    <xf borderId="1" fillId="6" fontId="3" numFmtId="0" xfId="0" applyAlignment="1" applyBorder="1" applyFill="1" applyFont="1">
      <alignment readingOrder="0" shrinkToFit="0" vertical="center" wrapText="1"/>
    </xf>
    <xf borderId="1" fillId="0" fontId="3" numFmtId="0" xfId="0" applyAlignment="1" applyBorder="1" applyFont="1">
      <alignment shrinkToFit="0" vertical="center" wrapText="1"/>
    </xf>
    <xf borderId="1" fillId="0" fontId="3" numFmtId="0" xfId="0" applyAlignment="1" applyBorder="1" applyFont="1">
      <alignment shrinkToFit="0" vertical="center"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34.5"/>
    <col customWidth="1" min="2" max="2" width="36.38"/>
    <col customWidth="1" min="3" max="3" width="11.75"/>
    <col customWidth="1" min="4" max="4" width="12.0"/>
    <col customWidth="1" min="5" max="5" width="6.38"/>
    <col customWidth="1" min="6" max="6" width="64.5"/>
    <col customWidth="1" min="7" max="7" width="64.25"/>
    <col customWidth="1" min="8" max="9" width="31.38"/>
    <col customWidth="1" min="10" max="11" width="28.75"/>
    <col customWidth="1" min="12" max="12" width="61.5"/>
    <col customWidth="1" min="13" max="14" width="34.75"/>
    <col customWidth="1" min="15" max="22" width="50.13"/>
    <col customWidth="1" min="23" max="23" width="29.38"/>
    <col customWidth="1" min="24" max="25" width="12.63"/>
  </cols>
  <sheetData>
    <row r="1">
      <c r="A1" s="1" t="s">
        <v>0</v>
      </c>
      <c r="B1" s="1" t="s">
        <v>1</v>
      </c>
      <c r="C1" s="1" t="s">
        <v>2</v>
      </c>
      <c r="D1" s="1" t="s">
        <v>3</v>
      </c>
      <c r="E1" s="1" t="s">
        <v>4</v>
      </c>
      <c r="F1" s="2" t="s">
        <v>5</v>
      </c>
      <c r="G1" s="3" t="s">
        <v>6</v>
      </c>
      <c r="H1" s="2" t="s">
        <v>7</v>
      </c>
      <c r="I1" s="3" t="s">
        <v>8</v>
      </c>
      <c r="J1" s="1" t="s">
        <v>9</v>
      </c>
      <c r="K1" s="1" t="s">
        <v>10</v>
      </c>
      <c r="L1" s="4" t="s">
        <v>11</v>
      </c>
      <c r="M1" s="5" t="s">
        <v>12</v>
      </c>
      <c r="N1" s="6" t="s">
        <v>13</v>
      </c>
      <c r="O1" s="5" t="s">
        <v>14</v>
      </c>
      <c r="P1" s="7" t="s">
        <v>15</v>
      </c>
      <c r="Q1" s="5" t="s">
        <v>16</v>
      </c>
      <c r="R1" s="1" t="s">
        <v>17</v>
      </c>
      <c r="S1" s="5" t="s">
        <v>18</v>
      </c>
      <c r="T1" s="7" t="s">
        <v>19</v>
      </c>
      <c r="U1" s="1" t="s">
        <v>20</v>
      </c>
      <c r="V1" s="1" t="s">
        <v>21</v>
      </c>
      <c r="W1" s="1" t="s">
        <v>22</v>
      </c>
      <c r="X1" s="1" t="s">
        <v>23</v>
      </c>
      <c r="Y1" s="1" t="s">
        <v>24</v>
      </c>
      <c r="Z1" s="1" t="s">
        <v>25</v>
      </c>
    </row>
    <row r="2">
      <c r="A2" s="8" t="s">
        <v>26</v>
      </c>
      <c r="B2" s="8" t="s">
        <v>27</v>
      </c>
      <c r="C2" s="8" t="s">
        <v>28</v>
      </c>
      <c r="D2" s="8" t="s">
        <v>29</v>
      </c>
      <c r="E2" s="8" t="s">
        <v>30</v>
      </c>
      <c r="F2" s="9" t="str">
        <f>IFERROR(__xludf.DUMMYFUNCTION("AI(""Give me a paragraph marketing spiel for product in this row, no tech specs just marketing fluff "")"),"Elevate your architectural lighting design with the sleek and stylish L-Connector in versatile black. Engineered to create seamless, continuous lines of light, this essential accessory allows you to effortlessly navigate angles and transform any space wit"&amp;"h a modern, sophisticated aesthetic. Perfectly blending form and function, it adds dynamic visual interest and a polished, high-end finish to your custom lighting installation.")</f>
        <v>Elevate your architectural lighting design with the sleek and stylish L-Connector in versatile black. Engineered to create seamless, continuous lines of light, this essential accessory allows you to effortlessly navigate angles and transform any space with a modern, sophisticated aesthetic. Perfectly blending form and function, it adds dynamic visual interest and a polished, high-end finish to your custom lighting installation.</v>
      </c>
      <c r="G2" s="8" t="s">
        <v>31</v>
      </c>
      <c r="H2" s="9" t="str">
        <f>IFERROR(__xludf.DUMMYFUNCTION("AI(""Give me a paragraph marketing spiel for product in this row, no tech specs just marketing fluff under 180 characters "")"),"Elevate your lighting design with our stylish L-Connector in sleek black. Effortlessly navigate angles and create seamless, modern lines of light for a high-end finish.")</f>
        <v>Elevate your lighting design with our stylish L-Connector in sleek black. Effortlessly navigate angles and create seamless, modern lines of light for a high-end finish.</v>
      </c>
      <c r="I2" s="8" t="s">
        <v>32</v>
      </c>
      <c r="J2" s="10"/>
      <c r="K2" s="10"/>
      <c r="L2" s="8"/>
      <c r="M2" s="10"/>
      <c r="N2" s="10"/>
      <c r="O2" s="10"/>
      <c r="P2" s="10"/>
      <c r="Q2" s="10"/>
      <c r="R2" s="10"/>
      <c r="S2" s="10"/>
      <c r="T2" s="10"/>
      <c r="U2" s="10"/>
      <c r="V2" s="10"/>
      <c r="W2" s="8" t="s">
        <v>33</v>
      </c>
      <c r="X2" s="8"/>
      <c r="Y2" s="8"/>
      <c r="Z2" s="10"/>
    </row>
    <row r="3">
      <c r="A3" s="8" t="s">
        <v>34</v>
      </c>
      <c r="B3" s="8" t="s">
        <v>35</v>
      </c>
      <c r="C3" s="8" t="s">
        <v>28</v>
      </c>
      <c r="D3" s="8" t="s">
        <v>29</v>
      </c>
      <c r="E3" s="8" t="s">
        <v>30</v>
      </c>
      <c r="F3" s="9" t="str">
        <f>IFERROR(__xludf.DUMMYFUNCTION("AI(""Give me a paragraph marketing spiel for product in this row, no tech specs just marketing fluff "")"),"Transform your lighting setups with the sleek and modern Suspension Kit for the PR021. Designed to effortlessly elevate your space, this premium mounting accessory gives your lighting fixtures a floating, dynamic presence that instantly catches the eye. W"&amp;"hether you are aiming for a contemporary architectural feel or a refined minimalist aesthetic, it delivers the perfect balance of elegance and structural poise, ensuring your custom lighting design hangs gracefully while stealing the show.")</f>
        <v>Transform your lighting setups with the sleek and modern Suspension Kit for the PR021. Designed to effortlessly elevate your space, this premium mounting accessory gives your lighting fixtures a floating, dynamic presence that instantly catches the eye. Whether you are aiming for a contemporary architectural feel or a refined minimalist aesthetic, it delivers the perfect balance of elegance and structural poise, ensuring your custom lighting design hangs gracefully while stealing the show.</v>
      </c>
      <c r="G3" s="8" t="s">
        <v>36</v>
      </c>
      <c r="H3" s="9" t="str">
        <f>IFERROR(__xludf.DUMMYFUNCTION("AI(""Give me a paragraph marketing spiel for product in this row, no tech specs just marketing fluff under 180 characters "")"),"Elevate your space with the sleek PR021 Suspension Kit. Give your lighting fixtures a floating, dynamic presence and a refined modern aesthetic effortlessly.")</f>
        <v>Elevate your space with the sleek PR021 Suspension Kit. Give your lighting fixtures a floating, dynamic presence and a refined modern aesthetic effortlessly.</v>
      </c>
      <c r="I3" s="8" t="s">
        <v>37</v>
      </c>
      <c r="J3" s="10"/>
      <c r="K3" s="10"/>
      <c r="L3" s="8"/>
      <c r="M3" s="10"/>
      <c r="N3" s="10"/>
      <c r="O3" s="10"/>
      <c r="P3" s="10"/>
      <c r="Q3" s="10"/>
      <c r="R3" s="10"/>
      <c r="S3" s="10"/>
      <c r="T3" s="10"/>
      <c r="U3" s="10"/>
      <c r="V3" s="10"/>
      <c r="W3" s="8" t="s">
        <v>33</v>
      </c>
      <c r="X3" s="8"/>
      <c r="Y3" s="8"/>
      <c r="Z3" s="10"/>
    </row>
    <row r="4">
      <c r="A4" s="8" t="s">
        <v>38</v>
      </c>
      <c r="B4" s="8" t="s">
        <v>39</v>
      </c>
      <c r="C4" s="8" t="s">
        <v>28</v>
      </c>
      <c r="D4" s="8" t="s">
        <v>29</v>
      </c>
      <c r="E4" s="8" t="s">
        <v>30</v>
      </c>
      <c r="F4" s="9" t="str">
        <f>IFERROR(__xludf.DUMMYFUNCTION("AI(""Give me a paragraph marketing spiel for product in this row, no tech specs just marketing fluff "")"),"Transform your lighting setup with our premium 180-Degree Coupler with Screws, designed to seamlessly extend your light runs into breathtaking, continuous displays. Engineered for effortless integration, this essential component provides superior structur"&amp;"al support while maintaining a sleek, uninterrupted aesthetic. Elevate your space with flawless transitions and create truly mesmerizing, professional-grade illumination with ultimate confidence and style.")</f>
        <v>Transform your lighting setup with our premium 180-Degree Coupler with Screws, designed to seamlessly extend your light runs into breathtaking, continuous displays. Engineered for effortless integration, this essential component provides superior structural support while maintaining a sleek, uninterrupted aesthetic. Elevate your space with flawless transitions and create truly mesmerizing, professional-grade illumination with ultimate confidence and style.</v>
      </c>
      <c r="G4" s="8" t="s">
        <v>40</v>
      </c>
      <c r="H4" s="9" t="str">
        <f>IFERROR(__xludf.DUMMYFUNCTION("AI(""Give me a paragraph marketing spiel for product in this row, no tech specs just marketing fluff under 180 characters "")"),"Effortlessly extend your light runs into seamless, continuous displays. Elevate your space with flawless transitions and mesmerizing illumination.")</f>
        <v>Effortlessly extend your light runs into seamless, continuous displays. Elevate your space with flawless transitions and mesmerizing illumination.</v>
      </c>
      <c r="I4" s="8" t="s">
        <v>41</v>
      </c>
      <c r="J4" s="10"/>
      <c r="K4" s="10"/>
      <c r="L4" s="8"/>
      <c r="M4" s="10"/>
      <c r="N4" s="10"/>
      <c r="O4" s="10"/>
      <c r="P4" s="10"/>
      <c r="Q4" s="10"/>
      <c r="R4" s="10"/>
      <c r="S4" s="10"/>
      <c r="T4" s="10"/>
      <c r="U4" s="10"/>
      <c r="V4" s="10"/>
      <c r="W4" s="8" t="s">
        <v>33</v>
      </c>
      <c r="X4" s="8"/>
      <c r="Y4" s="8"/>
      <c r="Z4" s="10"/>
    </row>
    <row r="5">
      <c r="A5" s="8" t="s">
        <v>42</v>
      </c>
      <c r="B5" s="8" t="s">
        <v>43</v>
      </c>
      <c r="C5" s="8" t="s">
        <v>28</v>
      </c>
      <c r="D5" s="8" t="s">
        <v>29</v>
      </c>
      <c r="E5" s="8" t="s">
        <v>30</v>
      </c>
      <c r="F5" s="9" t="str">
        <f>IFERROR(__xludf.DUMMYFUNCTION("AI(""Give me a paragraph marketing spiel for product in this row, no tech specs just marketing fluff "")"),"Elevate your lighting design with our premium White End Caps, designed to deliver a flawless, professional finish to any modern space. These sleek end caps create seamless transitions and a refined look that effortlessly blends into contemporary interiors"&amp;". Crafted for aesthetics and effortless integration, they provide the perfect finishing touch to complete your custom lighting setup with elegance and sophisticated charm.")</f>
        <v>Elevate your lighting design with our premium White End Caps, designed to deliver a flawless, professional finish to any modern space. These sleek end caps create seamless transitions and a refined look that effortlessly blends into contemporary interiors. Crafted for aesthetics and effortless integration, they provide the perfect finishing touch to complete your custom lighting setup with elegance and sophisticated charm.</v>
      </c>
      <c r="G5" s="8" t="s">
        <v>44</v>
      </c>
      <c r="H5" s="9" t="str">
        <f>IFERROR(__xludf.DUMMYFUNCTION("AI(""Give me a paragraph marketing spiel for product in this row, no tech specs just marketing fluff under 180 characters "")"),"Elevate your lighting design with sleek White End Caps. Perfect for seamless transitions and a sophisticated finish in any modern space.")</f>
        <v>Elevate your lighting design with sleek White End Caps. Perfect for seamless transitions and a sophisticated finish in any modern space.</v>
      </c>
      <c r="I5" s="8" t="s">
        <v>45</v>
      </c>
      <c r="J5" s="10"/>
      <c r="K5" s="10"/>
      <c r="L5" s="8"/>
      <c r="M5" s="10"/>
      <c r="N5" s="10"/>
      <c r="O5" s="10"/>
      <c r="P5" s="10"/>
      <c r="Q5" s="10"/>
      <c r="R5" s="10"/>
      <c r="S5" s="10"/>
      <c r="T5" s="10"/>
      <c r="U5" s="10"/>
      <c r="V5" s="10"/>
      <c r="W5" s="8" t="s">
        <v>33</v>
      </c>
      <c r="X5" s="8"/>
      <c r="Y5" s="8"/>
      <c r="Z5" s="10"/>
    </row>
    <row r="6">
      <c r="A6" s="8" t="s">
        <v>46</v>
      </c>
      <c r="B6" s="8" t="s">
        <v>47</v>
      </c>
      <c r="C6" s="8" t="s">
        <v>28</v>
      </c>
      <c r="D6" s="8" t="s">
        <v>29</v>
      </c>
      <c r="E6" s="8" t="s">
        <v>30</v>
      </c>
      <c r="F6" s="9" t="str">
        <f>IFERROR(__xludf.DUMMYFUNCTION("AI(""Give me a paragraph marketing spiel for product in this row, no tech specs just marketing fluff "")"),"Complete your custom architectural lighting setup with a sleek, flawless finish using our premium black end cap. Designed to seamlessly cap off your profiles, this stylish accessory adds a refined, modern touch while delivering a polished, professional ap"&amp;"pearance to any room. Effortlessly elevate your space's design aesthetic with a sophisticated detail that blends beauty and functionality into one perfect final touch.")</f>
        <v>Complete your custom architectural lighting setup with a sleek, flawless finish using our premium black end cap. Designed to seamlessly cap off your profiles, this stylish accessory adds a refined, modern touch while delivering a polished, professional appearance to any room. Effortlessly elevate your space's design aesthetic with a sophisticated detail that blends beauty and functionality into one perfect final touch.</v>
      </c>
      <c r="G6" s="8" t="s">
        <v>48</v>
      </c>
      <c r="H6" s="9" t="str">
        <f>IFERROR(__xludf.DUMMYFUNCTION("AI(""Give me a paragraph marketing spiel for product in this row, no tech specs just marketing fluff under 180 characters "")"),"Complete your lighting setup with our sleek black end cap. Designed for a flawless finish, it adds modern sophistication to any space.")</f>
        <v>Complete your lighting setup with our sleek black end cap. Designed for a flawless finish, it adds modern sophistication to any space.</v>
      </c>
      <c r="I6" s="8" t="s">
        <v>49</v>
      </c>
      <c r="J6" s="10"/>
      <c r="K6" s="10"/>
      <c r="L6" s="8"/>
      <c r="M6" s="10"/>
      <c r="N6" s="10"/>
      <c r="O6" s="10"/>
      <c r="P6" s="10"/>
      <c r="Q6" s="10"/>
      <c r="R6" s="10"/>
      <c r="S6" s="10"/>
      <c r="T6" s="10"/>
      <c r="U6" s="10"/>
      <c r="V6" s="10"/>
      <c r="W6" s="8" t="s">
        <v>33</v>
      </c>
      <c r="X6" s="8"/>
      <c r="Y6" s="8"/>
      <c r="Z6" s="10"/>
    </row>
    <row r="7">
      <c r="A7" s="8" t="s">
        <v>50</v>
      </c>
      <c r="B7" s="8" t="s">
        <v>51</v>
      </c>
      <c r="C7" s="8" t="s">
        <v>28</v>
      </c>
      <c r="D7" s="8" t="s">
        <v>29</v>
      </c>
      <c r="E7" s="8" t="s">
        <v>30</v>
      </c>
      <c r="F7" s="9" t="str">
        <f>IFERROR(__xludf.DUMMYFUNCTION("AI(""Give me a paragraph marketing spiel for product in this row, no tech specs just marketing fluff "")"),"Achieve a flawless, professional finish for your custom lighting project with our premium silver end caps. Designed to seamlessly cap off your installations with elegance, these versatile end caps provide a clean, refined look while offering maximum flexi"&amp;"bility for wire management. Whether you need a continuous seamless aesthetic or convenient access points, they deliver the perfect balance of sophisticated style and practical versatility to complete your modern architectural vision.")</f>
        <v>Achieve a flawless, professional finish for your custom lighting project with our premium silver end caps. Designed to seamlessly cap off your installations with elegance, these versatile end caps provide a clean, refined look while offering maximum flexibility for wire management. Whether you need a continuous seamless aesthetic or convenient access points, they deliver the perfect balance of sophisticated style and practical versatility to complete your modern architectural vision.</v>
      </c>
      <c r="G7" s="8" t="s">
        <v>52</v>
      </c>
      <c r="H7" s="9" t="str">
        <f>IFERROR(__xludf.DUMMYFUNCTION("AI(""Give me a paragraph marketing spiel for product in this row, no tech specs just marketing fluff under 180 characters "")"),"Complete your custom lighting project with our sleek silver end caps. Designed for a clean, elegant finish that brings effortless sophistication to any space.")</f>
        <v>Complete your custom lighting project with our sleek silver end caps. Designed for a clean, elegant finish that brings effortless sophistication to any space.</v>
      </c>
      <c r="I7" s="8" t="s">
        <v>53</v>
      </c>
      <c r="J7" s="10"/>
      <c r="K7" s="10"/>
      <c r="L7" s="8"/>
      <c r="M7" s="10"/>
      <c r="N7" s="10"/>
      <c r="O7" s="10"/>
      <c r="P7" s="10"/>
      <c r="Q7" s="10"/>
      <c r="R7" s="10"/>
      <c r="S7" s="10"/>
      <c r="T7" s="10"/>
      <c r="U7" s="10"/>
      <c r="V7" s="10"/>
      <c r="W7" s="8" t="s">
        <v>33</v>
      </c>
      <c r="X7" s="8"/>
      <c r="Y7" s="8"/>
      <c r="Z7" s="10"/>
    </row>
    <row r="8">
      <c r="A8" s="8" t="s">
        <v>54</v>
      </c>
      <c r="B8" s="8" t="s">
        <v>55</v>
      </c>
      <c r="C8" s="8" t="s">
        <v>28</v>
      </c>
      <c r="D8" s="8" t="s">
        <v>29</v>
      </c>
      <c r="E8" s="8" t="s">
        <v>30</v>
      </c>
      <c r="F8" s="9" t="str">
        <f>IFERROR(__xludf.DUMMYFUNCTION("AI(""Give me a paragraph marketing spiel for product in this row, no tech specs just marketing fluff "")"),"Effortlessly secure your lighting vision with these sleek and reliable metal mounting clips. Designed to deliver a clean, professional finish, they provide the perfect structural support while seamlessly blending into any architectural space. Elevate your"&amp;" installation with maximum stability and modern sophistication, ensuring your custom lighting setup stays perfectly in place and looks stunning from every angle.")</f>
        <v>Effortlessly secure your lighting vision with these sleek and reliable metal mounting clips. Designed to deliver a clean, professional finish, they provide the perfect structural support while seamlessly blending into any architectural space. Elevate your installation with maximum stability and modern sophistication, ensuring your custom lighting setup stays perfectly in place and looks stunning from every angle.</v>
      </c>
      <c r="G8" s="8" t="s">
        <v>56</v>
      </c>
      <c r="H8" s="9" t="str">
        <f>IFERROR(__xludf.DUMMYFUNCTION("AI(""Give me a paragraph marketing spiel for product in this row, no tech specs just marketing fluff under 180 characters "")"),"Effortlessly secure your lighting vision with sleek, reliable metal mounting clips designed for ultimate stability and modern style.")</f>
        <v>Effortlessly secure your lighting vision with sleek, reliable metal mounting clips designed for ultimate stability and modern style.</v>
      </c>
      <c r="I8" s="8" t="s">
        <v>57</v>
      </c>
      <c r="J8" s="10"/>
      <c r="K8" s="10"/>
      <c r="L8" s="8"/>
      <c r="M8" s="10"/>
      <c r="N8" s="10"/>
      <c r="O8" s="10"/>
      <c r="P8" s="10"/>
      <c r="Q8" s="10"/>
      <c r="R8" s="10"/>
      <c r="S8" s="10"/>
      <c r="T8" s="10"/>
      <c r="U8" s="10"/>
      <c r="V8" s="10"/>
      <c r="W8" s="8" t="s">
        <v>33</v>
      </c>
      <c r="X8" s="8"/>
      <c r="Y8" s="8"/>
      <c r="Z8" s="10"/>
    </row>
    <row r="9">
      <c r="A9" s="8" t="s">
        <v>58</v>
      </c>
      <c r="B9" s="8" t="s">
        <v>51</v>
      </c>
      <c r="C9" s="8" t="s">
        <v>28</v>
      </c>
      <c r="D9" s="8" t="s">
        <v>29</v>
      </c>
      <c r="E9" s="8" t="s">
        <v>30</v>
      </c>
      <c r="F9" s="9" t="str">
        <f>IFERROR(__xludf.DUMMYFUNCTION("AI(""Give me a paragraph marketing spiel for product in this row, no tech specs just marketing fluff "")"),"Achieve a flawless, professional finish for your lighting installations with our sleek white end caps. Designed to provide a clean, refined edge, these versatile accessories perfectly complete your custom LED setups with an elegant touch. Whether you need"&amp;" seamless enclosed ends or clean wire pass-throughs, they ensure your lighting design looks beautifully integrated, modern, and polished from every angle.")</f>
        <v>Achieve a flawless, professional finish for your lighting installations with our sleek white end caps. Designed to provide a clean, refined edge, these versatile accessories perfectly complete your custom LED setups with an elegant touch. Whether you need seamless enclosed ends or clean wire pass-throughs, they ensure your lighting design looks beautifully integrated, modern, and polished from every angle.</v>
      </c>
      <c r="G9" s="8" t="s">
        <v>59</v>
      </c>
      <c r="H9" s="9" t="str">
        <f>IFERROR(__xludf.DUMMYFUNCTION("AI(""Give me a paragraph marketing spiel for product in this row, no tech specs just marketing fluff under 180 characters "")"),"Elevate your LED lighting with sleek white end caps. Deliver a clean, seamless finish and modern elegance to any custom installation effortlessly.")</f>
        <v>Elevate your LED lighting with sleek white end caps. Deliver a clean, seamless finish and modern elegance to any custom installation effortlessly.</v>
      </c>
      <c r="I9" s="8" t="s">
        <v>60</v>
      </c>
      <c r="J9" s="10"/>
      <c r="K9" s="10"/>
      <c r="L9" s="8"/>
      <c r="M9" s="10"/>
      <c r="N9" s="10"/>
      <c r="O9" s="10"/>
      <c r="P9" s="10"/>
      <c r="Q9" s="10"/>
      <c r="R9" s="10"/>
      <c r="S9" s="10"/>
      <c r="T9" s="10"/>
      <c r="U9" s="10"/>
      <c r="V9" s="10"/>
      <c r="W9" s="8" t="s">
        <v>33</v>
      </c>
      <c r="X9" s="8"/>
      <c r="Y9" s="8"/>
      <c r="Z9" s="10"/>
    </row>
    <row r="10">
      <c r="A10" s="8" t="s">
        <v>61</v>
      </c>
      <c r="B10" s="8" t="s">
        <v>51</v>
      </c>
      <c r="C10" s="8" t="s">
        <v>28</v>
      </c>
      <c r="D10" s="8" t="s">
        <v>29</v>
      </c>
      <c r="E10" s="8" t="s">
        <v>30</v>
      </c>
      <c r="F10" s="9" t="str">
        <f>IFERROR(__xludf.DUMMYFUNCTION("AI(""Give me a paragraph marketing spiel for product in this row, no tech specs just marketing fluff "")"),"Complete your architectural lighting project with a flawless finish using our premium End Cap. Designed to provide a sleek, professional touch, this essential accessory seamlessly seals your lighting profiles for a refined, modern look. Whether you need a"&amp;"n enclosed setup or a clean passage for wiring, its versatile design adapts effortlessly to your installation needs, ensuring your space stays looking polished and beautifully illuminated.")</f>
        <v>Complete your architectural lighting project with a flawless finish using our premium End Cap. Designed to provide a sleek, professional touch, this essential accessory seamlessly seals your lighting profiles for a refined, modern look. Whether you need an enclosed setup or a clean passage for wiring, its versatile design adapts effortlessly to your installation needs, ensuring your space stays looking polished and beautifully illuminated.</v>
      </c>
      <c r="G10" s="8" t="s">
        <v>62</v>
      </c>
      <c r="H10" s="9" t="str">
        <f>IFERROR(__xludf.DUMMYFUNCTION("AI(""Give me a paragraph marketing spiel for product in this row, no tech specs just marketing fluff under 180 characters "")"),"Give your architectural lighting a flawless finish with our premium end caps, designed to add effortless sophistication and modern elegance to any space.")</f>
        <v>Give your architectural lighting a flawless finish with our premium end caps, designed to add effortless sophistication and modern elegance to any space.</v>
      </c>
      <c r="I10" s="8" t="s">
        <v>63</v>
      </c>
      <c r="J10" s="10"/>
      <c r="K10" s="10"/>
      <c r="L10" s="8"/>
      <c r="M10" s="10"/>
      <c r="N10" s="10"/>
      <c r="O10" s="10"/>
      <c r="P10" s="10"/>
      <c r="Q10" s="10"/>
      <c r="R10" s="10"/>
      <c r="S10" s="10"/>
      <c r="T10" s="10"/>
      <c r="U10" s="10"/>
      <c r="V10" s="10"/>
      <c r="W10" s="8" t="s">
        <v>33</v>
      </c>
      <c r="X10" s="8"/>
      <c r="Y10" s="8"/>
      <c r="Z10" s="10"/>
    </row>
    <row r="11">
      <c r="A11" s="8" t="s">
        <v>64</v>
      </c>
      <c r="B11" s="8" t="s">
        <v>51</v>
      </c>
      <c r="C11" s="8" t="s">
        <v>28</v>
      </c>
      <c r="D11" s="8" t="s">
        <v>29</v>
      </c>
      <c r="E11" s="8" t="s">
        <v>30</v>
      </c>
      <c r="F11" s="9" t="str">
        <f>IFERROR(__xludf.DUMMYFUNCTION("AI(""Give me a paragraph marketing spiel for product in this row, no tech specs just marketing fluff "")"),"Achieve a flawless, professional finish for your architectural lighting setup with our premium end caps. Designed to seamlessly cap off your profiles, they provide a clean, polished look that conceals wiring and internal components for a truly sophisticat"&amp;"ed aesthetic. Available with options for integrated wire entry or solid closure, these essential accessories bring cohesive design and elevated detail to your custom lighting installation.")</f>
        <v>Achieve a flawless, professional finish for your architectural lighting setup with our premium end caps. Designed to seamlessly cap off your profiles, they provide a clean, polished look that conceals wiring and internal components for a truly sophisticated aesthetic. Available with options for integrated wire entry or solid closure, these essential accessories bring cohesive design and elevated detail to your custom lighting installation.</v>
      </c>
      <c r="G11" s="8" t="s">
        <v>65</v>
      </c>
      <c r="H11" s="9" t="str">
        <f>IFERROR(__xludf.DUMMYFUNCTION("AI(""Give me a paragraph marketing spiel for product in this row, no tech specs just marketing fluff under 180 characters "")"),"Achieve a flawless, professional finish with our premium end caps, giving your lighting setup a sleek and sophisticated modern look.")</f>
        <v>Achieve a flawless, professional finish with our premium end caps, giving your lighting setup a sleek and sophisticated modern look.</v>
      </c>
      <c r="I11" s="8" t="s">
        <v>66</v>
      </c>
      <c r="J11" s="10"/>
      <c r="K11" s="10"/>
      <c r="L11" s="8"/>
      <c r="M11" s="10"/>
      <c r="N11" s="10"/>
      <c r="O11" s="10"/>
      <c r="P11" s="10"/>
      <c r="Q11" s="10"/>
      <c r="R11" s="10"/>
      <c r="S11" s="10"/>
      <c r="T11" s="10"/>
      <c r="U11" s="10"/>
      <c r="V11" s="10"/>
      <c r="W11" s="8" t="s">
        <v>33</v>
      </c>
      <c r="X11" s="8"/>
      <c r="Y11" s="8"/>
      <c r="Z11" s="10"/>
    </row>
    <row r="12">
      <c r="A12" s="8" t="s">
        <v>67</v>
      </c>
      <c r="B12" s="8" t="s">
        <v>68</v>
      </c>
      <c r="C12" s="8" t="s">
        <v>28</v>
      </c>
      <c r="D12" s="8" t="s">
        <v>29</v>
      </c>
      <c r="E12" s="8" t="s">
        <v>30</v>
      </c>
      <c r="F12" s="9" t="str">
        <f>IFERROR(__xludf.DUMMYFUNCTION("AI(""Give me a paragraph marketing spiel for product in this row, no tech specs just marketing fluff "")"),"Effortlessly elevate your lighting design with these premium mounting clips tailored for the PR008 series. Designed to provide a secure and seamless installation, these clips ensure your lighting setup stays perfectly aligned and looking crisp in any envi"&amp;"ronment. Crafted with a sleek profile and exceptional durability, they offer the perfect hidden support to let your brilliant illuminated designs take center stage.")</f>
        <v>Effortlessly elevate your lighting design with these premium mounting clips tailored for the PR008 series. Designed to provide a secure and seamless installation, these clips ensure your lighting setup stays perfectly aligned and looking crisp in any environment. Crafted with a sleek profile and exceptional durability, they offer the perfect hidden support to let your brilliant illuminated designs take center stage.</v>
      </c>
      <c r="G12" s="8" t="s">
        <v>69</v>
      </c>
      <c r="H12" s="9" t="str">
        <f>IFERROR(__xludf.DUMMYFUNCTION("AI(""Give me a paragraph marketing spiel for product in this row, no tech specs just marketing fluff under 180 characters "")"),"Seamlessly secure your PR008 lighting setup with these premium clips. Designed for invisible, perfect alignment to let your designs take center stage.")</f>
        <v>Seamlessly secure your PR008 lighting setup with these premium clips. Designed for invisible, perfect alignment to let your designs take center stage.</v>
      </c>
      <c r="I12" s="8" t="s">
        <v>70</v>
      </c>
      <c r="J12" s="10"/>
      <c r="K12" s="10"/>
      <c r="L12" s="8"/>
      <c r="M12" s="10"/>
      <c r="N12" s="10"/>
      <c r="O12" s="10"/>
      <c r="P12" s="10"/>
      <c r="Q12" s="10"/>
      <c r="R12" s="10"/>
      <c r="S12" s="10"/>
      <c r="T12" s="10"/>
      <c r="U12" s="10"/>
      <c r="V12" s="10"/>
      <c r="W12" s="8" t="s">
        <v>33</v>
      </c>
      <c r="X12" s="8"/>
      <c r="Y12" s="8"/>
      <c r="Z12" s="10"/>
    </row>
    <row r="13">
      <c r="A13" s="8" t="s">
        <v>71</v>
      </c>
      <c r="B13" s="8" t="s">
        <v>72</v>
      </c>
      <c r="C13" s="8" t="s">
        <v>28</v>
      </c>
      <c r="D13" s="8" t="s">
        <v>29</v>
      </c>
      <c r="E13" s="8" t="s">
        <v>30</v>
      </c>
      <c r="F13" s="9" t="str">
        <f>IFERROR(__xludf.DUMMYFUNCTION("AI(""Give me a paragraph marketing spiel for product in this row, no tech specs just marketing fluff "")"),"Secure your lighting installation with precision and confidence using these premium metal mounting clips. Designed specifically to complement your PR009 LED profiles, these sturdy clips provide a clean, professional finish while ensuring a seamless and re"&amp;"liable fit. Perfect for creating sleek, sophisticated lighting displays, they offer an effortless way to elevate your architectural designs and bring your interior vision to life.")</f>
        <v>Secure your lighting installation with precision and confidence using these premium metal mounting clips. Designed specifically to complement your PR009 LED profiles, these sturdy clips provide a clean, professional finish while ensuring a seamless and reliable fit. Perfect for creating sleek, sophisticated lighting displays, they offer an effortless way to elevate your architectural designs and bring your interior vision to life.</v>
      </c>
      <c r="G13" s="8" t="s">
        <v>73</v>
      </c>
      <c r="H13" s="9" t="str">
        <f>IFERROR(__xludf.DUMMYFUNCTION("AI(""Give me a paragraph marketing spiel for product in this row, no tech specs just marketing fluff under 180 characters "")"),"Securely mount your PR009 LED profiles with ease. These sleek metal clips deliver a flawless, modern finish for effortless style.")</f>
        <v>Securely mount your PR009 LED profiles with ease. These sleek metal clips deliver a flawless, modern finish for effortless style.</v>
      </c>
      <c r="I13" s="8" t="s">
        <v>74</v>
      </c>
      <c r="J13" s="10"/>
      <c r="K13" s="10"/>
      <c r="L13" s="8"/>
      <c r="M13" s="10"/>
      <c r="N13" s="10"/>
      <c r="O13" s="10"/>
      <c r="P13" s="10"/>
      <c r="Q13" s="10"/>
      <c r="R13" s="10"/>
      <c r="S13" s="10"/>
      <c r="T13" s="10"/>
      <c r="U13" s="10"/>
      <c r="V13" s="10"/>
      <c r="W13" s="8" t="s">
        <v>33</v>
      </c>
      <c r="X13" s="8"/>
      <c r="Y13" s="8"/>
      <c r="Z13" s="10"/>
    </row>
    <row r="14">
      <c r="A14" s="8" t="s">
        <v>75</v>
      </c>
      <c r="B14" s="8" t="s">
        <v>76</v>
      </c>
      <c r="C14" s="8" t="s">
        <v>28</v>
      </c>
      <c r="D14" s="8" t="s">
        <v>29</v>
      </c>
      <c r="E14" s="8" t="s">
        <v>30</v>
      </c>
      <c r="F14" s="9" t="str">
        <f>IFERROR(__xludf.DUMMYFUNCTION("AI(""Give me a paragraph marketing spiel for product in this row, no tech specs just marketing fluff "")"),"Transform your lighting setup with our stunning Opal Diffuser, designed to create smooth, beautifully balanced illumination in any environment. Crafted to effortlessly soften harsh light and reduce glare, this premium accessory creates an inviting, sophis"&amp;"ticated ambiance that elevates your space. Perfect for achieving a clean, seamless look, it adds a refined touch to your architectural design, ensuring your lighting feels warm, modern, and perfectly polished.")</f>
        <v>Transform your lighting setup with our stunning Opal Diffuser, designed to create smooth, beautifully balanced illumination in any environment. Crafted to effortlessly soften harsh light and reduce glare, this premium accessory creates an inviting, sophisticated ambiance that elevates your space. Perfect for achieving a clean, seamless look, it adds a refined touch to your architectural design, ensuring your lighting feels warm, modern, and perfectly polished.</v>
      </c>
      <c r="G14" s="8" t="s">
        <v>77</v>
      </c>
      <c r="H14" s="9" t="str">
        <f>IFERROR(__xludf.DUMMYFUNCTION("AI(""Give me a paragraph marketing spiel for product in this row, no tech specs just marketing fluff under 180 characters "")"),"Softly disperse light and eliminate glare with our Opal Diffuser. Create a smooth, inviting glow that effortlessly elevates any modern space with refined elegance.")</f>
        <v>Softly disperse light and eliminate glare with our Opal Diffuser. Create a smooth, inviting glow that effortlessly elevates any modern space with refined elegance.</v>
      </c>
      <c r="I14" s="8" t="s">
        <v>78</v>
      </c>
      <c r="J14" s="10"/>
      <c r="K14" s="10"/>
      <c r="L14" s="8"/>
      <c r="M14" s="10"/>
      <c r="N14" s="10"/>
      <c r="O14" s="10"/>
      <c r="P14" s="10"/>
      <c r="Q14" s="10"/>
      <c r="R14" s="10"/>
      <c r="S14" s="10"/>
      <c r="T14" s="10"/>
      <c r="U14" s="10"/>
      <c r="V14" s="10"/>
      <c r="W14" s="8" t="s">
        <v>33</v>
      </c>
      <c r="X14" s="8"/>
      <c r="Y14" s="8"/>
      <c r="Z14" s="10"/>
    </row>
    <row r="15">
      <c r="A15" s="8" t="s">
        <v>79</v>
      </c>
      <c r="B15" s="8" t="s">
        <v>51</v>
      </c>
      <c r="C15" s="8" t="s">
        <v>28</v>
      </c>
      <c r="D15" s="8" t="s">
        <v>29</v>
      </c>
      <c r="E15" s="8" t="s">
        <v>30</v>
      </c>
      <c r="F15" s="9" t="str">
        <f>IFERROR(__xludf.DUMMYFUNCTION("AI(""Give me a paragraph marketing spiel for product in this row, no tech specs just marketing fluff "")"),"Complete your custom lighting setup with these premium End Caps, designed to provide a seamless, clean finish to any space. Crafting a sophisticated and polished aesthetic, these essential accessories neatly seal your light fixtures for a flawless, profes"&amp;"sional look. Elevate your architectural lighting design and transform your interiors with an effortlessly refined, modern appearance.")</f>
        <v>Complete your custom lighting setup with these premium End Caps, designed to provide a seamless, clean finish to any space. Crafting a sophisticated and polished aesthetic, these essential accessories neatly seal your light fixtures for a flawless, professional look. Elevate your architectural lighting design and transform your interiors with an effortlessly refined, modern appearance.</v>
      </c>
      <c r="G15" s="8" t="s">
        <v>80</v>
      </c>
      <c r="H15" s="9" t="str">
        <f>IFERROR(__xludf.DUMMYFUNCTION("AI(""Give me a paragraph marketing spiel for product in this row, no tech specs just marketing fluff under 180 characters "")"),"Elevate your lighting setup with sleek end caps designed for a flawless, polished finish. Transform any space with modern elegance and effortless style.")</f>
        <v>Elevate your lighting setup with sleek end caps designed for a flawless, polished finish. Transform any space with modern elegance and effortless style.</v>
      </c>
      <c r="I15" s="8" t="s">
        <v>81</v>
      </c>
      <c r="J15" s="10"/>
      <c r="K15" s="10"/>
      <c r="L15" s="8"/>
      <c r="M15" s="10"/>
      <c r="N15" s="10"/>
      <c r="O15" s="10"/>
      <c r="P15" s="10"/>
      <c r="Q15" s="10"/>
      <c r="R15" s="10"/>
      <c r="S15" s="10"/>
      <c r="T15" s="10"/>
      <c r="U15" s="10"/>
      <c r="V15" s="10"/>
      <c r="W15" s="8" t="s">
        <v>33</v>
      </c>
      <c r="X15" s="8"/>
      <c r="Y15" s="8"/>
      <c r="Z15" s="10"/>
    </row>
    <row r="16">
      <c r="A16" s="8" t="s">
        <v>82</v>
      </c>
      <c r="B16" s="8" t="s">
        <v>83</v>
      </c>
      <c r="C16" s="8" t="s">
        <v>28</v>
      </c>
      <c r="D16" s="8" t="s">
        <v>29</v>
      </c>
      <c r="E16" s="8" t="s">
        <v>30</v>
      </c>
      <c r="F16" s="9" t="str">
        <f>IFERROR(__xludf.DUMMYFUNCTION("AI(""Give me a paragraph marketing spiel for product in this row, no tech specs just marketing fluff "")"),"Transform your space with the smooth, elegant glow of the PROM Diffuser. Designed to seamlessly blend into any architectural setting, this premium accessory softly disperses light to create a warm, inviting ambiance without harsh glare. Perfect for elevat"&amp;"ing your interior aesthetic, it delivers a clean, modern finish that enhances the overall feel of your custom lighting setup while providing a sophisticated touch to your favorite rooms.")</f>
        <v>Transform your space with the smooth, elegant glow of the PROM Diffuser. Designed to seamlessly blend into any architectural setting, this premium accessory softly disperses light to create a warm, inviting ambiance without harsh glare. Perfect for elevating your interior aesthetic, it delivers a clean, modern finish that enhances the overall feel of your custom lighting setup while providing a sophisticated touch to your favorite rooms.</v>
      </c>
      <c r="G16" s="8" t="s">
        <v>84</v>
      </c>
      <c r="H16" s="9" t="str">
        <f>IFERROR(__xludf.DUMMYFUNCTION("AI(""Give me a paragraph marketing spiel for product in this row, no tech specs just marketing fluff under 180 characters "")"),"Elevate your space with the PROM Diffuser. Effortlessly soften light to create a warm, glare-free glow and add a refined, modern touch to your ambiance.")</f>
        <v>Elevate your space with the PROM Diffuser. Effortlessly soften light to create a warm, glare-free glow and add a refined, modern touch to your ambiance.</v>
      </c>
      <c r="I16" s="8" t="s">
        <v>85</v>
      </c>
      <c r="J16" s="10"/>
      <c r="K16" s="10"/>
      <c r="L16" s="8"/>
      <c r="M16" s="10"/>
      <c r="N16" s="10"/>
      <c r="O16" s="10"/>
      <c r="P16" s="10"/>
      <c r="Q16" s="10"/>
      <c r="R16" s="10"/>
      <c r="S16" s="10"/>
      <c r="T16" s="10"/>
      <c r="U16" s="10"/>
      <c r="V16" s="10"/>
      <c r="W16" s="8" t="s">
        <v>33</v>
      </c>
      <c r="X16" s="8"/>
      <c r="Y16" s="8"/>
      <c r="Z16" s="10"/>
    </row>
    <row r="17">
      <c r="A17" s="8" t="s">
        <v>86</v>
      </c>
      <c r="B17" s="8" t="s">
        <v>87</v>
      </c>
      <c r="C17" s="8" t="s">
        <v>28</v>
      </c>
      <c r="D17" s="8" t="s">
        <v>29</v>
      </c>
      <c r="E17" s="8" t="s">
        <v>30</v>
      </c>
      <c r="F17" s="9" t="str">
        <f>IFERROR(__xludf.DUMMYFUNCTION("AI(""Give me a paragraph marketing spiel for product in this row, no tech specs just marketing fluff "")"),"Transform your lighting setup with our Standard Diffuser, designed to seamlessly blend form and function for a flawless, modern look. Engineered to deliver beautifully soft, even illumination, it eliminates harsh shadows and creates a warm, inviting atmos"&amp;"phere in any space. Perfectly complementing your existing architecture, this versatile accessory brings a touch of effortless elegance and refined style, turning everyday lighting into a captivating visual experience.")</f>
        <v>Transform your lighting setup with our Standard Diffuser, designed to seamlessly blend form and function for a flawless, modern look. Engineered to deliver beautifully soft, even illumination, it eliminates harsh shadows and creates a warm, inviting atmosphere in any space. Perfectly complementing your existing architecture, this versatile accessory brings a touch of effortless elegance and refined style, turning everyday lighting into a captivating visual experience.</v>
      </c>
      <c r="G17" s="8" t="s">
        <v>88</v>
      </c>
      <c r="H17" s="9" t="str">
        <f>IFERROR(__xludf.DUMMYFUNCTION("AI(""Give me a paragraph marketing spiel for product in this row, no tech specs just marketing fluff under 180 characters "")"),"Elevate your space with our Standard Diffuser, delivering beautifully soft, even light to create a warm, inviting atmosphere with effortless modern style.")</f>
        <v>Elevate your space with our Standard Diffuser, delivering beautifully soft, even light to create a warm, inviting atmosphere with effortless modern style.</v>
      </c>
      <c r="I17" s="8" t="s">
        <v>89</v>
      </c>
      <c r="J17" s="10"/>
      <c r="K17" s="10"/>
      <c r="L17" s="8"/>
      <c r="M17" s="10"/>
      <c r="N17" s="10"/>
      <c r="O17" s="10"/>
      <c r="P17" s="10"/>
      <c r="Q17" s="10"/>
      <c r="R17" s="10"/>
      <c r="S17" s="10"/>
      <c r="T17" s="10"/>
      <c r="U17" s="10"/>
      <c r="V17" s="10"/>
      <c r="W17" s="8" t="s">
        <v>33</v>
      </c>
      <c r="X17" s="8"/>
      <c r="Y17" s="8"/>
      <c r="Z17" s="10"/>
    </row>
    <row r="18">
      <c r="A18" s="8" t="s">
        <v>90</v>
      </c>
      <c r="B18" s="8" t="s">
        <v>91</v>
      </c>
      <c r="C18" s="8" t="s">
        <v>28</v>
      </c>
      <c r="D18" s="8" t="s">
        <v>29</v>
      </c>
      <c r="E18" s="8" t="s">
        <v>30</v>
      </c>
      <c r="F18" s="9" t="str">
        <f>IFERROR(__xludf.DUMMYFUNCTION("AI(""Give me a paragraph marketing spiel for product in this row, no tech specs just marketing fluff "")"),"Transform your lighting displays with the PR007 Diffuser, designed to create a beautifully smooth, continuous glow that instantly elevates any environment. By softly dispersing illumination, it softens harsh shadows and adds an elegant, modern ambience to"&amp;" your space. Perfect for creating a polished and sophisticated look, this diffuser ensures your custom lighting setup delivers captivating visual comfort and style.")</f>
        <v>Transform your lighting displays with the PR007 Diffuser, designed to create a beautifully smooth, continuous glow that instantly elevates any environment. By softly dispersing illumination, it softens harsh shadows and adds an elegant, modern ambience to your space. Perfect for creating a polished and sophisticated look, this diffuser ensures your custom lighting setup delivers captivating visual comfort and style.</v>
      </c>
      <c r="G18" s="8" t="s">
        <v>92</v>
      </c>
      <c r="H18" s="9" t="str">
        <f>IFERROR(__xludf.DUMMYFUNCTION("AI(""Give me a paragraph marketing spiel for product in this row, no tech specs just marketing fluff under 180 characters "")"),"Elevate your space with the PR007 Diffuser. Enjoy a beautifully smooth, continuous glow that softens shadows and adds effortless modern elegance to any room.")</f>
        <v>Elevate your space with the PR007 Diffuser. Enjoy a beautifully smooth, continuous glow that softens shadows and adds effortless modern elegance to any room.</v>
      </c>
      <c r="I18" s="8" t="s">
        <v>93</v>
      </c>
      <c r="J18" s="10"/>
      <c r="K18" s="10"/>
      <c r="L18" s="8"/>
      <c r="M18" s="10"/>
      <c r="N18" s="10"/>
      <c r="O18" s="10"/>
      <c r="P18" s="10"/>
      <c r="Q18" s="10"/>
      <c r="R18" s="10"/>
      <c r="S18" s="10"/>
      <c r="T18" s="10"/>
      <c r="U18" s="10"/>
      <c r="V18" s="10"/>
      <c r="W18" s="8" t="s">
        <v>33</v>
      </c>
      <c r="X18" s="8"/>
      <c r="Y18" s="8"/>
      <c r="Z18" s="10"/>
    </row>
    <row r="19">
      <c r="A19" s="8" t="s">
        <v>94</v>
      </c>
      <c r="B19" s="8" t="s">
        <v>95</v>
      </c>
      <c r="C19" s="8" t="s">
        <v>28</v>
      </c>
      <c r="D19" s="8" t="s">
        <v>29</v>
      </c>
      <c r="E19" s="8" t="s">
        <v>30</v>
      </c>
      <c r="F19" s="9" t="str">
        <f>IFERROR(__xludf.DUMMYFUNCTION("AI(""Give me a paragraph marketing spiel for product in this row, no tech specs just marketing fluff "")"),"Transform your lighting setup with the PR008 Diffuser, designed to create a smooth, mesmerizing glow that instantly elevates any room. This essential accessory beautifully softens illumination, eliminating harsh glares to deliver an inviting, sophisticate"&amp;"d ambiance throughout your space. Perfectly blending form and function, it offers a clean, refined finish that transforms ordinary lighting into a captivating visual experience.")</f>
        <v>Transform your lighting setup with the PR008 Diffuser, designed to create a smooth, mesmerizing glow that instantly elevates any room. This essential accessory beautifully softens illumination, eliminating harsh glares to deliver an inviting, sophisticated ambiance throughout your space. Perfectly blending form and function, it offers a clean, refined finish that transforms ordinary lighting into a captivating visual experience.</v>
      </c>
      <c r="G19" s="8" t="s">
        <v>96</v>
      </c>
      <c r="H19" s="9" t="str">
        <f>IFERROR(__xludf.DUMMYFUNCTION("AI(""Give me a paragraph marketing spiel for product in this row, no tech specs just marketing fluff under 180 characters "")"),"Transform your space with the PR008 Diffuser. Effortlessly soften harsh light into an inviting, mesmerizing glow for an elegant finish.")</f>
        <v>Transform your space with the PR008 Diffuser. Effortlessly soften harsh light into an inviting, mesmerizing glow for an elegant finish.</v>
      </c>
      <c r="I19" s="8" t="s">
        <v>97</v>
      </c>
      <c r="J19" s="10"/>
      <c r="K19" s="10"/>
      <c r="L19" s="8"/>
      <c r="M19" s="10"/>
      <c r="N19" s="10"/>
      <c r="O19" s="10"/>
      <c r="P19" s="10"/>
      <c r="Q19" s="10"/>
      <c r="R19" s="10"/>
      <c r="S19" s="10"/>
      <c r="T19" s="10"/>
      <c r="U19" s="10"/>
      <c r="V19" s="10"/>
      <c r="W19" s="8" t="s">
        <v>33</v>
      </c>
      <c r="X19" s="8"/>
      <c r="Y19" s="8"/>
      <c r="Z19" s="10"/>
    </row>
    <row r="20">
      <c r="A20" s="8" t="s">
        <v>98</v>
      </c>
      <c r="B20" s="8" t="s">
        <v>99</v>
      </c>
      <c r="C20" s="8" t="s">
        <v>28</v>
      </c>
      <c r="D20" s="8" t="s">
        <v>29</v>
      </c>
      <c r="E20" s="8" t="s">
        <v>30</v>
      </c>
      <c r="F20" s="9" t="str">
        <f>IFERROR(__xludf.DUMMYFUNCTION("AI(""Give me a paragraph marketing spiel for product in this row, no tech specs just marketing fluff "")"),"Elevate your lighting design to a new level of elegance with the PR016 Diffuser. Expertly crafted to transform harsh light into a smooth, captivating glow, this essential component seamlessly blends function with modern aesthetics. It enhances the visual "&amp;"atmosphere of any room, creating a warm, polished ambiance that leaves a lasting impression while seamlessly integrating into your custom architectural setup.")</f>
        <v>Elevate your lighting design to a new level of elegance with the PR016 Diffuser. Expertly crafted to transform harsh light into a smooth, captivating glow, this essential component seamlessly blends function with modern aesthetics. It enhances the visual atmosphere of any room, creating a warm, polished ambiance that leaves a lasting impression while seamlessly integrating into your custom architectural setup.</v>
      </c>
      <c r="G20" s="8" t="s">
        <v>100</v>
      </c>
      <c r="H20" s="9" t="str">
        <f>IFERROR(__xludf.DUMMYFUNCTION("AI(""Give me a paragraph marketing spiel for product in this row, no tech specs just marketing fluff under 180 characters "")"),"Elevate your space with the PR016 Diffuser. Transform harsh light into a smooth, captivating glow that brings modern elegance and warmth to any room.")</f>
        <v>Elevate your space with the PR016 Diffuser. Transform harsh light into a smooth, captivating glow that brings modern elegance and warmth to any room.</v>
      </c>
      <c r="I20" s="8" t="s">
        <v>101</v>
      </c>
      <c r="J20" s="10"/>
      <c r="K20" s="10"/>
      <c r="L20" s="8"/>
      <c r="M20" s="10"/>
      <c r="N20" s="10"/>
      <c r="O20" s="10"/>
      <c r="P20" s="10"/>
      <c r="Q20" s="10"/>
      <c r="R20" s="10"/>
      <c r="S20" s="10"/>
      <c r="T20" s="10"/>
      <c r="U20" s="10"/>
      <c r="V20" s="10"/>
      <c r="W20" s="8" t="s">
        <v>33</v>
      </c>
      <c r="X20" s="8"/>
      <c r="Y20" s="8"/>
      <c r="Z20" s="10"/>
    </row>
    <row r="21">
      <c r="A21" s="8" t="s">
        <v>102</v>
      </c>
      <c r="B21" s="8" t="s">
        <v>103</v>
      </c>
      <c r="C21" s="8" t="s">
        <v>28</v>
      </c>
      <c r="D21" s="8" t="s">
        <v>29</v>
      </c>
      <c r="E21" s="8" t="s">
        <v>30</v>
      </c>
      <c r="F21" s="9" t="str">
        <f>IFERROR(__xludf.DUMMYFUNCTION("AI(""Give me a paragraph marketing spiel for product in this row, no tech specs just marketing fluff "")"),"Transform your lighting design with the PR017 Diffuser, crafted to deliver smooth, mesmerizing illumination that elevates any environment. Engineered to seamlessly soften harsh light, this essential accessory creates a warm, inviting ambiance with flawles"&amp;"s continuity and clean aesthetic lines. Whether you are aiming for a sleek contemporary vibe or a sophisticated architectural look, it provides the ultimate finishing touch to ensure your custom lighting installation looks impeccably polished and effortle"&amp;"ssly stylish.")</f>
        <v>Transform your lighting design with the PR017 Diffuser, crafted to deliver smooth, mesmerizing illumination that elevates any environment. Engineered to seamlessly soften harsh light, this essential accessory creates a warm, inviting ambiance with flawless continuity and clean aesthetic lines. Whether you are aiming for a sleek contemporary vibe or a sophisticated architectural look, it provides the ultimate finishing touch to ensure your custom lighting installation looks impeccably polished and effortlessly stylish.</v>
      </c>
      <c r="G21" s="8" t="s">
        <v>104</v>
      </c>
      <c r="H21" s="9" t="str">
        <f>IFERROR(__xludf.DUMMYFUNCTION("AI(""Give me a paragraph marketing spiel for product in this row, no tech specs just marketing fluff under 180 characters "")"),"Elevate your space with the PR017 Diffuser. Enjoy smooth, mesmerizing light and a warm ambiance for an effortlessly stylish and polished finish.")</f>
        <v>Elevate your space with the PR017 Diffuser. Enjoy smooth, mesmerizing light and a warm ambiance for an effortlessly stylish and polished finish.</v>
      </c>
      <c r="I21" s="8" t="s">
        <v>105</v>
      </c>
      <c r="J21" s="10"/>
      <c r="K21" s="10"/>
      <c r="L21" s="8"/>
      <c r="M21" s="10"/>
      <c r="N21" s="10"/>
      <c r="O21" s="10"/>
      <c r="P21" s="10"/>
      <c r="Q21" s="10"/>
      <c r="R21" s="10"/>
      <c r="S21" s="10"/>
      <c r="T21" s="10"/>
      <c r="U21" s="10"/>
      <c r="V21" s="10"/>
      <c r="W21" s="8" t="s">
        <v>33</v>
      </c>
      <c r="X21" s="8"/>
      <c r="Y21" s="8"/>
      <c r="Z21" s="10"/>
    </row>
    <row r="22">
      <c r="A22" s="8" t="s">
        <v>106</v>
      </c>
      <c r="B22" s="8" t="s">
        <v>107</v>
      </c>
      <c r="C22" s="8" t="s">
        <v>28</v>
      </c>
      <c r="D22" s="8" t="s">
        <v>29</v>
      </c>
      <c r="E22" s="8" t="s">
        <v>30</v>
      </c>
      <c r="F22" s="9" t="str">
        <f>IFERROR(__xludf.DUMMYFUNCTION("AI(""Give me a paragraph marketing spiel for product in this row, no tech specs just marketing fluff "")"),"Transform your lighting design with the PR018 Diffuser, crafted to deliver a beautifully smooth and sophisticated ambient glow to any space. Designed to elevate your environment, this essential accessory seamlessly softens illumination to create a warm, i"&amp;"nviting atmosphere with a pristine, high-end finish. Perfect for adding that final touch of modern elegance, it effortlessly enhances your custom lighting setup, ensuring your space always looks its absolute best.")</f>
        <v>Transform your lighting design with the PR018 Diffuser, crafted to deliver a beautifully smooth and sophisticated ambient glow to any space. Designed to elevate your environment, this essential accessory seamlessly softens illumination to create a warm, inviting atmosphere with a pristine, high-end finish. Perfect for adding that final touch of modern elegance, it effortlessly enhances your custom lighting setup, ensuring your space always looks its absolute best.</v>
      </c>
      <c r="G22" s="8" t="s">
        <v>108</v>
      </c>
      <c r="H22" s="9" t="str">
        <f>IFERROR(__xludf.DUMMYFUNCTION("AI(""Give me a paragraph marketing spiel for product in this row, no tech specs just marketing fluff under 180 characters "")"),"Elevate your space with the PR018 Diffuser. Soften harsh lighting into a smooth, ambient glow that adds warmth, modern elegance, and a high-end finish to any room.")</f>
        <v>Elevate your space with the PR018 Diffuser. Soften harsh lighting into a smooth, ambient glow that adds warmth, modern elegance, and a high-end finish to any room.</v>
      </c>
      <c r="I22" s="8" t="s">
        <v>109</v>
      </c>
      <c r="J22" s="10"/>
      <c r="K22" s="10"/>
      <c r="L22" s="8"/>
      <c r="M22" s="10"/>
      <c r="N22" s="10"/>
      <c r="O22" s="10"/>
      <c r="P22" s="10"/>
      <c r="Q22" s="10"/>
      <c r="R22" s="10"/>
      <c r="S22" s="10"/>
      <c r="T22" s="10"/>
      <c r="U22" s="10"/>
      <c r="V22" s="10"/>
      <c r="W22" s="8" t="s">
        <v>33</v>
      </c>
      <c r="X22" s="8"/>
      <c r="Y22" s="8"/>
      <c r="Z22" s="10"/>
    </row>
    <row r="23">
      <c r="A23" s="8" t="s">
        <v>110</v>
      </c>
      <c r="B23" s="8" t="s">
        <v>111</v>
      </c>
      <c r="C23" s="8" t="s">
        <v>28</v>
      </c>
      <c r="D23" s="8" t="s">
        <v>29</v>
      </c>
      <c r="E23" s="8" t="s">
        <v>30</v>
      </c>
      <c r="F23" s="9" t="str">
        <f>IFERROR(__xludf.DUMMYFUNCTION("AI(""Give me a paragraph marketing spiel for product in this row, no tech specs just marketing fluff "")"),"Elevate your lighting installations with the PR021 Diffuser, designed to transform harsh light into a smooth, captivating glow. Crafted to enhance the ambient beauty of any space, this essential accessory effortlessly blends performance with aesthetics to"&amp;" create a seamless, sophisticated linear light effect. Perfect for adding a polished, high-end finish to your architectural designs, it ensures your lighting setup looks effortlessly elegant and beautifully refined.")</f>
        <v>Elevate your lighting installations with the PR021 Diffuser, designed to transform harsh light into a smooth, captivating glow. Crafted to enhance the ambient beauty of any space, this essential accessory effortlessly blends performance with aesthetics to create a seamless, sophisticated linear light effect. Perfect for adding a polished, high-end finish to your architectural designs, it ensures your lighting setup looks effortlessly elegant and beautifully refined.</v>
      </c>
      <c r="G23" s="8" t="s">
        <v>112</v>
      </c>
      <c r="H23" s="9" t="str">
        <f>IFERROR(__xludf.DUMMYFUNCTION("AI(""Give me a paragraph marketing spiel for product in this row, no tech specs just marketing fluff under 180 characters "")"),"Transform harsh light into a smooth, captivating glow with the PR021 Diffuser. Add an effortlessly elegant, high-end finish to your linear lighting.")</f>
        <v>Transform harsh light into a smooth, captivating glow with the PR021 Diffuser. Add an effortlessly elegant, high-end finish to your linear lighting.</v>
      </c>
      <c r="I23" s="8" t="s">
        <v>113</v>
      </c>
      <c r="J23" s="10"/>
      <c r="K23" s="10"/>
      <c r="L23" s="8"/>
      <c r="M23" s="10"/>
      <c r="N23" s="10"/>
      <c r="O23" s="10"/>
      <c r="P23" s="10"/>
      <c r="Q23" s="10"/>
      <c r="R23" s="10"/>
      <c r="S23" s="10"/>
      <c r="T23" s="10"/>
      <c r="U23" s="10"/>
      <c r="V23" s="10"/>
      <c r="W23" s="8" t="s">
        <v>33</v>
      </c>
      <c r="X23" s="8"/>
      <c r="Y23" s="8"/>
      <c r="Z23" s="10"/>
    </row>
    <row r="24">
      <c r="A24" s="8" t="s">
        <v>114</v>
      </c>
      <c r="B24" s="8" t="s">
        <v>115</v>
      </c>
      <c r="C24" s="8" t="s">
        <v>28</v>
      </c>
      <c r="D24" s="8" t="s">
        <v>29</v>
      </c>
      <c r="E24" s="8" t="s">
        <v>30</v>
      </c>
      <c r="F24" s="9" t="str">
        <f>IFERROR(__xludf.DUMMYFUNCTION("AI(""Give me a paragraph marketing spiel for product in this row, no tech specs just marketing fluff "")"),"Transform your lighting setup with the sleek PR034 Diffuser, expertly designed to elevate your space with soft, beautifully balanced illumination. Crafting a seamless visual atmosphere, this essential accessory softens harsh glare into a smooth, captivati"&amp;"ng glow that effortlessly enhances any interior aesthetic. Perfect for creating refined, continuous lines of light, it delivers a high-end, polished finish that takes your custom lighting design to the next level of modern elegance.")</f>
        <v>Transform your lighting setup with the sleek PR034 Diffuser, expertly designed to elevate your space with soft, beautifully balanced illumination. Crafting a seamless visual atmosphere, this essential accessory softens harsh glare into a smooth, captivating glow that effortlessly enhances any interior aesthetic. Perfect for creating refined, continuous lines of light, it delivers a high-end, polished finish that takes your custom lighting design to the next level of modern elegance.</v>
      </c>
      <c r="G24" s="8" t="s">
        <v>116</v>
      </c>
      <c r="H24" s="9" t="str">
        <f>IFERROR(__xludf.DUMMYFUNCTION("AI(""Give me a paragraph marketing spiel for product in this row, no tech specs just marketing fluff under 180 characters "")"),"Elevate your space with the sleek PR034 Diffuser. It softens harsh glare into a smooth, captivating glow, delivering modern elegance and seamless lines of light.")</f>
        <v>Elevate your space with the sleek PR034 Diffuser. It softens harsh glare into a smooth, captivating glow, delivering modern elegance and seamless lines of light.</v>
      </c>
      <c r="I24" s="8" t="s">
        <v>117</v>
      </c>
      <c r="J24" s="10"/>
      <c r="K24" s="10"/>
      <c r="L24" s="8"/>
      <c r="M24" s="10"/>
      <c r="N24" s="10"/>
      <c r="O24" s="10"/>
      <c r="P24" s="10"/>
      <c r="Q24" s="10"/>
      <c r="R24" s="10"/>
      <c r="S24" s="10"/>
      <c r="T24" s="10"/>
      <c r="U24" s="10"/>
      <c r="V24" s="10"/>
      <c r="W24" s="8" t="s">
        <v>33</v>
      </c>
      <c r="X24" s="8"/>
      <c r="Y24" s="8"/>
      <c r="Z24" s="10"/>
    </row>
    <row r="25">
      <c r="A25" s="8" t="s">
        <v>118</v>
      </c>
      <c r="B25" s="8" t="s">
        <v>119</v>
      </c>
      <c r="C25" s="8" t="s">
        <v>28</v>
      </c>
      <c r="D25" s="8" t="s">
        <v>29</v>
      </c>
      <c r="E25" s="8" t="s">
        <v>30</v>
      </c>
      <c r="F25" s="9" t="str">
        <f>IFERROR(__xludf.DUMMYFUNCTION("AI(""Give me a paragraph marketing spiel for product in this row, no tech specs just marketing fluff "")"),"Elevate your lighting design with the PR115 Diffuser, meticulously crafted to soften and evenly distribute light for a truly captivating ambiance. Designed to seamlessly blend into any modern space, this essential accessory creates flawless, continuous il"&amp;"lumination while eliminating harsh glare. Transform your environment with smooth, professional-grade light diffusion that effortlessly adds elegance, warmth, and a polished finish to your custom LED setup.")</f>
        <v>Elevate your lighting design with the PR115 Diffuser, meticulously crafted to soften and evenly distribute light for a truly captivating ambiance. Designed to seamlessly blend into any modern space, this essential accessory creates flawless, continuous illumination while eliminating harsh glare. Transform your environment with smooth, professional-grade light diffusion that effortlessly adds elegance, warmth, and a polished finish to your custom LED setup.</v>
      </c>
      <c r="G25" s="8" t="s">
        <v>120</v>
      </c>
      <c r="H25" s="9" t="str">
        <f>IFERROR(__xludf.DUMMYFUNCTION("AI(""Give me a paragraph marketing spiel for product in this row, no tech specs just marketing fluff under 180 characters "")"),"Transform your room with the PR115 Diffuser. Create a smooth, beautiful glow that effortlessly adds warmth and modern elegance to any space.")</f>
        <v>Transform your room with the PR115 Diffuser. Create a smooth, beautiful glow that effortlessly adds warmth and modern elegance to any space.</v>
      </c>
      <c r="I25" s="8" t="s">
        <v>121</v>
      </c>
      <c r="J25" s="10"/>
      <c r="K25" s="10"/>
      <c r="L25" s="8"/>
      <c r="M25" s="10"/>
      <c r="N25" s="10"/>
      <c r="O25" s="10"/>
      <c r="P25" s="10"/>
      <c r="Q25" s="10"/>
      <c r="R25" s="10"/>
      <c r="S25" s="10"/>
      <c r="T25" s="10"/>
      <c r="U25" s="10"/>
      <c r="V25" s="10"/>
      <c r="W25" s="8" t="s">
        <v>33</v>
      </c>
      <c r="X25" s="8"/>
      <c r="Y25" s="8"/>
      <c r="Z25" s="10"/>
    </row>
    <row r="26">
      <c r="A26" s="8" t="s">
        <v>122</v>
      </c>
      <c r="B26" s="8" t="s">
        <v>123</v>
      </c>
      <c r="C26" s="8" t="s">
        <v>28</v>
      </c>
      <c r="D26" s="8" t="s">
        <v>29</v>
      </c>
      <c r="E26" s="8" t="s">
        <v>30</v>
      </c>
      <c r="F26" s="9" t="str">
        <f>IFERROR(__xludf.DUMMYFUNCTION("AI(""Give me a paragraph marketing spiel for product in this row, no tech specs just marketing fluff "")"),"Transform your space with the PR126 Diffuser, designed to create a beautifully soft, continuous glow that elevates any architectural lighting design. Engineered for flawless visual integration, it softens harsh light to deliver a smooth, sophisticated amb"&amp;"ience that feels both modern and luxurious. Perfectly complementing your custom LED installations, this essential accessory provides the ultimate finishing touch, turning ordinary illumination into a stunning, refined visual experience.")</f>
        <v>Transform your space with the PR126 Diffuser, designed to create a beautifully soft, continuous glow that elevates any architectural lighting design. Engineered for flawless visual integration, it softens harsh light to deliver a smooth, sophisticated ambience that feels both modern and luxurious. Perfectly complementing your custom LED installations, this essential accessory provides the ultimate finishing touch, turning ordinary illumination into a stunning, refined visual experience.</v>
      </c>
      <c r="G26" s="8" t="s">
        <v>124</v>
      </c>
      <c r="H26" s="9" t="str">
        <f>IFERROR(__xludf.DUMMYFUNCTION("AI(""Give me a paragraph marketing spiel for product in this row, no tech specs just marketing fluff under 180 characters "")"),"Transform your space with the PR126 Diffuser. Enjoy a soft, continuous glow that brings effortless elegance and modern luxury to your custom lighting setup.")</f>
        <v>Transform your space with the PR126 Diffuser. Enjoy a soft, continuous glow that brings effortless elegance and modern luxury to your custom lighting setup.</v>
      </c>
      <c r="I26" s="8" t="s">
        <v>125</v>
      </c>
      <c r="J26" s="10"/>
      <c r="K26" s="10"/>
      <c r="L26" s="8"/>
      <c r="M26" s="10"/>
      <c r="N26" s="10"/>
      <c r="O26" s="10"/>
      <c r="P26" s="10"/>
      <c r="Q26" s="10"/>
      <c r="R26" s="10"/>
      <c r="S26" s="10"/>
      <c r="T26" s="10"/>
      <c r="U26" s="10"/>
      <c r="V26" s="10"/>
      <c r="W26" s="8" t="s">
        <v>33</v>
      </c>
      <c r="X26" s="8"/>
      <c r="Y26" s="8"/>
      <c r="Z26" s="10"/>
    </row>
    <row r="27">
      <c r="A27" s="8" t="s">
        <v>126</v>
      </c>
      <c r="B27" s="8" t="s">
        <v>127</v>
      </c>
      <c r="C27" s="8" t="s">
        <v>28</v>
      </c>
      <c r="D27" s="8" t="s">
        <v>29</v>
      </c>
      <c r="E27" s="8" t="s">
        <v>30</v>
      </c>
      <c r="F27" s="9" t="str">
        <f>IFERROR(__xludf.DUMMYFUNCTION("AI(""Give me a paragraph marketing spiel for product in this row, no tech specs just marketing fluff "")"),"Elevate your lighting design with the PR127 Diffuser, crafted to deliver a smooth, flawless glow that seamlessly transforms any room. Designed to soften harsh light and create a warm, inviting ambiance, this essential accessory provides a sophisticated, p"&amp;"rofessional finish to your custom lighting installation. Perfect for modern spaces, it brings an effortlessly elegant look and refined aesthetic to your home or commercial setting.")</f>
        <v>Elevate your lighting design with the PR127 Diffuser, crafted to deliver a smooth, flawless glow that seamlessly transforms any room. Designed to soften harsh light and create a warm, inviting ambiance, this essential accessory provides a sophisticated, professional finish to your custom lighting installation. Perfect for modern spaces, it brings an effortlessly elegant look and refined aesthetic to your home or commercial setting.</v>
      </c>
      <c r="G27" s="8" t="s">
        <v>128</v>
      </c>
      <c r="H27" s="9" t="str">
        <f>IFERROR(__xludf.DUMMYFUNCTION("AI(""Give me a paragraph marketing spiel for product in this row, no tech specs just marketing fluff under 180 characters "")"),"Elevate your lighting with the PR127 Diffuser, delivering a smooth, flawless glow that effortlessly brings warm elegance and modern sophistication to any space.")</f>
        <v>Elevate your lighting with the PR127 Diffuser, delivering a smooth, flawless glow that effortlessly brings warm elegance and modern sophistication to any space.</v>
      </c>
      <c r="I27" s="8" t="s">
        <v>129</v>
      </c>
      <c r="J27" s="10"/>
      <c r="K27" s="10"/>
      <c r="L27" s="8"/>
      <c r="M27" s="10"/>
      <c r="N27" s="10"/>
      <c r="O27" s="10"/>
      <c r="P27" s="10"/>
      <c r="Q27" s="10"/>
      <c r="R27" s="10"/>
      <c r="S27" s="10"/>
      <c r="T27" s="10"/>
      <c r="U27" s="10"/>
      <c r="V27" s="10"/>
      <c r="W27" s="8" t="s">
        <v>33</v>
      </c>
      <c r="X27" s="8"/>
      <c r="Y27" s="8"/>
      <c r="Z27" s="10"/>
    </row>
    <row r="28">
      <c r="A28" s="8" t="s">
        <v>130</v>
      </c>
      <c r="B28" s="8" t="s">
        <v>131</v>
      </c>
      <c r="C28" s="8" t="s">
        <v>28</v>
      </c>
      <c r="D28" s="8" t="s">
        <v>29</v>
      </c>
      <c r="E28" s="8" t="s">
        <v>30</v>
      </c>
      <c r="F28" s="9" t="str">
        <f>IFERROR(__xludf.DUMMYFUNCTION("AI(""Give me a paragraph marketing spiel for product in this row, no tech specs just marketing fluff "")"),"Elevate your lighting installations with our premium PR130/PR131 Diffuser, designed to create a smooth, continuous glow that transforms any space into a modern sanctuary. Crafted for seamless integration, this essential accessory effortlessly softens hars"&amp;"h illumination into an elegant, ambient light flow. Enhance the visual appeal of your custom lighting setup while adding a sophisticated, polished touch to contemporary architectural designs.")</f>
        <v>Elevate your lighting installations with our premium PR130/PR131 Diffuser, designed to create a smooth, continuous glow that transforms any space into a modern sanctuary. Crafted for seamless integration, this essential accessory effortlessly softens harsh illumination into an elegant, ambient light flow. Enhance the visual appeal of your custom lighting setup while adding a sophisticated, polished touch to contemporary architectural designs.</v>
      </c>
      <c r="G28" s="8" t="s">
        <v>132</v>
      </c>
      <c r="H28" s="9" t="str">
        <f>IFERROR(__xludf.DUMMYFUNCTION("AI(""Give me a paragraph marketing spiel for product in this row, no tech specs just marketing fluff under 180 characters "")"),"Elevate your space with the PR130/PR131 Diffuser. Soften harsh lighting into a smooth, elegant glow that brings modern warmth and sophistication to any setup.")</f>
        <v>Elevate your space with the PR130/PR131 Diffuser. Soften harsh lighting into a smooth, elegant glow that brings modern warmth and sophistication to any setup.</v>
      </c>
      <c r="I28" s="8" t="s">
        <v>133</v>
      </c>
      <c r="J28" s="10"/>
      <c r="K28" s="10"/>
      <c r="L28" s="8"/>
      <c r="M28" s="10"/>
      <c r="N28" s="10"/>
      <c r="O28" s="10"/>
      <c r="P28" s="10"/>
      <c r="Q28" s="10"/>
      <c r="R28" s="10"/>
      <c r="S28" s="10"/>
      <c r="T28" s="10"/>
      <c r="U28" s="10"/>
      <c r="V28" s="10"/>
      <c r="W28" s="8" t="s">
        <v>33</v>
      </c>
      <c r="X28" s="8"/>
      <c r="Y28" s="8"/>
      <c r="Z28" s="10"/>
    </row>
    <row r="29">
      <c r="A29" s="8" t="s">
        <v>134</v>
      </c>
      <c r="B29" s="8" t="s">
        <v>135</v>
      </c>
      <c r="C29" s="8" t="s">
        <v>28</v>
      </c>
      <c r="D29" s="8" t="s">
        <v>29</v>
      </c>
      <c r="E29" s="8" t="s">
        <v>30</v>
      </c>
      <c r="F29" s="9" t="str">
        <f>IFERROR(__xludf.DUMMYFUNCTION("AI(""Give me a paragraph marketing spiel for product in this row, no tech specs just marketing fluff "")"),"Transform your lighting design into a stunning visual experience with the PR132 Diffuser. Designed to effortlessly soften and blend light, this essential accessory creates a smooth, continuous glow that brings warmth, elegance, and modern sophistication t"&amp;"o any space. Elevate your atmosphere and achieve a flawless, high-end finish that turns simple illumination into an extraordinary architectural statement.")</f>
        <v>Transform your lighting design into a stunning visual experience with the PR132 Diffuser. Designed to effortlessly soften and blend light, this essential accessory creates a smooth, continuous glow that brings warmth, elegance, and modern sophistication to any space. Elevate your atmosphere and achieve a flawless, high-end finish that turns simple illumination into an extraordinary architectural statement.</v>
      </c>
      <c r="G29" s="8" t="s">
        <v>136</v>
      </c>
      <c r="H29" s="9" t="str">
        <f>IFERROR(__xludf.DUMMYFUNCTION("AI(""Give me a paragraph marketing spiel for product in this row, no tech specs just marketing fluff under 180 characters "")"),"Elevate your space with the PR132 Diffuser. Effortlessly soften light into a smooth, elegant glow that adds modern sophistication to any environment.")</f>
        <v>Elevate your space with the PR132 Diffuser. Effortlessly soften light into a smooth, elegant glow that adds modern sophistication to any environment.</v>
      </c>
      <c r="I29" s="8" t="s">
        <v>137</v>
      </c>
      <c r="J29" s="10"/>
      <c r="K29" s="10"/>
      <c r="L29" s="8"/>
      <c r="M29" s="10"/>
      <c r="N29" s="10"/>
      <c r="O29" s="10"/>
      <c r="P29" s="10"/>
      <c r="Q29" s="10"/>
      <c r="R29" s="10"/>
      <c r="S29" s="10"/>
      <c r="T29" s="10"/>
      <c r="U29" s="10"/>
      <c r="V29" s="10"/>
      <c r="W29" s="8" t="s">
        <v>33</v>
      </c>
      <c r="X29" s="8"/>
      <c r="Y29" s="8"/>
      <c r="Z29" s="10"/>
    </row>
    <row r="30">
      <c r="A30" s="8" t="s">
        <v>138</v>
      </c>
      <c r="B30" s="8" t="s">
        <v>139</v>
      </c>
      <c r="C30" s="8" t="s">
        <v>28</v>
      </c>
      <c r="D30" s="8" t="s">
        <v>29</v>
      </c>
      <c r="E30" s="8" t="s">
        <v>30</v>
      </c>
      <c r="F30" s="9" t="str">
        <f>IFERROR(__xludf.DUMMYFUNCTION("AI(""Give me a paragraph marketing spiel for product in this row, no tech specs just marketing fluff "")"),"Elevate your lighting design with our premium 316 Stainless Suspensions Wire, crafted to bring an effortless sense of elegance and modern sophistication to any space. Designed for flawless hanging installations, this refined accessory provides a sleek, fl"&amp;"oating presence that seamlessly integrates into contemporary interiors. Enhance your decor with a perfectly poised, architectural aesthetic that highlights your custom lighting setup with ultimate style and grace.")</f>
        <v>Elevate your lighting design with our premium 316 Stainless Suspensions Wire, crafted to bring an effortless sense of elegance and modern sophistication to any space. Designed for flawless hanging installations, this refined accessory provides a sleek, floating presence that seamlessly integrates into contemporary interiors. Enhance your decor with a perfectly poised, architectural aesthetic that highlights your custom lighting setup with ultimate style and grace.</v>
      </c>
      <c r="G30" s="8" t="s">
        <v>140</v>
      </c>
      <c r="H30" s="9" t="str">
        <f>IFERROR(__xludf.DUMMYFUNCTION("AI(""Give me a paragraph marketing spiel for product in this row, no tech specs just marketing fluff under 180 characters "")"),"Elevate your lighting design with our premium suspension wire, bringing an effortless sense of elegance and modern sophistication to any floating installation.")</f>
        <v>Elevate your lighting design with our premium suspension wire, bringing an effortless sense of elegance and modern sophistication to any floating installation.</v>
      </c>
      <c r="I30" s="8" t="s">
        <v>141</v>
      </c>
      <c r="J30" s="10"/>
      <c r="K30" s="10"/>
      <c r="L30" s="8"/>
      <c r="M30" s="10"/>
      <c r="N30" s="10"/>
      <c r="O30" s="10"/>
      <c r="P30" s="10"/>
      <c r="Q30" s="10"/>
      <c r="R30" s="10"/>
      <c r="S30" s="10"/>
      <c r="T30" s="10"/>
      <c r="U30" s="10"/>
      <c r="V30" s="10"/>
      <c r="W30" s="8" t="s">
        <v>33</v>
      </c>
      <c r="X30" s="8"/>
      <c r="Y30" s="8"/>
      <c r="Z30" s="10"/>
    </row>
    <row r="31">
      <c r="A31" s="10"/>
      <c r="B31" s="10"/>
      <c r="C31" s="10"/>
      <c r="D31" s="10"/>
      <c r="E31" s="10"/>
      <c r="F31" s="11"/>
      <c r="G31" s="11"/>
      <c r="H31" s="11"/>
      <c r="I31" s="11"/>
      <c r="J31" s="10"/>
      <c r="K31" s="10"/>
      <c r="L31" s="10"/>
      <c r="M31" s="10"/>
      <c r="N31" s="10"/>
      <c r="O31" s="10"/>
      <c r="P31" s="10"/>
      <c r="Q31" s="10"/>
      <c r="R31" s="10"/>
      <c r="S31" s="10"/>
      <c r="T31" s="10"/>
      <c r="U31" s="10"/>
      <c r="V31" s="10"/>
      <c r="W31" s="10"/>
      <c r="X31" s="10"/>
      <c r="Y31" s="10"/>
      <c r="Z31" s="10"/>
    </row>
    <row r="32">
      <c r="A32" s="10"/>
      <c r="B32" s="10"/>
      <c r="C32" s="10"/>
      <c r="D32" s="10"/>
      <c r="E32" s="10"/>
      <c r="F32" s="11"/>
      <c r="G32" s="11"/>
      <c r="H32" s="11"/>
      <c r="I32" s="11"/>
      <c r="J32" s="10"/>
      <c r="K32" s="10"/>
      <c r="L32" s="10"/>
      <c r="M32" s="10"/>
      <c r="N32" s="10"/>
      <c r="O32" s="10"/>
      <c r="P32" s="10"/>
      <c r="Q32" s="10"/>
      <c r="R32" s="10"/>
      <c r="S32" s="10"/>
      <c r="T32" s="10"/>
      <c r="U32" s="10"/>
      <c r="V32" s="10"/>
      <c r="W32" s="10"/>
      <c r="X32" s="10"/>
      <c r="Y32" s="10"/>
      <c r="Z32" s="10"/>
    </row>
    <row r="33">
      <c r="A33" s="10"/>
      <c r="B33" s="10"/>
      <c r="C33" s="10"/>
      <c r="D33" s="10"/>
      <c r="E33" s="10"/>
      <c r="F33" s="11"/>
      <c r="G33" s="11"/>
      <c r="H33" s="11"/>
      <c r="I33" s="11"/>
      <c r="J33" s="10"/>
      <c r="K33" s="10"/>
      <c r="L33" s="10"/>
      <c r="M33" s="10"/>
      <c r="N33" s="10"/>
      <c r="O33" s="10"/>
      <c r="P33" s="10"/>
      <c r="Q33" s="10"/>
      <c r="R33" s="10"/>
      <c r="S33" s="10"/>
      <c r="T33" s="10"/>
      <c r="U33" s="10"/>
      <c r="V33" s="10"/>
      <c r="W33" s="10"/>
      <c r="X33" s="10"/>
      <c r="Y33" s="10"/>
      <c r="Z33" s="10"/>
    </row>
    <row r="34">
      <c r="A34" s="10"/>
      <c r="B34" s="10"/>
      <c r="C34" s="10"/>
      <c r="D34" s="10"/>
      <c r="E34" s="10"/>
      <c r="F34" s="11"/>
      <c r="G34" s="11"/>
      <c r="H34" s="11"/>
      <c r="I34" s="11"/>
      <c r="J34" s="10"/>
      <c r="K34" s="10"/>
      <c r="L34" s="10"/>
      <c r="M34" s="10"/>
      <c r="N34" s="10"/>
      <c r="O34" s="10"/>
      <c r="P34" s="10"/>
      <c r="Q34" s="10"/>
      <c r="R34" s="10"/>
      <c r="S34" s="10"/>
      <c r="T34" s="10"/>
      <c r="U34" s="10"/>
      <c r="V34" s="10"/>
      <c r="W34" s="10"/>
      <c r="X34" s="10"/>
      <c r="Y34" s="10"/>
      <c r="Z34" s="10"/>
    </row>
    <row r="35">
      <c r="A35" s="10"/>
      <c r="B35" s="10"/>
      <c r="C35" s="10"/>
      <c r="D35" s="10"/>
      <c r="E35" s="10"/>
      <c r="F35" s="11"/>
      <c r="G35" s="11"/>
      <c r="H35" s="11"/>
      <c r="I35" s="11"/>
      <c r="J35" s="10"/>
      <c r="K35" s="10"/>
      <c r="L35" s="10"/>
      <c r="M35" s="10"/>
      <c r="N35" s="10"/>
      <c r="O35" s="10"/>
      <c r="P35" s="10"/>
      <c r="Q35" s="10"/>
      <c r="R35" s="10"/>
      <c r="S35" s="10"/>
      <c r="T35" s="10"/>
      <c r="U35" s="10"/>
      <c r="V35" s="10"/>
      <c r="W35" s="10"/>
      <c r="X35" s="10"/>
      <c r="Y35" s="10"/>
      <c r="Z35" s="10"/>
    </row>
    <row r="36">
      <c r="A36" s="10"/>
      <c r="B36" s="10"/>
      <c r="C36" s="10"/>
      <c r="D36" s="10"/>
      <c r="E36" s="10"/>
      <c r="F36" s="11"/>
      <c r="G36" s="11"/>
      <c r="H36" s="11"/>
      <c r="I36" s="11"/>
      <c r="J36" s="10"/>
      <c r="K36" s="10"/>
      <c r="L36" s="10"/>
      <c r="M36" s="10"/>
      <c r="N36" s="10"/>
      <c r="O36" s="10"/>
      <c r="P36" s="10"/>
      <c r="Q36" s="10"/>
      <c r="R36" s="10"/>
      <c r="S36" s="10"/>
      <c r="T36" s="10"/>
      <c r="U36" s="10"/>
      <c r="V36" s="10"/>
      <c r="W36" s="10"/>
      <c r="X36" s="10"/>
      <c r="Y36" s="10"/>
      <c r="Z36" s="10"/>
    </row>
    <row r="37">
      <c r="A37" s="10"/>
      <c r="B37" s="10"/>
      <c r="C37" s="10"/>
      <c r="D37" s="10"/>
      <c r="E37" s="10"/>
      <c r="F37" s="11"/>
      <c r="G37" s="11"/>
      <c r="H37" s="11"/>
      <c r="I37" s="11"/>
      <c r="J37" s="10"/>
      <c r="K37" s="10"/>
      <c r="L37" s="10"/>
      <c r="M37" s="10"/>
      <c r="N37" s="10"/>
      <c r="O37" s="10"/>
      <c r="P37" s="10"/>
      <c r="Q37" s="10"/>
      <c r="R37" s="10"/>
      <c r="S37" s="10"/>
      <c r="T37" s="10"/>
      <c r="U37" s="10"/>
      <c r="V37" s="10"/>
      <c r="W37" s="10"/>
      <c r="X37" s="10"/>
      <c r="Y37" s="10"/>
      <c r="Z37" s="10"/>
    </row>
    <row r="38">
      <c r="A38" s="10"/>
      <c r="B38" s="10"/>
      <c r="C38" s="10"/>
      <c r="D38" s="10"/>
      <c r="E38" s="10"/>
      <c r="F38" s="11"/>
      <c r="G38" s="11"/>
      <c r="H38" s="11"/>
      <c r="I38" s="11"/>
      <c r="J38" s="10"/>
      <c r="K38" s="10"/>
      <c r="L38" s="10"/>
      <c r="M38" s="10"/>
      <c r="N38" s="10"/>
      <c r="O38" s="10"/>
      <c r="P38" s="10"/>
      <c r="Q38" s="10"/>
      <c r="R38" s="10"/>
      <c r="S38" s="10"/>
      <c r="T38" s="10"/>
      <c r="U38" s="10"/>
      <c r="V38" s="10"/>
      <c r="W38" s="10"/>
      <c r="X38" s="10"/>
      <c r="Y38" s="10"/>
      <c r="Z38" s="10"/>
    </row>
    <row r="39">
      <c r="A39" s="10"/>
      <c r="B39" s="10"/>
      <c r="C39" s="10"/>
      <c r="D39" s="10"/>
      <c r="E39" s="10"/>
      <c r="F39" s="11"/>
      <c r="G39" s="11"/>
      <c r="H39" s="11"/>
      <c r="I39" s="11"/>
      <c r="J39" s="10"/>
      <c r="K39" s="10"/>
      <c r="L39" s="10"/>
      <c r="M39" s="10"/>
      <c r="N39" s="10"/>
      <c r="O39" s="10"/>
      <c r="P39" s="10"/>
      <c r="Q39" s="10"/>
      <c r="R39" s="10"/>
      <c r="S39" s="10"/>
      <c r="T39" s="10"/>
      <c r="U39" s="10"/>
      <c r="V39" s="10"/>
      <c r="W39" s="10"/>
      <c r="X39" s="10"/>
      <c r="Y39" s="10"/>
      <c r="Z39" s="10"/>
    </row>
    <row r="40">
      <c r="A40" s="10"/>
      <c r="B40" s="10"/>
      <c r="C40" s="10"/>
      <c r="D40" s="10"/>
      <c r="E40" s="10"/>
      <c r="F40" s="11"/>
      <c r="G40" s="11"/>
      <c r="H40" s="11"/>
      <c r="I40" s="11"/>
      <c r="J40" s="10"/>
      <c r="K40" s="10"/>
      <c r="L40" s="10"/>
      <c r="M40" s="10"/>
      <c r="N40" s="10"/>
      <c r="O40" s="10"/>
      <c r="P40" s="10"/>
      <c r="Q40" s="10"/>
      <c r="R40" s="10"/>
      <c r="S40" s="10"/>
      <c r="T40" s="10"/>
      <c r="U40" s="10"/>
      <c r="V40" s="10"/>
      <c r="W40" s="10"/>
      <c r="X40" s="10"/>
      <c r="Y40" s="10"/>
      <c r="Z40" s="10"/>
    </row>
    <row r="41">
      <c r="A41" s="10"/>
      <c r="B41" s="10"/>
      <c r="C41" s="10"/>
      <c r="D41" s="10"/>
      <c r="E41" s="10"/>
      <c r="F41" s="11"/>
      <c r="G41" s="11"/>
      <c r="H41" s="11"/>
      <c r="I41" s="11"/>
      <c r="J41" s="10"/>
      <c r="K41" s="10"/>
      <c r="L41" s="10"/>
      <c r="M41" s="10"/>
      <c r="N41" s="10"/>
      <c r="O41" s="10"/>
      <c r="P41" s="10"/>
      <c r="Q41" s="10"/>
      <c r="R41" s="10"/>
      <c r="S41" s="10"/>
      <c r="T41" s="10"/>
      <c r="U41" s="10"/>
      <c r="V41" s="10"/>
      <c r="W41" s="10"/>
      <c r="X41" s="10"/>
      <c r="Y41" s="10"/>
      <c r="Z41" s="10"/>
    </row>
    <row r="42">
      <c r="A42" s="10"/>
      <c r="B42" s="10"/>
      <c r="C42" s="10"/>
      <c r="D42" s="10"/>
      <c r="E42" s="10"/>
      <c r="F42" s="11"/>
      <c r="G42" s="11"/>
      <c r="H42" s="11"/>
      <c r="I42" s="11"/>
      <c r="J42" s="10"/>
      <c r="K42" s="10"/>
      <c r="L42" s="10"/>
      <c r="M42" s="10"/>
      <c r="N42" s="10"/>
      <c r="O42" s="10"/>
      <c r="P42" s="10"/>
      <c r="Q42" s="10"/>
      <c r="R42" s="10"/>
      <c r="S42" s="10"/>
      <c r="T42" s="10"/>
      <c r="U42" s="10"/>
      <c r="V42" s="10"/>
      <c r="W42" s="10"/>
      <c r="X42" s="10"/>
      <c r="Y42" s="10"/>
      <c r="Z42" s="10"/>
    </row>
    <row r="43">
      <c r="A43" s="10"/>
      <c r="B43" s="10"/>
      <c r="C43" s="10"/>
      <c r="D43" s="10"/>
      <c r="E43" s="10"/>
      <c r="F43" s="11"/>
      <c r="G43" s="11"/>
      <c r="H43" s="11"/>
      <c r="I43" s="11"/>
      <c r="J43" s="10"/>
      <c r="K43" s="10"/>
      <c r="L43" s="10"/>
      <c r="M43" s="10"/>
      <c r="N43" s="10"/>
      <c r="O43" s="10"/>
      <c r="P43" s="10"/>
      <c r="Q43" s="10"/>
      <c r="R43" s="10"/>
      <c r="S43" s="10"/>
      <c r="T43" s="10"/>
      <c r="U43" s="10"/>
      <c r="V43" s="10"/>
      <c r="W43" s="10"/>
      <c r="X43" s="10"/>
      <c r="Y43" s="10"/>
      <c r="Z43" s="10"/>
    </row>
    <row r="44">
      <c r="A44" s="10"/>
      <c r="B44" s="10"/>
      <c r="C44" s="10"/>
      <c r="D44" s="10"/>
      <c r="E44" s="10"/>
      <c r="F44" s="11"/>
      <c r="G44" s="11"/>
      <c r="H44" s="11"/>
      <c r="I44" s="11"/>
      <c r="J44" s="10"/>
      <c r="K44" s="10"/>
      <c r="L44" s="10"/>
      <c r="M44" s="10"/>
      <c r="N44" s="10"/>
      <c r="O44" s="10"/>
      <c r="P44" s="10"/>
      <c r="Q44" s="10"/>
      <c r="R44" s="10"/>
      <c r="S44" s="10"/>
      <c r="T44" s="10"/>
      <c r="U44" s="10"/>
      <c r="V44" s="10"/>
      <c r="W44" s="10"/>
      <c r="X44" s="10"/>
      <c r="Y44" s="10"/>
      <c r="Z44" s="10"/>
    </row>
    <row r="45">
      <c r="A45" s="10"/>
      <c r="B45" s="10"/>
      <c r="C45" s="10"/>
      <c r="D45" s="10"/>
      <c r="E45" s="10"/>
      <c r="F45" s="11"/>
      <c r="G45" s="11"/>
      <c r="H45" s="11"/>
      <c r="I45" s="11"/>
      <c r="J45" s="10"/>
      <c r="K45" s="10"/>
      <c r="L45" s="10"/>
      <c r="M45" s="10"/>
      <c r="N45" s="10"/>
      <c r="O45" s="10"/>
      <c r="P45" s="10"/>
      <c r="Q45" s="10"/>
      <c r="R45" s="10"/>
      <c r="S45" s="10"/>
      <c r="T45" s="10"/>
      <c r="U45" s="10"/>
      <c r="V45" s="10"/>
      <c r="W45" s="10"/>
      <c r="X45" s="10"/>
      <c r="Y45" s="10"/>
      <c r="Z45" s="10"/>
    </row>
    <row r="46">
      <c r="A46" s="10"/>
      <c r="B46" s="10"/>
      <c r="C46" s="10"/>
      <c r="D46" s="10"/>
      <c r="E46" s="10"/>
      <c r="F46" s="11"/>
      <c r="G46" s="11"/>
      <c r="H46" s="11"/>
      <c r="I46" s="11"/>
      <c r="J46" s="10"/>
      <c r="K46" s="10"/>
      <c r="L46" s="10"/>
      <c r="M46" s="10"/>
      <c r="N46" s="10"/>
      <c r="O46" s="10"/>
      <c r="P46" s="10"/>
      <c r="Q46" s="10"/>
      <c r="R46" s="10"/>
      <c r="S46" s="10"/>
      <c r="T46" s="10"/>
      <c r="U46" s="10"/>
      <c r="V46" s="10"/>
      <c r="W46" s="10"/>
      <c r="X46" s="10"/>
      <c r="Y46" s="10"/>
      <c r="Z46" s="10"/>
    </row>
    <row r="47">
      <c r="A47" s="10"/>
      <c r="B47" s="10"/>
      <c r="C47" s="10"/>
      <c r="D47" s="10"/>
      <c r="E47" s="10"/>
      <c r="F47" s="11"/>
      <c r="G47" s="11"/>
      <c r="H47" s="11"/>
      <c r="I47" s="11"/>
      <c r="J47" s="10"/>
      <c r="K47" s="10"/>
      <c r="L47" s="10"/>
      <c r="M47" s="10"/>
      <c r="N47" s="10"/>
      <c r="O47" s="10"/>
      <c r="P47" s="10"/>
      <c r="Q47" s="10"/>
      <c r="R47" s="10"/>
      <c r="S47" s="10"/>
      <c r="T47" s="10"/>
      <c r="U47" s="10"/>
      <c r="V47" s="10"/>
      <c r="W47" s="10"/>
      <c r="X47" s="10"/>
      <c r="Y47" s="10"/>
      <c r="Z47" s="10"/>
    </row>
    <row r="48">
      <c r="A48" s="10"/>
      <c r="B48" s="10"/>
      <c r="C48" s="10"/>
      <c r="D48" s="10"/>
      <c r="E48" s="10"/>
      <c r="F48" s="11"/>
      <c r="G48" s="11"/>
      <c r="H48" s="11"/>
      <c r="I48" s="11"/>
      <c r="J48" s="10"/>
      <c r="K48" s="10"/>
      <c r="L48" s="10"/>
      <c r="M48" s="10"/>
      <c r="N48" s="10"/>
      <c r="O48" s="10"/>
      <c r="P48" s="10"/>
      <c r="Q48" s="10"/>
      <c r="R48" s="10"/>
      <c r="S48" s="10"/>
      <c r="T48" s="10"/>
      <c r="U48" s="10"/>
      <c r="V48" s="10"/>
      <c r="W48" s="10"/>
      <c r="X48" s="10"/>
      <c r="Y48" s="10"/>
      <c r="Z48" s="10"/>
    </row>
    <row r="49">
      <c r="A49" s="10"/>
      <c r="B49" s="10"/>
      <c r="C49" s="10"/>
      <c r="D49" s="10"/>
      <c r="E49" s="10"/>
      <c r="F49" s="11"/>
      <c r="G49" s="11"/>
      <c r="H49" s="11"/>
      <c r="I49" s="11"/>
      <c r="J49" s="10"/>
      <c r="K49" s="10"/>
      <c r="L49" s="10"/>
      <c r="M49" s="10"/>
      <c r="N49" s="10"/>
      <c r="O49" s="10"/>
      <c r="P49" s="10"/>
      <c r="Q49" s="10"/>
      <c r="R49" s="10"/>
      <c r="S49" s="10"/>
      <c r="T49" s="10"/>
      <c r="U49" s="10"/>
      <c r="V49" s="10"/>
      <c r="W49" s="10"/>
      <c r="X49" s="10"/>
      <c r="Y49" s="10"/>
      <c r="Z49" s="10"/>
    </row>
    <row r="50">
      <c r="A50" s="10"/>
      <c r="B50" s="10"/>
      <c r="C50" s="10"/>
      <c r="D50" s="10"/>
      <c r="E50" s="10"/>
      <c r="F50" s="11"/>
      <c r="G50" s="11"/>
      <c r="H50" s="11"/>
      <c r="I50" s="11"/>
      <c r="J50" s="10"/>
      <c r="K50" s="10"/>
      <c r="L50" s="10"/>
      <c r="M50" s="10"/>
      <c r="N50" s="10"/>
      <c r="O50" s="10"/>
      <c r="P50" s="10"/>
      <c r="Q50" s="10"/>
      <c r="R50" s="10"/>
      <c r="S50" s="10"/>
      <c r="T50" s="10"/>
      <c r="U50" s="10"/>
      <c r="V50" s="10"/>
      <c r="W50" s="10"/>
      <c r="X50" s="10"/>
      <c r="Y50" s="10"/>
      <c r="Z50" s="10"/>
    </row>
    <row r="51">
      <c r="A51" s="10"/>
      <c r="B51" s="10"/>
      <c r="C51" s="10"/>
      <c r="D51" s="10"/>
      <c r="E51" s="10"/>
      <c r="F51" s="11"/>
      <c r="G51" s="11"/>
      <c r="H51" s="11"/>
      <c r="I51" s="11"/>
      <c r="J51" s="10"/>
      <c r="K51" s="10"/>
      <c r="L51" s="10"/>
      <c r="M51" s="10"/>
      <c r="N51" s="10"/>
      <c r="O51" s="10"/>
      <c r="P51" s="10"/>
      <c r="Q51" s="10"/>
      <c r="R51" s="10"/>
      <c r="S51" s="10"/>
      <c r="T51" s="10"/>
      <c r="U51" s="10"/>
      <c r="V51" s="10"/>
      <c r="W51" s="10"/>
      <c r="X51" s="10"/>
      <c r="Y51" s="10"/>
      <c r="Z51" s="10"/>
    </row>
    <row r="52">
      <c r="A52" s="10"/>
      <c r="B52" s="10"/>
      <c r="C52" s="10"/>
      <c r="D52" s="10"/>
      <c r="E52" s="10"/>
      <c r="F52" s="11"/>
      <c r="G52" s="11"/>
      <c r="H52" s="11"/>
      <c r="I52" s="11"/>
      <c r="J52" s="10"/>
      <c r="K52" s="10"/>
      <c r="L52" s="10"/>
      <c r="M52" s="10"/>
      <c r="N52" s="10"/>
      <c r="O52" s="10"/>
      <c r="P52" s="10"/>
      <c r="Q52" s="10"/>
      <c r="R52" s="10"/>
      <c r="S52" s="10"/>
      <c r="T52" s="10"/>
      <c r="U52" s="10"/>
      <c r="V52" s="10"/>
      <c r="W52" s="10"/>
      <c r="X52" s="10"/>
      <c r="Y52" s="10"/>
      <c r="Z52" s="10"/>
    </row>
    <row r="53">
      <c r="A53" s="10"/>
      <c r="B53" s="10"/>
      <c r="C53" s="10"/>
      <c r="D53" s="10"/>
      <c r="E53" s="10"/>
      <c r="F53" s="11"/>
      <c r="G53" s="11"/>
      <c r="H53" s="11"/>
      <c r="I53" s="11"/>
      <c r="J53" s="10"/>
      <c r="K53" s="10"/>
      <c r="L53" s="10"/>
      <c r="M53" s="10"/>
      <c r="N53" s="10"/>
      <c r="O53" s="10"/>
      <c r="P53" s="10"/>
      <c r="Q53" s="10"/>
      <c r="R53" s="10"/>
      <c r="S53" s="10"/>
      <c r="T53" s="10"/>
      <c r="U53" s="10"/>
      <c r="V53" s="10"/>
      <c r="W53" s="10"/>
      <c r="X53" s="10"/>
      <c r="Y53" s="10"/>
      <c r="Z53" s="10"/>
    </row>
    <row r="54">
      <c r="A54" s="10"/>
      <c r="B54" s="10"/>
      <c r="C54" s="10"/>
      <c r="D54" s="10"/>
      <c r="E54" s="10"/>
      <c r="F54" s="11"/>
      <c r="G54" s="11"/>
      <c r="H54" s="11"/>
      <c r="I54" s="11"/>
      <c r="J54" s="10"/>
      <c r="K54" s="10"/>
      <c r="L54" s="10"/>
      <c r="M54" s="10"/>
      <c r="N54" s="10"/>
      <c r="O54" s="10"/>
      <c r="P54" s="10"/>
      <c r="Q54" s="10"/>
      <c r="R54" s="10"/>
      <c r="S54" s="10"/>
      <c r="T54" s="10"/>
      <c r="U54" s="10"/>
      <c r="V54" s="10"/>
      <c r="W54" s="10"/>
      <c r="X54" s="10"/>
      <c r="Y54" s="10"/>
      <c r="Z54" s="10"/>
    </row>
    <row r="55">
      <c r="A55" s="10"/>
      <c r="B55" s="10"/>
      <c r="C55" s="10"/>
      <c r="D55" s="10"/>
      <c r="E55" s="10"/>
      <c r="F55" s="11"/>
      <c r="G55" s="11"/>
      <c r="H55" s="11"/>
      <c r="I55" s="11"/>
      <c r="J55" s="10"/>
      <c r="K55" s="10"/>
      <c r="L55" s="10"/>
      <c r="M55" s="10"/>
      <c r="N55" s="10"/>
      <c r="O55" s="10"/>
      <c r="P55" s="10"/>
      <c r="Q55" s="10"/>
      <c r="R55" s="10"/>
      <c r="S55" s="10"/>
      <c r="T55" s="10"/>
      <c r="U55" s="10"/>
      <c r="V55" s="10"/>
      <c r="W55" s="10"/>
      <c r="X55" s="10"/>
      <c r="Y55" s="10"/>
      <c r="Z55" s="10"/>
    </row>
    <row r="56">
      <c r="A56" s="10"/>
      <c r="B56" s="10"/>
      <c r="C56" s="10"/>
      <c r="D56" s="10"/>
      <c r="E56" s="10"/>
      <c r="F56" s="11"/>
      <c r="G56" s="11"/>
      <c r="H56" s="11"/>
      <c r="I56" s="11"/>
      <c r="J56" s="10"/>
      <c r="K56" s="10"/>
      <c r="L56" s="10"/>
      <c r="M56" s="10"/>
      <c r="N56" s="10"/>
      <c r="O56" s="10"/>
      <c r="P56" s="10"/>
      <c r="Q56" s="10"/>
      <c r="R56" s="10"/>
      <c r="S56" s="10"/>
      <c r="T56" s="10"/>
      <c r="U56" s="10"/>
      <c r="V56" s="10"/>
      <c r="W56" s="10"/>
      <c r="X56" s="10"/>
      <c r="Y56" s="10"/>
      <c r="Z56" s="10"/>
    </row>
    <row r="57">
      <c r="A57" s="10"/>
      <c r="B57" s="10"/>
      <c r="C57" s="10"/>
      <c r="D57" s="10"/>
      <c r="E57" s="10"/>
      <c r="F57" s="11"/>
      <c r="G57" s="11"/>
      <c r="H57" s="11"/>
      <c r="I57" s="11"/>
      <c r="J57" s="10"/>
      <c r="K57" s="10"/>
      <c r="L57" s="10"/>
      <c r="M57" s="10"/>
      <c r="N57" s="10"/>
      <c r="O57" s="10"/>
      <c r="P57" s="10"/>
      <c r="Q57" s="10"/>
      <c r="R57" s="10"/>
      <c r="S57" s="10"/>
      <c r="T57" s="10"/>
      <c r="U57" s="10"/>
      <c r="V57" s="10"/>
      <c r="W57" s="10"/>
      <c r="X57" s="10"/>
      <c r="Y57" s="10"/>
      <c r="Z57" s="10"/>
    </row>
    <row r="58">
      <c r="A58" s="10"/>
      <c r="B58" s="10"/>
      <c r="C58" s="10"/>
      <c r="D58" s="10"/>
      <c r="E58" s="10"/>
      <c r="F58" s="11"/>
      <c r="G58" s="11"/>
      <c r="H58" s="11"/>
      <c r="I58" s="11"/>
      <c r="J58" s="10"/>
      <c r="K58" s="10"/>
      <c r="L58" s="10"/>
      <c r="M58" s="10"/>
      <c r="N58" s="10"/>
      <c r="O58" s="10"/>
      <c r="P58" s="10"/>
      <c r="Q58" s="10"/>
      <c r="R58" s="10"/>
      <c r="S58" s="10"/>
      <c r="T58" s="10"/>
      <c r="U58" s="10"/>
      <c r="V58" s="10"/>
      <c r="W58" s="10"/>
      <c r="X58" s="10"/>
      <c r="Y58" s="10"/>
      <c r="Z58" s="10"/>
    </row>
    <row r="59">
      <c r="A59" s="10"/>
      <c r="B59" s="10"/>
      <c r="C59" s="10"/>
      <c r="D59" s="10"/>
      <c r="E59" s="10"/>
      <c r="F59" s="11"/>
      <c r="G59" s="11"/>
      <c r="H59" s="11"/>
      <c r="I59" s="11"/>
      <c r="J59" s="10"/>
      <c r="K59" s="10"/>
      <c r="L59" s="10"/>
      <c r="M59" s="10"/>
      <c r="N59" s="10"/>
      <c r="O59" s="10"/>
      <c r="P59" s="10"/>
      <c r="Q59" s="10"/>
      <c r="R59" s="10"/>
      <c r="S59" s="10"/>
      <c r="T59" s="10"/>
      <c r="U59" s="10"/>
      <c r="V59" s="10"/>
      <c r="W59" s="10"/>
      <c r="X59" s="10"/>
      <c r="Y59" s="10"/>
      <c r="Z59" s="10"/>
    </row>
    <row r="60">
      <c r="A60" s="10"/>
      <c r="B60" s="10"/>
      <c r="C60" s="10"/>
      <c r="D60" s="10"/>
      <c r="E60" s="10"/>
      <c r="F60" s="11"/>
      <c r="G60" s="11"/>
      <c r="H60" s="11"/>
      <c r="I60" s="11"/>
      <c r="J60" s="10"/>
      <c r="K60" s="10"/>
      <c r="L60" s="10"/>
      <c r="M60" s="10"/>
      <c r="N60" s="10"/>
      <c r="O60" s="10"/>
      <c r="P60" s="10"/>
      <c r="Q60" s="10"/>
      <c r="R60" s="10"/>
      <c r="S60" s="10"/>
      <c r="T60" s="10"/>
      <c r="U60" s="10"/>
      <c r="V60" s="10"/>
      <c r="W60" s="10"/>
      <c r="X60" s="10"/>
      <c r="Y60" s="10"/>
      <c r="Z60" s="10"/>
    </row>
    <row r="61">
      <c r="A61" s="10"/>
      <c r="B61" s="10"/>
      <c r="C61" s="10"/>
      <c r="D61" s="10"/>
      <c r="E61" s="10"/>
      <c r="F61" s="11"/>
      <c r="G61" s="11"/>
      <c r="H61" s="11"/>
      <c r="I61" s="11"/>
      <c r="J61" s="10"/>
      <c r="K61" s="10"/>
      <c r="L61" s="10"/>
      <c r="M61" s="10"/>
      <c r="N61" s="10"/>
      <c r="O61" s="10"/>
      <c r="P61" s="10"/>
      <c r="Q61" s="10"/>
      <c r="R61" s="10"/>
      <c r="S61" s="10"/>
      <c r="T61" s="10"/>
      <c r="U61" s="10"/>
      <c r="V61" s="10"/>
      <c r="W61" s="10"/>
      <c r="X61" s="10"/>
      <c r="Y61" s="10"/>
      <c r="Z61" s="10"/>
    </row>
    <row r="62">
      <c r="A62" s="10"/>
      <c r="B62" s="10"/>
      <c r="C62" s="10"/>
      <c r="D62" s="10"/>
      <c r="E62" s="10"/>
      <c r="F62" s="11"/>
      <c r="G62" s="11"/>
      <c r="H62" s="11"/>
      <c r="I62" s="11"/>
      <c r="J62" s="10"/>
      <c r="K62" s="10"/>
      <c r="L62" s="10"/>
      <c r="M62" s="10"/>
      <c r="N62" s="10"/>
      <c r="O62" s="10"/>
      <c r="P62" s="10"/>
      <c r="Q62" s="10"/>
      <c r="R62" s="10"/>
      <c r="S62" s="10"/>
      <c r="T62" s="10"/>
      <c r="U62" s="10"/>
      <c r="V62" s="10"/>
      <c r="W62" s="10"/>
      <c r="X62" s="10"/>
      <c r="Y62" s="10"/>
      <c r="Z62" s="10"/>
    </row>
    <row r="63">
      <c r="A63" s="10"/>
      <c r="B63" s="10"/>
      <c r="C63" s="10"/>
      <c r="D63" s="10"/>
      <c r="E63" s="10"/>
      <c r="F63" s="11"/>
      <c r="G63" s="11"/>
      <c r="H63" s="11"/>
      <c r="I63" s="11"/>
      <c r="J63" s="10"/>
      <c r="K63" s="10"/>
      <c r="L63" s="10"/>
      <c r="M63" s="10"/>
      <c r="N63" s="10"/>
      <c r="O63" s="10"/>
      <c r="P63" s="10"/>
      <c r="Q63" s="10"/>
      <c r="R63" s="10"/>
      <c r="S63" s="10"/>
      <c r="T63" s="10"/>
      <c r="U63" s="10"/>
      <c r="V63" s="10"/>
      <c r="W63" s="10"/>
      <c r="X63" s="10"/>
      <c r="Y63" s="10"/>
      <c r="Z63" s="10"/>
    </row>
    <row r="64">
      <c r="A64" s="10"/>
      <c r="B64" s="10"/>
      <c r="C64" s="10"/>
      <c r="D64" s="10"/>
      <c r="E64" s="10"/>
      <c r="F64" s="11"/>
      <c r="G64" s="11"/>
      <c r="H64" s="11"/>
      <c r="I64" s="11"/>
      <c r="J64" s="10"/>
      <c r="K64" s="10"/>
      <c r="L64" s="10"/>
      <c r="M64" s="10"/>
      <c r="N64" s="10"/>
      <c r="O64" s="10"/>
      <c r="P64" s="10"/>
      <c r="Q64" s="10"/>
      <c r="R64" s="10"/>
      <c r="S64" s="10"/>
      <c r="T64" s="10"/>
      <c r="U64" s="10"/>
      <c r="V64" s="10"/>
      <c r="W64" s="10"/>
      <c r="X64" s="10"/>
      <c r="Y64" s="10"/>
      <c r="Z64" s="10"/>
    </row>
    <row r="65">
      <c r="A65" s="10"/>
      <c r="B65" s="10"/>
      <c r="C65" s="10"/>
      <c r="D65" s="10"/>
      <c r="E65" s="10"/>
      <c r="F65" s="11"/>
      <c r="G65" s="11"/>
      <c r="H65" s="11"/>
      <c r="I65" s="11"/>
      <c r="J65" s="10"/>
      <c r="K65" s="10"/>
      <c r="L65" s="10"/>
      <c r="M65" s="10"/>
      <c r="N65" s="10"/>
      <c r="O65" s="10"/>
      <c r="P65" s="10"/>
      <c r="Q65" s="10"/>
      <c r="R65" s="10"/>
      <c r="S65" s="10"/>
      <c r="T65" s="10"/>
      <c r="U65" s="10"/>
      <c r="V65" s="10"/>
      <c r="W65" s="10"/>
      <c r="X65" s="10"/>
      <c r="Y65" s="10"/>
      <c r="Z65" s="10"/>
    </row>
    <row r="66">
      <c r="A66" s="10"/>
      <c r="B66" s="10"/>
      <c r="C66" s="10"/>
      <c r="D66" s="10"/>
      <c r="E66" s="10"/>
      <c r="F66" s="11"/>
      <c r="G66" s="11"/>
      <c r="H66" s="11"/>
      <c r="I66" s="11"/>
      <c r="J66" s="10"/>
      <c r="K66" s="10"/>
      <c r="L66" s="10"/>
      <c r="M66" s="10"/>
      <c r="N66" s="10"/>
      <c r="O66" s="10"/>
      <c r="P66" s="10"/>
      <c r="Q66" s="10"/>
      <c r="R66" s="10"/>
      <c r="S66" s="10"/>
      <c r="T66" s="10"/>
      <c r="U66" s="10"/>
      <c r="V66" s="10"/>
      <c r="W66" s="10"/>
      <c r="X66" s="10"/>
      <c r="Y66" s="10"/>
      <c r="Z66" s="10"/>
    </row>
    <row r="67">
      <c r="A67" s="10"/>
      <c r="B67" s="10"/>
      <c r="C67" s="10"/>
      <c r="D67" s="10"/>
      <c r="E67" s="10"/>
      <c r="F67" s="11"/>
      <c r="G67" s="11"/>
      <c r="H67" s="11"/>
      <c r="I67" s="11"/>
      <c r="J67" s="10"/>
      <c r="K67" s="10"/>
      <c r="L67" s="10"/>
      <c r="M67" s="10"/>
      <c r="N67" s="10"/>
      <c r="O67" s="10"/>
      <c r="P67" s="10"/>
      <c r="Q67" s="10"/>
      <c r="R67" s="10"/>
      <c r="S67" s="10"/>
      <c r="T67" s="10"/>
      <c r="U67" s="10"/>
      <c r="V67" s="10"/>
      <c r="W67" s="10"/>
      <c r="X67" s="10"/>
      <c r="Y67" s="10"/>
      <c r="Z67" s="10"/>
    </row>
    <row r="68">
      <c r="A68" s="10"/>
      <c r="B68" s="10"/>
      <c r="C68" s="10"/>
      <c r="D68" s="10"/>
      <c r="E68" s="10"/>
      <c r="F68" s="11"/>
      <c r="G68" s="11"/>
      <c r="H68" s="11"/>
      <c r="I68" s="11"/>
      <c r="J68" s="10"/>
      <c r="K68" s="10"/>
      <c r="L68" s="10"/>
      <c r="M68" s="10"/>
      <c r="N68" s="10"/>
      <c r="O68" s="10"/>
      <c r="P68" s="10"/>
      <c r="Q68" s="10"/>
      <c r="R68" s="10"/>
      <c r="S68" s="10"/>
      <c r="T68" s="10"/>
      <c r="U68" s="10"/>
      <c r="V68" s="10"/>
      <c r="W68" s="10"/>
      <c r="X68" s="10"/>
      <c r="Y68" s="10"/>
      <c r="Z68" s="10"/>
    </row>
    <row r="69">
      <c r="A69" s="10"/>
      <c r="B69" s="10"/>
      <c r="C69" s="10"/>
      <c r="D69" s="10"/>
      <c r="E69" s="10"/>
      <c r="F69" s="11"/>
      <c r="G69" s="11"/>
      <c r="H69" s="11"/>
      <c r="I69" s="11"/>
      <c r="J69" s="10"/>
      <c r="K69" s="10"/>
      <c r="L69" s="10"/>
      <c r="M69" s="10"/>
      <c r="N69" s="10"/>
      <c r="O69" s="10"/>
      <c r="P69" s="10"/>
      <c r="Q69" s="10"/>
      <c r="R69" s="10"/>
      <c r="S69" s="10"/>
      <c r="T69" s="10"/>
      <c r="U69" s="10"/>
      <c r="V69" s="10"/>
      <c r="W69" s="10"/>
      <c r="X69" s="10"/>
      <c r="Y69" s="10"/>
      <c r="Z69" s="10"/>
    </row>
    <row r="70">
      <c r="A70" s="10"/>
      <c r="B70" s="10"/>
      <c r="C70" s="10"/>
      <c r="D70" s="10"/>
      <c r="E70" s="10"/>
      <c r="F70" s="11"/>
      <c r="G70" s="11"/>
      <c r="H70" s="11"/>
      <c r="I70" s="11"/>
      <c r="J70" s="10"/>
      <c r="K70" s="10"/>
      <c r="L70" s="10"/>
      <c r="M70" s="10"/>
      <c r="N70" s="10"/>
      <c r="O70" s="10"/>
      <c r="P70" s="10"/>
      <c r="Q70" s="10"/>
      <c r="R70" s="10"/>
      <c r="S70" s="10"/>
      <c r="T70" s="10"/>
      <c r="U70" s="10"/>
      <c r="V70" s="10"/>
      <c r="W70" s="10"/>
      <c r="X70" s="10"/>
      <c r="Y70" s="10"/>
      <c r="Z70" s="10"/>
    </row>
    <row r="71">
      <c r="A71" s="10"/>
      <c r="B71" s="10"/>
      <c r="C71" s="10"/>
      <c r="D71" s="10"/>
      <c r="E71" s="10"/>
      <c r="F71" s="11"/>
      <c r="G71" s="11"/>
      <c r="H71" s="11"/>
      <c r="I71" s="11"/>
      <c r="J71" s="10"/>
      <c r="K71" s="10"/>
      <c r="L71" s="10"/>
      <c r="M71" s="10"/>
      <c r="N71" s="10"/>
      <c r="O71" s="10"/>
      <c r="P71" s="10"/>
      <c r="Q71" s="10"/>
      <c r="R71" s="10"/>
      <c r="S71" s="10"/>
      <c r="T71" s="10"/>
      <c r="U71" s="10"/>
      <c r="V71" s="10"/>
      <c r="W71" s="10"/>
      <c r="X71" s="10"/>
      <c r="Y71" s="10"/>
      <c r="Z71" s="10"/>
    </row>
    <row r="72">
      <c r="A72" s="10"/>
      <c r="B72" s="10"/>
      <c r="C72" s="10"/>
      <c r="D72" s="10"/>
      <c r="E72" s="10"/>
      <c r="F72" s="11"/>
      <c r="G72" s="11"/>
      <c r="H72" s="11"/>
      <c r="I72" s="11"/>
      <c r="J72" s="10"/>
      <c r="K72" s="10"/>
      <c r="L72" s="10"/>
      <c r="M72" s="10"/>
      <c r="N72" s="10"/>
      <c r="O72" s="10"/>
      <c r="P72" s="10"/>
      <c r="Q72" s="10"/>
      <c r="R72" s="10"/>
      <c r="S72" s="10"/>
      <c r="T72" s="10"/>
      <c r="U72" s="10"/>
      <c r="V72" s="10"/>
      <c r="W72" s="10"/>
      <c r="X72" s="10"/>
      <c r="Y72" s="10"/>
      <c r="Z72" s="10"/>
    </row>
    <row r="73">
      <c r="A73" s="10"/>
      <c r="B73" s="10"/>
      <c r="C73" s="10"/>
      <c r="D73" s="10"/>
      <c r="E73" s="10"/>
      <c r="F73" s="11"/>
      <c r="G73" s="11"/>
      <c r="H73" s="11"/>
      <c r="I73" s="11"/>
      <c r="J73" s="10"/>
      <c r="K73" s="10"/>
      <c r="L73" s="10"/>
      <c r="M73" s="10"/>
      <c r="N73" s="10"/>
      <c r="O73" s="10"/>
      <c r="P73" s="10"/>
      <c r="Q73" s="10"/>
      <c r="R73" s="10"/>
      <c r="S73" s="10"/>
      <c r="T73" s="10"/>
      <c r="U73" s="10"/>
      <c r="V73" s="10"/>
      <c r="W73" s="10"/>
      <c r="X73" s="10"/>
      <c r="Y73" s="10"/>
      <c r="Z73" s="10"/>
    </row>
    <row r="74">
      <c r="A74" s="10"/>
      <c r="B74" s="10"/>
      <c r="C74" s="10"/>
      <c r="D74" s="10"/>
      <c r="E74" s="10"/>
      <c r="F74" s="11"/>
      <c r="G74" s="11"/>
      <c r="H74" s="11"/>
      <c r="I74" s="11"/>
      <c r="J74" s="10"/>
      <c r="K74" s="10"/>
      <c r="L74" s="10"/>
      <c r="M74" s="10"/>
      <c r="N74" s="10"/>
      <c r="O74" s="10"/>
      <c r="P74" s="10"/>
      <c r="Q74" s="10"/>
      <c r="R74" s="10"/>
      <c r="S74" s="10"/>
      <c r="T74" s="10"/>
      <c r="U74" s="10"/>
      <c r="V74" s="10"/>
      <c r="W74" s="10"/>
      <c r="X74" s="10"/>
      <c r="Y74" s="10"/>
      <c r="Z74" s="10"/>
    </row>
    <row r="75">
      <c r="A75" s="10"/>
      <c r="B75" s="10"/>
      <c r="C75" s="10"/>
      <c r="D75" s="10"/>
      <c r="E75" s="10"/>
      <c r="F75" s="11"/>
      <c r="G75" s="11"/>
      <c r="H75" s="11"/>
      <c r="I75" s="11"/>
      <c r="J75" s="10"/>
      <c r="K75" s="10"/>
      <c r="L75" s="10"/>
      <c r="M75" s="10"/>
      <c r="N75" s="10"/>
      <c r="O75" s="10"/>
      <c r="P75" s="10"/>
      <c r="Q75" s="10"/>
      <c r="R75" s="10"/>
      <c r="S75" s="10"/>
      <c r="T75" s="10"/>
      <c r="U75" s="10"/>
      <c r="V75" s="10"/>
      <c r="W75" s="10"/>
      <c r="X75" s="10"/>
      <c r="Y75" s="10"/>
      <c r="Z75" s="10"/>
    </row>
    <row r="76">
      <c r="A76" s="10"/>
      <c r="B76" s="10"/>
      <c r="C76" s="10"/>
      <c r="D76" s="10"/>
      <c r="E76" s="10"/>
      <c r="F76" s="11"/>
      <c r="G76" s="11"/>
      <c r="H76" s="11"/>
      <c r="I76" s="11"/>
      <c r="J76" s="10"/>
      <c r="K76" s="10"/>
      <c r="L76" s="10"/>
      <c r="M76" s="10"/>
      <c r="N76" s="10"/>
      <c r="O76" s="10"/>
      <c r="P76" s="10"/>
      <c r="Q76" s="10"/>
      <c r="R76" s="10"/>
      <c r="S76" s="10"/>
      <c r="T76" s="10"/>
      <c r="U76" s="10"/>
      <c r="V76" s="10"/>
      <c r="W76" s="10"/>
      <c r="X76" s="10"/>
      <c r="Y76" s="10"/>
      <c r="Z76" s="10"/>
    </row>
    <row r="77">
      <c r="A77" s="10"/>
      <c r="B77" s="10"/>
      <c r="C77" s="10"/>
      <c r="D77" s="10"/>
      <c r="E77" s="10"/>
      <c r="F77" s="11"/>
      <c r="G77" s="11"/>
      <c r="H77" s="11"/>
      <c r="I77" s="11"/>
      <c r="J77" s="10"/>
      <c r="K77" s="10"/>
      <c r="L77" s="10"/>
      <c r="M77" s="10"/>
      <c r="N77" s="10"/>
      <c r="O77" s="10"/>
      <c r="P77" s="10"/>
      <c r="Q77" s="10"/>
      <c r="R77" s="10"/>
      <c r="S77" s="10"/>
      <c r="T77" s="10"/>
      <c r="U77" s="10"/>
      <c r="V77" s="10"/>
      <c r="W77" s="10"/>
      <c r="X77" s="10"/>
      <c r="Y77" s="10"/>
      <c r="Z77" s="10"/>
    </row>
    <row r="78">
      <c r="A78" s="10"/>
      <c r="B78" s="10"/>
      <c r="C78" s="10"/>
      <c r="D78" s="10"/>
      <c r="E78" s="10"/>
      <c r="F78" s="11"/>
      <c r="G78" s="11"/>
      <c r="H78" s="11"/>
      <c r="I78" s="11"/>
      <c r="J78" s="10"/>
      <c r="K78" s="10"/>
      <c r="L78" s="10"/>
      <c r="M78" s="10"/>
      <c r="N78" s="10"/>
      <c r="O78" s="10"/>
      <c r="P78" s="10"/>
      <c r="Q78" s="10"/>
      <c r="R78" s="10"/>
      <c r="S78" s="10"/>
      <c r="T78" s="10"/>
      <c r="U78" s="10"/>
      <c r="V78" s="10"/>
      <c r="W78" s="10"/>
      <c r="X78" s="10"/>
      <c r="Y78" s="10"/>
      <c r="Z78" s="10"/>
    </row>
    <row r="79">
      <c r="A79" s="10"/>
      <c r="B79" s="10"/>
      <c r="C79" s="10"/>
      <c r="D79" s="10"/>
      <c r="E79" s="10"/>
      <c r="F79" s="11"/>
      <c r="G79" s="11"/>
      <c r="H79" s="11"/>
      <c r="I79" s="11"/>
      <c r="J79" s="10"/>
      <c r="K79" s="10"/>
      <c r="L79" s="10"/>
      <c r="M79" s="10"/>
      <c r="N79" s="10"/>
      <c r="O79" s="10"/>
      <c r="P79" s="10"/>
      <c r="Q79" s="10"/>
      <c r="R79" s="10"/>
      <c r="S79" s="10"/>
      <c r="T79" s="10"/>
      <c r="U79" s="10"/>
      <c r="V79" s="10"/>
      <c r="W79" s="10"/>
      <c r="X79" s="10"/>
      <c r="Y79" s="10"/>
      <c r="Z79" s="10"/>
    </row>
    <row r="80">
      <c r="A80" s="10"/>
      <c r="B80" s="10"/>
      <c r="C80" s="10"/>
      <c r="D80" s="10"/>
      <c r="E80" s="10"/>
      <c r="F80" s="11"/>
      <c r="G80" s="11"/>
      <c r="H80" s="11"/>
      <c r="I80" s="11"/>
      <c r="J80" s="10"/>
      <c r="K80" s="10"/>
      <c r="L80" s="10"/>
      <c r="M80" s="10"/>
      <c r="N80" s="10"/>
      <c r="O80" s="10"/>
      <c r="P80" s="10"/>
      <c r="Q80" s="10"/>
      <c r="R80" s="10"/>
      <c r="S80" s="10"/>
      <c r="T80" s="10"/>
      <c r="U80" s="10"/>
      <c r="V80" s="10"/>
      <c r="W80" s="10"/>
      <c r="X80" s="10"/>
      <c r="Y80" s="10"/>
      <c r="Z80" s="10"/>
    </row>
    <row r="81">
      <c r="A81" s="10"/>
      <c r="B81" s="10"/>
      <c r="C81" s="10"/>
      <c r="D81" s="10"/>
      <c r="E81" s="10"/>
      <c r="F81" s="11"/>
      <c r="G81" s="11"/>
      <c r="H81" s="11"/>
      <c r="I81" s="11"/>
      <c r="J81" s="10"/>
      <c r="K81" s="10"/>
      <c r="L81" s="10"/>
      <c r="M81" s="10"/>
      <c r="N81" s="10"/>
      <c r="O81" s="10"/>
      <c r="P81" s="10"/>
      <c r="Q81" s="10"/>
      <c r="R81" s="10"/>
      <c r="S81" s="10"/>
      <c r="T81" s="10"/>
      <c r="U81" s="10"/>
      <c r="V81" s="10"/>
      <c r="W81" s="10"/>
      <c r="X81" s="10"/>
      <c r="Y81" s="10"/>
      <c r="Z81" s="10"/>
    </row>
    <row r="82">
      <c r="A82" s="10"/>
      <c r="B82" s="10"/>
      <c r="C82" s="10"/>
      <c r="D82" s="10"/>
      <c r="E82" s="10"/>
      <c r="F82" s="11"/>
      <c r="G82" s="11"/>
      <c r="H82" s="11"/>
      <c r="I82" s="11"/>
      <c r="J82" s="10"/>
      <c r="K82" s="10"/>
      <c r="L82" s="10"/>
      <c r="M82" s="10"/>
      <c r="N82" s="10"/>
      <c r="O82" s="10"/>
      <c r="P82" s="10"/>
      <c r="Q82" s="10"/>
      <c r="R82" s="10"/>
      <c r="S82" s="10"/>
      <c r="T82" s="10"/>
      <c r="U82" s="10"/>
      <c r="V82" s="10"/>
      <c r="W82" s="10"/>
      <c r="X82" s="10"/>
      <c r="Y82" s="10"/>
      <c r="Z82" s="10"/>
    </row>
    <row r="83">
      <c r="A83" s="10"/>
      <c r="B83" s="10"/>
      <c r="C83" s="10"/>
      <c r="D83" s="10"/>
      <c r="E83" s="10"/>
      <c r="F83" s="11"/>
      <c r="G83" s="11"/>
      <c r="H83" s="11"/>
      <c r="I83" s="11"/>
      <c r="J83" s="10"/>
      <c r="K83" s="10"/>
      <c r="L83" s="10"/>
      <c r="M83" s="10"/>
      <c r="N83" s="10"/>
      <c r="O83" s="10"/>
      <c r="P83" s="10"/>
      <c r="Q83" s="10"/>
      <c r="R83" s="10"/>
      <c r="S83" s="10"/>
      <c r="T83" s="10"/>
      <c r="U83" s="10"/>
      <c r="V83" s="10"/>
      <c r="W83" s="10"/>
      <c r="X83" s="10"/>
      <c r="Y83" s="10"/>
      <c r="Z83" s="10"/>
    </row>
    <row r="84">
      <c r="A84" s="10"/>
      <c r="B84" s="10"/>
      <c r="C84" s="10"/>
      <c r="D84" s="10"/>
      <c r="E84" s="10"/>
      <c r="F84" s="11"/>
      <c r="G84" s="11"/>
      <c r="H84" s="11"/>
      <c r="I84" s="11"/>
      <c r="J84" s="10"/>
      <c r="K84" s="10"/>
      <c r="L84" s="10"/>
      <c r="M84" s="10"/>
      <c r="N84" s="10"/>
      <c r="O84" s="10"/>
      <c r="P84" s="10"/>
      <c r="Q84" s="10"/>
      <c r="R84" s="10"/>
      <c r="S84" s="10"/>
      <c r="T84" s="10"/>
      <c r="U84" s="10"/>
      <c r="V84" s="10"/>
      <c r="W84" s="10"/>
      <c r="X84" s="10"/>
      <c r="Y84" s="10"/>
      <c r="Z84" s="10"/>
    </row>
    <row r="85">
      <c r="A85" s="10"/>
      <c r="B85" s="10"/>
      <c r="C85" s="10"/>
      <c r="D85" s="10"/>
      <c r="E85" s="10"/>
      <c r="F85" s="11"/>
      <c r="G85" s="11"/>
      <c r="H85" s="11"/>
      <c r="I85" s="11"/>
      <c r="J85" s="10"/>
      <c r="K85" s="10"/>
      <c r="L85" s="10"/>
      <c r="M85" s="10"/>
      <c r="N85" s="10"/>
      <c r="O85" s="10"/>
      <c r="P85" s="10"/>
      <c r="Q85" s="10"/>
      <c r="R85" s="10"/>
      <c r="S85" s="10"/>
      <c r="T85" s="10"/>
      <c r="U85" s="10"/>
      <c r="V85" s="10"/>
      <c r="W85" s="10"/>
      <c r="X85" s="10"/>
      <c r="Y85" s="10"/>
      <c r="Z85" s="10"/>
    </row>
    <row r="86">
      <c r="A86" s="10"/>
      <c r="B86" s="10"/>
      <c r="C86" s="10"/>
      <c r="D86" s="10"/>
      <c r="E86" s="10"/>
      <c r="F86" s="11"/>
      <c r="G86" s="11"/>
      <c r="H86" s="11"/>
      <c r="I86" s="11"/>
      <c r="J86" s="10"/>
      <c r="K86" s="10"/>
      <c r="L86" s="10"/>
      <c r="M86" s="10"/>
      <c r="N86" s="10"/>
      <c r="O86" s="10"/>
      <c r="P86" s="10"/>
      <c r="Q86" s="10"/>
      <c r="R86" s="10"/>
      <c r="S86" s="10"/>
      <c r="T86" s="10"/>
      <c r="U86" s="10"/>
      <c r="V86" s="10"/>
      <c r="W86" s="10"/>
      <c r="X86" s="10"/>
      <c r="Y86" s="10"/>
      <c r="Z86" s="10"/>
    </row>
    <row r="87">
      <c r="A87" s="10"/>
      <c r="B87" s="10"/>
      <c r="C87" s="10"/>
      <c r="D87" s="10"/>
      <c r="E87" s="10"/>
      <c r="F87" s="11"/>
      <c r="G87" s="11"/>
      <c r="H87" s="11"/>
      <c r="I87" s="11"/>
      <c r="J87" s="10"/>
      <c r="K87" s="10"/>
      <c r="L87" s="10"/>
      <c r="M87" s="10"/>
      <c r="N87" s="10"/>
      <c r="O87" s="10"/>
      <c r="P87" s="10"/>
      <c r="Q87" s="10"/>
      <c r="R87" s="10"/>
      <c r="S87" s="10"/>
      <c r="T87" s="10"/>
      <c r="U87" s="10"/>
      <c r="V87" s="10"/>
      <c r="W87" s="10"/>
      <c r="X87" s="10"/>
      <c r="Y87" s="10"/>
      <c r="Z87" s="10"/>
    </row>
    <row r="88">
      <c r="A88" s="10"/>
      <c r="B88" s="10"/>
      <c r="C88" s="10"/>
      <c r="D88" s="10"/>
      <c r="E88" s="10"/>
      <c r="F88" s="11"/>
      <c r="G88" s="11"/>
      <c r="H88" s="11"/>
      <c r="I88" s="11"/>
      <c r="J88" s="10"/>
      <c r="K88" s="10"/>
      <c r="L88" s="10"/>
      <c r="M88" s="10"/>
      <c r="N88" s="10"/>
      <c r="O88" s="10"/>
      <c r="P88" s="10"/>
      <c r="Q88" s="10"/>
      <c r="R88" s="10"/>
      <c r="S88" s="10"/>
      <c r="T88" s="10"/>
      <c r="U88" s="10"/>
      <c r="V88" s="10"/>
      <c r="W88" s="10"/>
      <c r="X88" s="10"/>
      <c r="Y88" s="10"/>
      <c r="Z88" s="10"/>
    </row>
    <row r="89">
      <c r="A89" s="10"/>
      <c r="B89" s="10"/>
      <c r="C89" s="10"/>
      <c r="D89" s="10"/>
      <c r="E89" s="10"/>
      <c r="F89" s="11"/>
      <c r="G89" s="11"/>
      <c r="H89" s="11"/>
      <c r="I89" s="11"/>
      <c r="J89" s="10"/>
      <c r="K89" s="10"/>
      <c r="L89" s="10"/>
      <c r="M89" s="10"/>
      <c r="N89" s="10"/>
      <c r="O89" s="10"/>
      <c r="P89" s="10"/>
      <c r="Q89" s="10"/>
      <c r="R89" s="10"/>
      <c r="S89" s="10"/>
      <c r="T89" s="10"/>
      <c r="U89" s="10"/>
      <c r="V89" s="10"/>
      <c r="W89" s="10"/>
      <c r="X89" s="10"/>
      <c r="Y89" s="10"/>
      <c r="Z89" s="10"/>
    </row>
    <row r="90">
      <c r="A90" s="10"/>
      <c r="B90" s="10"/>
      <c r="C90" s="10"/>
      <c r="D90" s="10"/>
      <c r="E90" s="10"/>
      <c r="F90" s="11"/>
      <c r="G90" s="11"/>
      <c r="H90" s="11"/>
      <c r="I90" s="11"/>
      <c r="J90" s="10"/>
      <c r="K90" s="10"/>
      <c r="L90" s="10"/>
      <c r="M90" s="10"/>
      <c r="N90" s="10"/>
      <c r="O90" s="10"/>
      <c r="P90" s="10"/>
      <c r="Q90" s="10"/>
      <c r="R90" s="10"/>
      <c r="S90" s="10"/>
      <c r="T90" s="10"/>
      <c r="U90" s="10"/>
      <c r="V90" s="10"/>
      <c r="W90" s="10"/>
      <c r="X90" s="10"/>
      <c r="Y90" s="10"/>
      <c r="Z90" s="10"/>
    </row>
    <row r="91">
      <c r="A91" s="10"/>
      <c r="B91" s="10"/>
      <c r="C91" s="10"/>
      <c r="D91" s="10"/>
      <c r="E91" s="10"/>
      <c r="F91" s="11"/>
      <c r="G91" s="11"/>
      <c r="H91" s="11"/>
      <c r="I91" s="11"/>
      <c r="J91" s="10"/>
      <c r="K91" s="10"/>
      <c r="L91" s="10"/>
      <c r="M91" s="10"/>
      <c r="N91" s="10"/>
      <c r="O91" s="10"/>
      <c r="P91" s="10"/>
      <c r="Q91" s="10"/>
      <c r="R91" s="10"/>
      <c r="S91" s="10"/>
      <c r="T91" s="10"/>
      <c r="U91" s="10"/>
      <c r="V91" s="10"/>
      <c r="W91" s="10"/>
      <c r="X91" s="10"/>
      <c r="Y91" s="10"/>
      <c r="Z91" s="10"/>
    </row>
    <row r="92">
      <c r="A92" s="10"/>
      <c r="B92" s="10"/>
      <c r="C92" s="10"/>
      <c r="D92" s="10"/>
      <c r="E92" s="10"/>
      <c r="F92" s="11"/>
      <c r="G92" s="11"/>
      <c r="H92" s="11"/>
      <c r="I92" s="11"/>
      <c r="J92" s="10"/>
      <c r="K92" s="10"/>
      <c r="L92" s="10"/>
      <c r="M92" s="10"/>
      <c r="N92" s="10"/>
      <c r="O92" s="10"/>
      <c r="P92" s="10"/>
      <c r="Q92" s="10"/>
      <c r="R92" s="10"/>
      <c r="S92" s="10"/>
      <c r="T92" s="10"/>
      <c r="U92" s="10"/>
      <c r="V92" s="10"/>
      <c r="W92" s="10"/>
      <c r="X92" s="10"/>
      <c r="Y92" s="10"/>
      <c r="Z92" s="10"/>
    </row>
    <row r="93">
      <c r="A93" s="10"/>
      <c r="B93" s="10"/>
      <c r="C93" s="10"/>
      <c r="D93" s="10"/>
      <c r="E93" s="10"/>
      <c r="F93" s="11"/>
      <c r="G93" s="11"/>
      <c r="H93" s="11"/>
      <c r="I93" s="11"/>
      <c r="J93" s="10"/>
      <c r="K93" s="10"/>
      <c r="L93" s="10"/>
      <c r="M93" s="10"/>
      <c r="N93" s="10"/>
      <c r="O93" s="10"/>
      <c r="P93" s="10"/>
      <c r="Q93" s="10"/>
      <c r="R93" s="10"/>
      <c r="S93" s="10"/>
      <c r="T93" s="10"/>
      <c r="U93" s="10"/>
      <c r="V93" s="10"/>
      <c r="W93" s="10"/>
      <c r="X93" s="10"/>
      <c r="Y93" s="10"/>
      <c r="Z93" s="10"/>
    </row>
    <row r="94">
      <c r="A94" s="10"/>
      <c r="B94" s="10"/>
      <c r="C94" s="10"/>
      <c r="D94" s="10"/>
      <c r="E94" s="10"/>
      <c r="F94" s="11"/>
      <c r="G94" s="11"/>
      <c r="H94" s="11"/>
      <c r="I94" s="11"/>
      <c r="J94" s="10"/>
      <c r="K94" s="10"/>
      <c r="L94" s="10"/>
      <c r="M94" s="10"/>
      <c r="N94" s="10"/>
      <c r="O94" s="10"/>
      <c r="P94" s="10"/>
      <c r="Q94" s="10"/>
      <c r="R94" s="10"/>
      <c r="S94" s="10"/>
      <c r="T94" s="10"/>
      <c r="U94" s="10"/>
      <c r="V94" s="10"/>
      <c r="W94" s="10"/>
      <c r="X94" s="10"/>
      <c r="Y94" s="10"/>
      <c r="Z94" s="10"/>
    </row>
    <row r="95">
      <c r="A95" s="10"/>
      <c r="B95" s="10"/>
      <c r="C95" s="10"/>
      <c r="D95" s="10"/>
      <c r="E95" s="10"/>
      <c r="F95" s="11"/>
      <c r="G95" s="11"/>
      <c r="H95" s="11"/>
      <c r="I95" s="11"/>
      <c r="J95" s="10"/>
      <c r="K95" s="10"/>
      <c r="L95" s="10"/>
      <c r="M95" s="10"/>
      <c r="N95" s="10"/>
      <c r="O95" s="10"/>
      <c r="P95" s="10"/>
      <c r="Q95" s="10"/>
      <c r="R95" s="10"/>
      <c r="S95" s="10"/>
      <c r="T95" s="10"/>
      <c r="U95" s="10"/>
      <c r="V95" s="10"/>
      <c r="W95" s="10"/>
      <c r="X95" s="10"/>
      <c r="Y95" s="10"/>
      <c r="Z95" s="10"/>
    </row>
    <row r="96">
      <c r="A96" s="10"/>
      <c r="B96" s="10"/>
      <c r="C96" s="10"/>
      <c r="D96" s="10"/>
      <c r="E96" s="10"/>
      <c r="F96" s="11"/>
      <c r="G96" s="11"/>
      <c r="H96" s="11"/>
      <c r="I96" s="11"/>
      <c r="J96" s="10"/>
      <c r="K96" s="10"/>
      <c r="L96" s="10"/>
      <c r="M96" s="10"/>
      <c r="N96" s="10"/>
      <c r="O96" s="10"/>
      <c r="P96" s="10"/>
      <c r="Q96" s="10"/>
      <c r="R96" s="10"/>
      <c r="S96" s="10"/>
      <c r="T96" s="10"/>
      <c r="U96" s="10"/>
      <c r="V96" s="10"/>
      <c r="W96" s="10"/>
      <c r="X96" s="10"/>
      <c r="Y96" s="10"/>
      <c r="Z96" s="10"/>
    </row>
    <row r="97">
      <c r="A97" s="10"/>
      <c r="B97" s="10"/>
      <c r="C97" s="10"/>
      <c r="D97" s="10"/>
      <c r="E97" s="10"/>
      <c r="F97" s="11"/>
      <c r="G97" s="11"/>
      <c r="H97" s="11"/>
      <c r="I97" s="11"/>
      <c r="J97" s="10"/>
      <c r="K97" s="10"/>
      <c r="L97" s="10"/>
      <c r="M97" s="10"/>
      <c r="N97" s="10"/>
      <c r="O97" s="10"/>
      <c r="P97" s="10"/>
      <c r="Q97" s="10"/>
      <c r="R97" s="10"/>
      <c r="S97" s="10"/>
      <c r="T97" s="10"/>
      <c r="U97" s="10"/>
      <c r="V97" s="10"/>
      <c r="W97" s="10"/>
      <c r="X97" s="10"/>
      <c r="Y97" s="10"/>
      <c r="Z97" s="10"/>
    </row>
    <row r="98">
      <c r="A98" s="10"/>
      <c r="B98" s="10"/>
      <c r="C98" s="10"/>
      <c r="D98" s="10"/>
      <c r="E98" s="10"/>
      <c r="F98" s="11"/>
      <c r="G98" s="11"/>
      <c r="H98" s="11"/>
      <c r="I98" s="11"/>
      <c r="J98" s="10"/>
      <c r="K98" s="10"/>
      <c r="L98" s="10"/>
      <c r="M98" s="10"/>
      <c r="N98" s="10"/>
      <c r="O98" s="10"/>
      <c r="P98" s="10"/>
      <c r="Q98" s="10"/>
      <c r="R98" s="10"/>
      <c r="S98" s="10"/>
      <c r="T98" s="10"/>
      <c r="U98" s="10"/>
      <c r="V98" s="10"/>
      <c r="W98" s="10"/>
      <c r="X98" s="10"/>
      <c r="Y98" s="10"/>
      <c r="Z98" s="10"/>
    </row>
    <row r="99">
      <c r="A99" s="10"/>
      <c r="B99" s="10"/>
      <c r="C99" s="10"/>
      <c r="D99" s="10"/>
      <c r="E99" s="10"/>
      <c r="F99" s="11"/>
      <c r="G99" s="11"/>
      <c r="H99" s="11"/>
      <c r="I99" s="11"/>
      <c r="J99" s="10"/>
      <c r="K99" s="10"/>
      <c r="L99" s="10"/>
      <c r="M99" s="10"/>
      <c r="N99" s="10"/>
      <c r="O99" s="10"/>
      <c r="P99" s="10"/>
      <c r="Q99" s="10"/>
      <c r="R99" s="10"/>
      <c r="S99" s="10"/>
      <c r="T99" s="10"/>
      <c r="U99" s="10"/>
      <c r="V99" s="10"/>
      <c r="W99" s="10"/>
      <c r="X99" s="10"/>
      <c r="Y99" s="10"/>
      <c r="Z99" s="10"/>
    </row>
    <row r="100">
      <c r="A100" s="10"/>
      <c r="B100" s="10"/>
      <c r="C100" s="10"/>
      <c r="D100" s="10"/>
      <c r="E100" s="10"/>
      <c r="F100" s="11"/>
      <c r="G100" s="11"/>
      <c r="H100" s="11"/>
      <c r="I100" s="11"/>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1"/>
      <c r="G101" s="11"/>
      <c r="H101" s="11"/>
      <c r="I101" s="11"/>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1"/>
      <c r="G102" s="11"/>
      <c r="H102" s="11"/>
      <c r="I102" s="11"/>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1"/>
      <c r="G103" s="11"/>
      <c r="H103" s="11"/>
      <c r="I103" s="11"/>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1"/>
      <c r="G104" s="11"/>
      <c r="H104" s="11"/>
      <c r="I104" s="11"/>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1"/>
      <c r="G105" s="11"/>
      <c r="H105" s="11"/>
      <c r="I105" s="11"/>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1"/>
      <c r="G106" s="11"/>
      <c r="H106" s="11"/>
      <c r="I106" s="11"/>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1"/>
      <c r="G107" s="11"/>
      <c r="H107" s="11"/>
      <c r="I107" s="11"/>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1"/>
      <c r="G108" s="11"/>
      <c r="H108" s="11"/>
      <c r="I108" s="11"/>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1"/>
      <c r="G109" s="11"/>
      <c r="H109" s="11"/>
      <c r="I109" s="11"/>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1"/>
      <c r="G110" s="11"/>
      <c r="H110" s="11"/>
      <c r="I110" s="11"/>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1"/>
      <c r="G111" s="11"/>
      <c r="H111" s="11"/>
      <c r="I111" s="11"/>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1"/>
      <c r="G112" s="11"/>
      <c r="H112" s="11"/>
      <c r="I112" s="11"/>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1"/>
      <c r="G113" s="11"/>
      <c r="H113" s="11"/>
      <c r="I113" s="11"/>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1"/>
      <c r="G114" s="11"/>
      <c r="H114" s="11"/>
      <c r="I114" s="11"/>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1"/>
      <c r="G115" s="11"/>
      <c r="H115" s="11"/>
      <c r="I115" s="11"/>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1"/>
      <c r="G116" s="11"/>
      <c r="H116" s="11"/>
      <c r="I116" s="11"/>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1"/>
      <c r="G117" s="11"/>
      <c r="H117" s="11"/>
      <c r="I117" s="11"/>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1"/>
      <c r="G118" s="11"/>
      <c r="H118" s="11"/>
      <c r="I118" s="11"/>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1"/>
      <c r="G119" s="11"/>
      <c r="H119" s="11"/>
      <c r="I119" s="11"/>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1"/>
      <c r="G120" s="11"/>
      <c r="H120" s="11"/>
      <c r="I120" s="11"/>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1"/>
      <c r="G121" s="11"/>
      <c r="H121" s="11"/>
      <c r="I121" s="11"/>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1"/>
      <c r="G122" s="11"/>
      <c r="H122" s="11"/>
      <c r="I122" s="11"/>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1"/>
      <c r="G123" s="11"/>
      <c r="H123" s="11"/>
      <c r="I123" s="11"/>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1"/>
      <c r="G124" s="11"/>
      <c r="H124" s="11"/>
      <c r="I124" s="11"/>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1"/>
      <c r="G125" s="11"/>
      <c r="H125" s="11"/>
      <c r="I125" s="11"/>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1"/>
      <c r="G126" s="11"/>
      <c r="H126" s="11"/>
      <c r="I126" s="11"/>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1"/>
      <c r="G127" s="11"/>
      <c r="H127" s="11"/>
      <c r="I127" s="11"/>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1"/>
      <c r="G128" s="11"/>
      <c r="H128" s="11"/>
      <c r="I128" s="11"/>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1"/>
      <c r="G129" s="11"/>
      <c r="H129" s="11"/>
      <c r="I129" s="11"/>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1"/>
      <c r="G130" s="11"/>
      <c r="H130" s="11"/>
      <c r="I130" s="11"/>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1"/>
      <c r="G131" s="11"/>
      <c r="H131" s="11"/>
      <c r="I131" s="11"/>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1"/>
      <c r="G132" s="11"/>
      <c r="H132" s="11"/>
      <c r="I132" s="11"/>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1"/>
      <c r="G133" s="11"/>
      <c r="H133" s="11"/>
      <c r="I133" s="11"/>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1"/>
      <c r="G134" s="11"/>
      <c r="H134" s="11"/>
      <c r="I134" s="11"/>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1"/>
      <c r="G135" s="11"/>
      <c r="H135" s="11"/>
      <c r="I135" s="11"/>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1"/>
      <c r="G136" s="11"/>
      <c r="H136" s="11"/>
      <c r="I136" s="11"/>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1"/>
      <c r="G137" s="11"/>
      <c r="H137" s="11"/>
      <c r="I137" s="11"/>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1"/>
      <c r="G138" s="11"/>
      <c r="H138" s="11"/>
      <c r="I138" s="11"/>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1"/>
      <c r="G139" s="11"/>
      <c r="H139" s="11"/>
      <c r="I139" s="11"/>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1"/>
      <c r="G140" s="11"/>
      <c r="H140" s="11"/>
      <c r="I140" s="11"/>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1"/>
      <c r="G141" s="11"/>
      <c r="H141" s="11"/>
      <c r="I141" s="11"/>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1"/>
      <c r="G142" s="11"/>
      <c r="H142" s="11"/>
      <c r="I142" s="11"/>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1"/>
      <c r="G143" s="11"/>
      <c r="H143" s="11"/>
      <c r="I143" s="11"/>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1"/>
      <c r="G144" s="11"/>
      <c r="H144" s="11"/>
      <c r="I144" s="11"/>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1"/>
      <c r="G145" s="11"/>
      <c r="H145" s="11"/>
      <c r="I145" s="11"/>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1"/>
      <c r="G146" s="11"/>
      <c r="H146" s="11"/>
      <c r="I146" s="11"/>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1"/>
      <c r="G147" s="11"/>
      <c r="H147" s="11"/>
      <c r="I147" s="11"/>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1"/>
      <c r="G148" s="11"/>
      <c r="H148" s="11"/>
      <c r="I148" s="11"/>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1"/>
      <c r="G149" s="11"/>
      <c r="H149" s="11"/>
      <c r="I149" s="11"/>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1"/>
      <c r="G150" s="11"/>
      <c r="H150" s="11"/>
      <c r="I150" s="11"/>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1"/>
      <c r="G151" s="11"/>
      <c r="H151" s="11"/>
      <c r="I151" s="11"/>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1"/>
      <c r="G152" s="11"/>
      <c r="H152" s="11"/>
      <c r="I152" s="11"/>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1"/>
      <c r="G153" s="11"/>
      <c r="H153" s="11"/>
      <c r="I153" s="11"/>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1"/>
      <c r="G154" s="11"/>
      <c r="H154" s="11"/>
      <c r="I154" s="11"/>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1"/>
      <c r="G155" s="11"/>
      <c r="H155" s="11"/>
      <c r="I155" s="11"/>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1"/>
      <c r="G156" s="11"/>
      <c r="H156" s="11"/>
      <c r="I156" s="11"/>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1"/>
      <c r="G157" s="11"/>
      <c r="H157" s="11"/>
      <c r="I157" s="11"/>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1"/>
      <c r="G158" s="11"/>
      <c r="H158" s="11"/>
      <c r="I158" s="11"/>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1"/>
      <c r="G159" s="11"/>
      <c r="H159" s="11"/>
      <c r="I159" s="11"/>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1"/>
      <c r="G160" s="11"/>
      <c r="H160" s="11"/>
      <c r="I160" s="11"/>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1"/>
      <c r="G161" s="11"/>
      <c r="H161" s="11"/>
      <c r="I161" s="11"/>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1"/>
      <c r="G162" s="11"/>
      <c r="H162" s="11"/>
      <c r="I162" s="11"/>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1"/>
      <c r="G163" s="11"/>
      <c r="H163" s="11"/>
      <c r="I163" s="11"/>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1"/>
      <c r="G164" s="11"/>
      <c r="H164" s="11"/>
      <c r="I164" s="11"/>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1"/>
      <c r="G165" s="11"/>
      <c r="H165" s="11"/>
      <c r="I165" s="11"/>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1"/>
      <c r="G166" s="11"/>
      <c r="H166" s="11"/>
      <c r="I166" s="11"/>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1"/>
      <c r="G167" s="11"/>
      <c r="H167" s="11"/>
      <c r="I167" s="11"/>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1"/>
      <c r="G168" s="11"/>
      <c r="H168" s="11"/>
      <c r="I168" s="11"/>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1"/>
      <c r="G169" s="11"/>
      <c r="H169" s="11"/>
      <c r="I169" s="11"/>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1"/>
      <c r="G170" s="11"/>
      <c r="H170" s="11"/>
      <c r="I170" s="11"/>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1"/>
      <c r="G171" s="11"/>
      <c r="H171" s="11"/>
      <c r="I171" s="11"/>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1"/>
      <c r="G172" s="11"/>
      <c r="H172" s="11"/>
      <c r="I172" s="11"/>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1"/>
      <c r="G173" s="11"/>
      <c r="H173" s="11"/>
      <c r="I173" s="11"/>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1"/>
      <c r="G174" s="11"/>
      <c r="H174" s="11"/>
      <c r="I174" s="11"/>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1"/>
      <c r="G175" s="11"/>
      <c r="H175" s="11"/>
      <c r="I175" s="11"/>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1"/>
      <c r="G176" s="11"/>
      <c r="H176" s="11"/>
      <c r="I176" s="11"/>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1"/>
      <c r="G177" s="11"/>
      <c r="H177" s="11"/>
      <c r="I177" s="11"/>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1"/>
      <c r="G178" s="11"/>
      <c r="H178" s="11"/>
      <c r="I178" s="11"/>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1"/>
      <c r="G179" s="11"/>
      <c r="H179" s="11"/>
      <c r="I179" s="11"/>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1"/>
      <c r="G180" s="11"/>
      <c r="H180" s="11"/>
      <c r="I180" s="11"/>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1"/>
      <c r="G181" s="11"/>
      <c r="H181" s="11"/>
      <c r="I181" s="11"/>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1"/>
      <c r="G182" s="11"/>
      <c r="H182" s="11"/>
      <c r="I182" s="11"/>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1"/>
      <c r="G183" s="11"/>
      <c r="H183" s="11"/>
      <c r="I183" s="11"/>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1"/>
      <c r="G184" s="11"/>
      <c r="H184" s="11"/>
      <c r="I184" s="11"/>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1"/>
      <c r="G185" s="11"/>
      <c r="H185" s="11"/>
      <c r="I185" s="11"/>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1"/>
      <c r="G186" s="11"/>
      <c r="H186" s="11"/>
      <c r="I186" s="11"/>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1"/>
      <c r="G187" s="11"/>
      <c r="H187" s="11"/>
      <c r="I187" s="11"/>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1"/>
      <c r="G188" s="11"/>
      <c r="H188" s="11"/>
      <c r="I188" s="11"/>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1"/>
      <c r="G189" s="11"/>
      <c r="H189" s="11"/>
      <c r="I189" s="11"/>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1"/>
      <c r="G190" s="11"/>
      <c r="H190" s="11"/>
      <c r="I190" s="11"/>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1"/>
      <c r="G191" s="11"/>
      <c r="H191" s="11"/>
      <c r="I191" s="11"/>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1"/>
      <c r="G192" s="11"/>
      <c r="H192" s="11"/>
      <c r="I192" s="11"/>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1"/>
      <c r="G193" s="11"/>
      <c r="H193" s="11"/>
      <c r="I193" s="11"/>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1"/>
      <c r="G194" s="11"/>
      <c r="H194" s="11"/>
      <c r="I194" s="11"/>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1"/>
      <c r="G195" s="11"/>
      <c r="H195" s="11"/>
      <c r="I195" s="11"/>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1"/>
      <c r="G196" s="11"/>
      <c r="H196" s="11"/>
      <c r="I196" s="11"/>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1"/>
      <c r="G197" s="11"/>
      <c r="H197" s="11"/>
      <c r="I197" s="11"/>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1"/>
      <c r="G198" s="11"/>
      <c r="H198" s="11"/>
      <c r="I198" s="11"/>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1"/>
      <c r="G199" s="11"/>
      <c r="H199" s="11"/>
      <c r="I199" s="11"/>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1"/>
      <c r="G200" s="11"/>
      <c r="H200" s="11"/>
      <c r="I200" s="11"/>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1"/>
      <c r="G201" s="11"/>
      <c r="H201" s="11"/>
      <c r="I201" s="11"/>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1"/>
      <c r="G202" s="11"/>
      <c r="H202" s="11"/>
      <c r="I202" s="11"/>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1"/>
      <c r="G203" s="11"/>
      <c r="H203" s="11"/>
      <c r="I203" s="11"/>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1"/>
      <c r="G204" s="11"/>
      <c r="H204" s="11"/>
      <c r="I204" s="11"/>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1"/>
      <c r="G205" s="11"/>
      <c r="H205" s="11"/>
      <c r="I205" s="11"/>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1"/>
      <c r="G206" s="11"/>
      <c r="H206" s="11"/>
      <c r="I206" s="11"/>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1"/>
      <c r="G207" s="11"/>
      <c r="H207" s="11"/>
      <c r="I207" s="11"/>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1"/>
      <c r="G208" s="11"/>
      <c r="H208" s="11"/>
      <c r="I208" s="11"/>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1"/>
      <c r="G209" s="11"/>
      <c r="H209" s="11"/>
      <c r="I209" s="11"/>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1"/>
      <c r="G210" s="11"/>
      <c r="H210" s="11"/>
      <c r="I210" s="11"/>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1"/>
      <c r="G211" s="11"/>
      <c r="H211" s="11"/>
      <c r="I211" s="11"/>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1"/>
      <c r="G212" s="11"/>
      <c r="H212" s="11"/>
      <c r="I212" s="11"/>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1"/>
      <c r="G213" s="11"/>
      <c r="H213" s="11"/>
      <c r="I213" s="11"/>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1"/>
      <c r="G214" s="11"/>
      <c r="H214" s="11"/>
      <c r="I214" s="11"/>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1"/>
      <c r="G215" s="11"/>
      <c r="H215" s="11"/>
      <c r="I215" s="11"/>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1"/>
      <c r="G216" s="11"/>
      <c r="H216" s="11"/>
      <c r="I216" s="11"/>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1"/>
      <c r="G217" s="11"/>
      <c r="H217" s="11"/>
      <c r="I217" s="11"/>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1"/>
      <c r="G218" s="11"/>
      <c r="H218" s="11"/>
      <c r="I218" s="11"/>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1"/>
      <c r="G219" s="11"/>
      <c r="H219" s="11"/>
      <c r="I219" s="11"/>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1"/>
      <c r="G220" s="11"/>
      <c r="H220" s="11"/>
      <c r="I220" s="11"/>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1"/>
      <c r="G221" s="11"/>
      <c r="H221" s="11"/>
      <c r="I221" s="11"/>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1"/>
      <c r="G222" s="11"/>
      <c r="H222" s="11"/>
      <c r="I222" s="11"/>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1"/>
      <c r="G223" s="11"/>
      <c r="H223" s="11"/>
      <c r="I223" s="11"/>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1"/>
      <c r="G224" s="11"/>
      <c r="H224" s="11"/>
      <c r="I224" s="11"/>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1"/>
      <c r="G225" s="11"/>
      <c r="H225" s="11"/>
      <c r="I225" s="11"/>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1"/>
      <c r="G226" s="11"/>
      <c r="H226" s="11"/>
      <c r="I226" s="11"/>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1"/>
      <c r="G227" s="11"/>
      <c r="H227" s="11"/>
      <c r="I227" s="11"/>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1"/>
      <c r="G228" s="11"/>
      <c r="H228" s="11"/>
      <c r="I228" s="11"/>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1"/>
      <c r="G229" s="11"/>
      <c r="H229" s="11"/>
      <c r="I229" s="11"/>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1"/>
      <c r="G230" s="11"/>
      <c r="H230" s="11"/>
      <c r="I230" s="11"/>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1"/>
      <c r="G231" s="11"/>
      <c r="H231" s="11"/>
      <c r="I231" s="11"/>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1"/>
      <c r="G232" s="11"/>
      <c r="H232" s="11"/>
      <c r="I232" s="11"/>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1"/>
      <c r="G233" s="11"/>
      <c r="H233" s="11"/>
      <c r="I233" s="11"/>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1"/>
      <c r="G234" s="11"/>
      <c r="H234" s="11"/>
      <c r="I234" s="11"/>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1"/>
      <c r="G235" s="11"/>
      <c r="H235" s="11"/>
      <c r="I235" s="11"/>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1"/>
      <c r="G236" s="11"/>
      <c r="H236" s="11"/>
      <c r="I236" s="11"/>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1"/>
      <c r="G237" s="11"/>
      <c r="H237" s="11"/>
      <c r="I237" s="11"/>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1"/>
      <c r="G238" s="11"/>
      <c r="H238" s="11"/>
      <c r="I238" s="11"/>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1"/>
      <c r="G239" s="11"/>
      <c r="H239" s="11"/>
      <c r="I239" s="11"/>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1"/>
      <c r="G240" s="11"/>
      <c r="H240" s="11"/>
      <c r="I240" s="11"/>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1"/>
      <c r="G241" s="11"/>
      <c r="H241" s="11"/>
      <c r="I241" s="11"/>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1"/>
      <c r="G242" s="11"/>
      <c r="H242" s="11"/>
      <c r="I242" s="11"/>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1"/>
      <c r="G243" s="11"/>
      <c r="H243" s="11"/>
      <c r="I243" s="11"/>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1"/>
      <c r="G244" s="11"/>
      <c r="H244" s="11"/>
      <c r="I244" s="11"/>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1"/>
      <c r="G245" s="11"/>
      <c r="H245" s="11"/>
      <c r="I245" s="11"/>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1"/>
      <c r="G246" s="11"/>
      <c r="H246" s="11"/>
      <c r="I246" s="11"/>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1"/>
      <c r="G247" s="11"/>
      <c r="H247" s="11"/>
      <c r="I247" s="11"/>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1"/>
      <c r="G248" s="11"/>
      <c r="H248" s="11"/>
      <c r="I248" s="11"/>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1"/>
      <c r="G249" s="11"/>
      <c r="H249" s="11"/>
      <c r="I249" s="11"/>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1"/>
      <c r="G250" s="11"/>
      <c r="H250" s="11"/>
      <c r="I250" s="11"/>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1"/>
      <c r="G251" s="11"/>
      <c r="H251" s="11"/>
      <c r="I251" s="11"/>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1"/>
      <c r="G252" s="11"/>
      <c r="H252" s="11"/>
      <c r="I252" s="11"/>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1"/>
      <c r="G253" s="11"/>
      <c r="H253" s="11"/>
      <c r="I253" s="11"/>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1"/>
      <c r="G254" s="11"/>
      <c r="H254" s="11"/>
      <c r="I254" s="11"/>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1"/>
      <c r="G255" s="11"/>
      <c r="H255" s="11"/>
      <c r="I255" s="11"/>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1"/>
      <c r="G256" s="11"/>
      <c r="H256" s="11"/>
      <c r="I256" s="11"/>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1"/>
      <c r="G257" s="11"/>
      <c r="H257" s="11"/>
      <c r="I257" s="11"/>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1"/>
      <c r="G258" s="11"/>
      <c r="H258" s="11"/>
      <c r="I258" s="11"/>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1"/>
      <c r="G259" s="11"/>
      <c r="H259" s="11"/>
      <c r="I259" s="11"/>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1"/>
      <c r="G260" s="11"/>
      <c r="H260" s="11"/>
      <c r="I260" s="11"/>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1"/>
      <c r="G261" s="11"/>
      <c r="H261" s="11"/>
      <c r="I261" s="11"/>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1"/>
      <c r="G262" s="11"/>
      <c r="H262" s="11"/>
      <c r="I262" s="11"/>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1"/>
      <c r="G263" s="11"/>
      <c r="H263" s="11"/>
      <c r="I263" s="11"/>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1"/>
      <c r="G264" s="11"/>
      <c r="H264" s="11"/>
      <c r="I264" s="11"/>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1"/>
      <c r="G265" s="11"/>
      <c r="H265" s="11"/>
      <c r="I265" s="11"/>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1"/>
      <c r="G266" s="11"/>
      <c r="H266" s="11"/>
      <c r="I266" s="11"/>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1"/>
      <c r="G267" s="11"/>
      <c r="H267" s="11"/>
      <c r="I267" s="11"/>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1"/>
      <c r="G268" s="11"/>
      <c r="H268" s="11"/>
      <c r="I268" s="11"/>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1"/>
      <c r="G269" s="11"/>
      <c r="H269" s="11"/>
      <c r="I269" s="11"/>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1"/>
      <c r="G270" s="11"/>
      <c r="H270" s="11"/>
      <c r="I270" s="11"/>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1"/>
      <c r="G271" s="11"/>
      <c r="H271" s="11"/>
      <c r="I271" s="11"/>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1"/>
      <c r="G272" s="11"/>
      <c r="H272" s="11"/>
      <c r="I272" s="11"/>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1"/>
      <c r="G273" s="11"/>
      <c r="H273" s="11"/>
      <c r="I273" s="11"/>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1"/>
      <c r="G274" s="11"/>
      <c r="H274" s="11"/>
      <c r="I274" s="11"/>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1"/>
      <c r="G275" s="11"/>
      <c r="H275" s="11"/>
      <c r="I275" s="11"/>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1"/>
      <c r="G276" s="11"/>
      <c r="H276" s="11"/>
      <c r="I276" s="11"/>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1"/>
      <c r="G277" s="11"/>
      <c r="H277" s="11"/>
      <c r="I277" s="11"/>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1"/>
      <c r="G278" s="11"/>
      <c r="H278" s="11"/>
      <c r="I278" s="11"/>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1"/>
      <c r="G279" s="11"/>
      <c r="H279" s="11"/>
      <c r="I279" s="11"/>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1"/>
      <c r="G280" s="11"/>
      <c r="H280" s="11"/>
      <c r="I280" s="11"/>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1"/>
      <c r="G281" s="11"/>
      <c r="H281" s="11"/>
      <c r="I281" s="11"/>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1"/>
      <c r="G282" s="11"/>
      <c r="H282" s="11"/>
      <c r="I282" s="11"/>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1"/>
      <c r="G283" s="11"/>
      <c r="H283" s="11"/>
      <c r="I283" s="11"/>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1"/>
      <c r="G284" s="11"/>
      <c r="H284" s="11"/>
      <c r="I284" s="11"/>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1"/>
      <c r="G285" s="11"/>
      <c r="H285" s="11"/>
      <c r="I285" s="11"/>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1"/>
      <c r="G286" s="11"/>
      <c r="H286" s="11"/>
      <c r="I286" s="11"/>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1"/>
      <c r="G287" s="11"/>
      <c r="H287" s="11"/>
      <c r="I287" s="11"/>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1"/>
      <c r="G288" s="11"/>
      <c r="H288" s="11"/>
      <c r="I288" s="11"/>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1"/>
      <c r="G289" s="11"/>
      <c r="H289" s="11"/>
      <c r="I289" s="11"/>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1"/>
      <c r="G290" s="11"/>
      <c r="H290" s="11"/>
      <c r="I290" s="11"/>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1"/>
      <c r="G291" s="11"/>
      <c r="H291" s="11"/>
      <c r="I291" s="11"/>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1"/>
      <c r="G292" s="11"/>
      <c r="H292" s="11"/>
      <c r="I292" s="11"/>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1"/>
      <c r="G293" s="11"/>
      <c r="H293" s="11"/>
      <c r="I293" s="11"/>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1"/>
      <c r="G294" s="11"/>
      <c r="H294" s="11"/>
      <c r="I294" s="11"/>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1"/>
      <c r="G295" s="11"/>
      <c r="H295" s="11"/>
      <c r="I295" s="11"/>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1"/>
      <c r="G296" s="11"/>
      <c r="H296" s="11"/>
      <c r="I296" s="11"/>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1"/>
      <c r="G297" s="11"/>
      <c r="H297" s="11"/>
      <c r="I297" s="11"/>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1"/>
      <c r="G298" s="11"/>
      <c r="H298" s="11"/>
      <c r="I298" s="11"/>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1"/>
      <c r="G299" s="11"/>
      <c r="H299" s="11"/>
      <c r="I299" s="11"/>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1"/>
      <c r="G300" s="11"/>
      <c r="H300" s="11"/>
      <c r="I300" s="11"/>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1"/>
      <c r="G301" s="11"/>
      <c r="H301" s="11"/>
      <c r="I301" s="11"/>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1"/>
      <c r="G302" s="11"/>
      <c r="H302" s="11"/>
      <c r="I302" s="11"/>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1"/>
      <c r="G303" s="11"/>
      <c r="H303" s="11"/>
      <c r="I303" s="11"/>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1"/>
      <c r="G304" s="11"/>
      <c r="H304" s="11"/>
      <c r="I304" s="11"/>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1"/>
      <c r="G305" s="11"/>
      <c r="H305" s="11"/>
      <c r="I305" s="11"/>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1"/>
      <c r="G306" s="11"/>
      <c r="H306" s="11"/>
      <c r="I306" s="11"/>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1"/>
      <c r="G307" s="11"/>
      <c r="H307" s="11"/>
      <c r="I307" s="11"/>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1"/>
      <c r="G308" s="11"/>
      <c r="H308" s="11"/>
      <c r="I308" s="11"/>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1"/>
      <c r="G309" s="11"/>
      <c r="H309" s="11"/>
      <c r="I309" s="11"/>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1"/>
      <c r="G310" s="11"/>
      <c r="H310" s="11"/>
      <c r="I310" s="11"/>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1"/>
      <c r="G311" s="11"/>
      <c r="H311" s="11"/>
      <c r="I311" s="11"/>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1"/>
      <c r="G312" s="11"/>
      <c r="H312" s="11"/>
      <c r="I312" s="11"/>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1"/>
      <c r="G313" s="11"/>
      <c r="H313" s="11"/>
      <c r="I313" s="11"/>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1"/>
      <c r="G314" s="11"/>
      <c r="H314" s="11"/>
      <c r="I314" s="11"/>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1"/>
      <c r="G315" s="11"/>
      <c r="H315" s="11"/>
      <c r="I315" s="11"/>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1"/>
      <c r="G316" s="11"/>
      <c r="H316" s="11"/>
      <c r="I316" s="11"/>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1"/>
      <c r="G317" s="11"/>
      <c r="H317" s="11"/>
      <c r="I317" s="11"/>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1"/>
      <c r="G318" s="11"/>
      <c r="H318" s="11"/>
      <c r="I318" s="11"/>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1"/>
      <c r="G319" s="11"/>
      <c r="H319" s="11"/>
      <c r="I319" s="11"/>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1"/>
      <c r="G320" s="11"/>
      <c r="H320" s="11"/>
      <c r="I320" s="11"/>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1"/>
      <c r="G321" s="11"/>
      <c r="H321" s="11"/>
      <c r="I321" s="11"/>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1"/>
      <c r="G322" s="11"/>
      <c r="H322" s="11"/>
      <c r="I322" s="11"/>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1"/>
      <c r="G323" s="11"/>
      <c r="H323" s="11"/>
      <c r="I323" s="11"/>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1"/>
      <c r="G324" s="11"/>
      <c r="H324" s="11"/>
      <c r="I324" s="11"/>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1"/>
      <c r="G325" s="11"/>
      <c r="H325" s="11"/>
      <c r="I325" s="11"/>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1"/>
      <c r="G326" s="11"/>
      <c r="H326" s="11"/>
      <c r="I326" s="11"/>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1"/>
      <c r="G327" s="11"/>
      <c r="H327" s="11"/>
      <c r="I327" s="11"/>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1"/>
      <c r="G328" s="11"/>
      <c r="H328" s="11"/>
      <c r="I328" s="11"/>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1"/>
      <c r="G329" s="11"/>
      <c r="H329" s="11"/>
      <c r="I329" s="11"/>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1"/>
      <c r="G330" s="11"/>
      <c r="H330" s="11"/>
      <c r="I330" s="11"/>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1"/>
      <c r="G331" s="11"/>
      <c r="H331" s="11"/>
      <c r="I331" s="11"/>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1"/>
      <c r="G332" s="11"/>
      <c r="H332" s="11"/>
      <c r="I332" s="11"/>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1"/>
      <c r="G333" s="11"/>
      <c r="H333" s="11"/>
      <c r="I333" s="11"/>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1"/>
      <c r="G334" s="11"/>
      <c r="H334" s="11"/>
      <c r="I334" s="11"/>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1"/>
      <c r="G335" s="11"/>
      <c r="H335" s="11"/>
      <c r="I335" s="11"/>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1"/>
      <c r="G336" s="11"/>
      <c r="H336" s="11"/>
      <c r="I336" s="11"/>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1"/>
      <c r="G337" s="11"/>
      <c r="H337" s="11"/>
      <c r="I337" s="11"/>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1"/>
      <c r="G338" s="11"/>
      <c r="H338" s="11"/>
      <c r="I338" s="11"/>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1"/>
      <c r="G339" s="11"/>
      <c r="H339" s="11"/>
      <c r="I339" s="11"/>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1"/>
      <c r="G340" s="11"/>
      <c r="H340" s="11"/>
      <c r="I340" s="11"/>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1"/>
      <c r="G341" s="11"/>
      <c r="H341" s="11"/>
      <c r="I341" s="11"/>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1"/>
      <c r="G342" s="11"/>
      <c r="H342" s="11"/>
      <c r="I342" s="11"/>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1"/>
      <c r="G343" s="11"/>
      <c r="H343" s="11"/>
      <c r="I343" s="11"/>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1"/>
      <c r="G344" s="11"/>
      <c r="H344" s="11"/>
      <c r="I344" s="11"/>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1"/>
      <c r="G345" s="11"/>
      <c r="H345" s="11"/>
      <c r="I345" s="11"/>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1"/>
      <c r="G346" s="11"/>
      <c r="H346" s="11"/>
      <c r="I346" s="11"/>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1"/>
      <c r="G347" s="11"/>
      <c r="H347" s="11"/>
      <c r="I347" s="11"/>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1"/>
      <c r="G348" s="11"/>
      <c r="H348" s="11"/>
      <c r="I348" s="11"/>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1"/>
      <c r="G349" s="11"/>
      <c r="H349" s="11"/>
      <c r="I349" s="11"/>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1"/>
      <c r="G350" s="11"/>
      <c r="H350" s="11"/>
      <c r="I350" s="11"/>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1"/>
      <c r="G351" s="11"/>
      <c r="H351" s="11"/>
      <c r="I351" s="11"/>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1"/>
      <c r="G352" s="11"/>
      <c r="H352" s="11"/>
      <c r="I352" s="11"/>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1"/>
      <c r="G353" s="11"/>
      <c r="H353" s="11"/>
      <c r="I353" s="11"/>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1"/>
      <c r="G354" s="11"/>
      <c r="H354" s="11"/>
      <c r="I354" s="11"/>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1"/>
      <c r="G355" s="11"/>
      <c r="H355" s="11"/>
      <c r="I355" s="11"/>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1"/>
      <c r="G356" s="11"/>
      <c r="H356" s="11"/>
      <c r="I356" s="11"/>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1"/>
      <c r="G357" s="11"/>
      <c r="H357" s="11"/>
      <c r="I357" s="11"/>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1"/>
      <c r="G358" s="11"/>
      <c r="H358" s="11"/>
      <c r="I358" s="11"/>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1"/>
      <c r="G359" s="11"/>
      <c r="H359" s="11"/>
      <c r="I359" s="11"/>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1"/>
      <c r="G360" s="11"/>
      <c r="H360" s="11"/>
      <c r="I360" s="11"/>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1"/>
      <c r="G361" s="11"/>
      <c r="H361" s="11"/>
      <c r="I361" s="11"/>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1"/>
      <c r="G362" s="11"/>
      <c r="H362" s="11"/>
      <c r="I362" s="11"/>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1"/>
      <c r="G363" s="11"/>
      <c r="H363" s="11"/>
      <c r="I363" s="11"/>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1"/>
      <c r="G364" s="11"/>
      <c r="H364" s="11"/>
      <c r="I364" s="11"/>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1"/>
      <c r="G365" s="11"/>
      <c r="H365" s="11"/>
      <c r="I365" s="11"/>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1"/>
      <c r="G366" s="11"/>
      <c r="H366" s="11"/>
      <c r="I366" s="11"/>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1"/>
      <c r="G367" s="11"/>
      <c r="H367" s="11"/>
      <c r="I367" s="11"/>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1"/>
      <c r="G368" s="11"/>
      <c r="H368" s="11"/>
      <c r="I368" s="11"/>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1"/>
      <c r="G369" s="11"/>
      <c r="H369" s="11"/>
      <c r="I369" s="11"/>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1"/>
      <c r="G370" s="11"/>
      <c r="H370" s="11"/>
      <c r="I370" s="11"/>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1"/>
      <c r="G371" s="11"/>
      <c r="H371" s="11"/>
      <c r="I371" s="11"/>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1"/>
      <c r="G372" s="11"/>
      <c r="H372" s="11"/>
      <c r="I372" s="11"/>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1"/>
      <c r="G373" s="11"/>
      <c r="H373" s="11"/>
      <c r="I373" s="11"/>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1"/>
      <c r="G374" s="11"/>
      <c r="H374" s="11"/>
      <c r="I374" s="11"/>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1"/>
      <c r="G375" s="11"/>
      <c r="H375" s="11"/>
      <c r="I375" s="11"/>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1"/>
      <c r="G376" s="11"/>
      <c r="H376" s="11"/>
      <c r="I376" s="11"/>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1"/>
      <c r="G377" s="11"/>
      <c r="H377" s="11"/>
      <c r="I377" s="11"/>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1"/>
      <c r="G378" s="11"/>
      <c r="H378" s="11"/>
      <c r="I378" s="11"/>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1"/>
      <c r="G379" s="11"/>
      <c r="H379" s="11"/>
      <c r="I379" s="11"/>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1"/>
      <c r="G380" s="11"/>
      <c r="H380" s="11"/>
      <c r="I380" s="11"/>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1"/>
      <c r="G381" s="11"/>
      <c r="H381" s="11"/>
      <c r="I381" s="11"/>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1"/>
      <c r="G382" s="11"/>
      <c r="H382" s="11"/>
      <c r="I382" s="11"/>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1"/>
      <c r="G383" s="11"/>
      <c r="H383" s="11"/>
      <c r="I383" s="11"/>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1"/>
      <c r="G384" s="11"/>
      <c r="H384" s="11"/>
      <c r="I384" s="11"/>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1"/>
      <c r="G385" s="11"/>
      <c r="H385" s="11"/>
      <c r="I385" s="11"/>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1"/>
      <c r="G386" s="11"/>
      <c r="H386" s="11"/>
      <c r="I386" s="11"/>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1"/>
      <c r="G387" s="11"/>
      <c r="H387" s="11"/>
      <c r="I387" s="11"/>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1"/>
      <c r="G388" s="11"/>
      <c r="H388" s="11"/>
      <c r="I388" s="11"/>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1"/>
      <c r="G389" s="11"/>
      <c r="H389" s="11"/>
      <c r="I389" s="11"/>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1"/>
      <c r="G390" s="11"/>
      <c r="H390" s="11"/>
      <c r="I390" s="11"/>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1"/>
      <c r="G391" s="11"/>
      <c r="H391" s="11"/>
      <c r="I391" s="11"/>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1"/>
      <c r="G392" s="11"/>
      <c r="H392" s="11"/>
      <c r="I392" s="11"/>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1"/>
      <c r="G393" s="11"/>
      <c r="H393" s="11"/>
      <c r="I393" s="11"/>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1"/>
      <c r="G394" s="11"/>
      <c r="H394" s="11"/>
      <c r="I394" s="11"/>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1"/>
      <c r="G395" s="11"/>
      <c r="H395" s="11"/>
      <c r="I395" s="11"/>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1"/>
      <c r="G396" s="11"/>
      <c r="H396" s="11"/>
      <c r="I396" s="11"/>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1"/>
      <c r="G397" s="11"/>
      <c r="H397" s="11"/>
      <c r="I397" s="11"/>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1"/>
      <c r="G398" s="11"/>
      <c r="H398" s="11"/>
      <c r="I398" s="11"/>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1"/>
      <c r="G399" s="11"/>
      <c r="H399" s="11"/>
      <c r="I399" s="11"/>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1"/>
      <c r="G400" s="11"/>
      <c r="H400" s="11"/>
      <c r="I400" s="11"/>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1"/>
      <c r="G401" s="11"/>
      <c r="H401" s="11"/>
      <c r="I401" s="11"/>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1"/>
      <c r="G402" s="11"/>
      <c r="H402" s="11"/>
      <c r="I402" s="11"/>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1"/>
      <c r="G403" s="11"/>
      <c r="H403" s="11"/>
      <c r="I403" s="11"/>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1"/>
      <c r="G404" s="11"/>
      <c r="H404" s="11"/>
      <c r="I404" s="11"/>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1"/>
      <c r="G405" s="11"/>
      <c r="H405" s="11"/>
      <c r="I405" s="11"/>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1"/>
      <c r="G406" s="11"/>
      <c r="H406" s="11"/>
      <c r="I406" s="11"/>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1"/>
      <c r="G407" s="11"/>
      <c r="H407" s="11"/>
      <c r="I407" s="11"/>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1"/>
      <c r="G408" s="11"/>
      <c r="H408" s="11"/>
      <c r="I408" s="11"/>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1"/>
      <c r="G409" s="11"/>
      <c r="H409" s="11"/>
      <c r="I409" s="11"/>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1"/>
      <c r="G410" s="11"/>
      <c r="H410" s="11"/>
      <c r="I410" s="11"/>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1"/>
      <c r="G411" s="11"/>
      <c r="H411" s="11"/>
      <c r="I411" s="11"/>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1"/>
      <c r="G412" s="11"/>
      <c r="H412" s="11"/>
      <c r="I412" s="11"/>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1"/>
      <c r="G413" s="11"/>
      <c r="H413" s="11"/>
      <c r="I413" s="11"/>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1"/>
      <c r="G414" s="11"/>
      <c r="H414" s="11"/>
      <c r="I414" s="11"/>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1"/>
      <c r="G415" s="11"/>
      <c r="H415" s="11"/>
      <c r="I415" s="11"/>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1"/>
      <c r="G416" s="11"/>
      <c r="H416" s="11"/>
      <c r="I416" s="11"/>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1"/>
      <c r="G417" s="11"/>
      <c r="H417" s="11"/>
      <c r="I417" s="11"/>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1"/>
      <c r="G418" s="11"/>
      <c r="H418" s="11"/>
      <c r="I418" s="11"/>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1"/>
      <c r="G419" s="11"/>
      <c r="H419" s="11"/>
      <c r="I419" s="11"/>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1"/>
      <c r="G420" s="11"/>
      <c r="H420" s="11"/>
      <c r="I420" s="11"/>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1"/>
      <c r="G421" s="11"/>
      <c r="H421" s="11"/>
      <c r="I421" s="11"/>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1"/>
      <c r="G422" s="11"/>
      <c r="H422" s="11"/>
      <c r="I422" s="11"/>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1"/>
      <c r="G423" s="11"/>
      <c r="H423" s="11"/>
      <c r="I423" s="11"/>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1"/>
      <c r="G424" s="11"/>
      <c r="H424" s="11"/>
      <c r="I424" s="11"/>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1"/>
      <c r="G425" s="11"/>
      <c r="H425" s="11"/>
      <c r="I425" s="11"/>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1"/>
      <c r="G426" s="11"/>
      <c r="H426" s="11"/>
      <c r="I426" s="11"/>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1"/>
      <c r="G427" s="11"/>
      <c r="H427" s="11"/>
      <c r="I427" s="11"/>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1"/>
      <c r="G428" s="11"/>
      <c r="H428" s="11"/>
      <c r="I428" s="11"/>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1"/>
      <c r="G429" s="11"/>
      <c r="H429" s="11"/>
      <c r="I429" s="11"/>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1"/>
      <c r="G430" s="11"/>
      <c r="H430" s="11"/>
      <c r="I430" s="11"/>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1"/>
      <c r="G431" s="11"/>
      <c r="H431" s="11"/>
      <c r="I431" s="11"/>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1"/>
      <c r="G432" s="11"/>
      <c r="H432" s="11"/>
      <c r="I432" s="11"/>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1"/>
      <c r="G433" s="11"/>
      <c r="H433" s="11"/>
      <c r="I433" s="11"/>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1"/>
      <c r="G434" s="11"/>
      <c r="H434" s="11"/>
      <c r="I434" s="11"/>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1"/>
      <c r="G435" s="11"/>
      <c r="H435" s="11"/>
      <c r="I435" s="11"/>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1"/>
      <c r="G436" s="11"/>
      <c r="H436" s="11"/>
      <c r="I436" s="11"/>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1"/>
      <c r="G437" s="11"/>
      <c r="H437" s="11"/>
      <c r="I437" s="11"/>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1"/>
      <c r="G438" s="11"/>
      <c r="H438" s="11"/>
      <c r="I438" s="11"/>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1"/>
      <c r="G439" s="11"/>
      <c r="H439" s="11"/>
      <c r="I439" s="11"/>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1"/>
      <c r="G440" s="11"/>
      <c r="H440" s="11"/>
      <c r="I440" s="11"/>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1"/>
      <c r="G441" s="11"/>
      <c r="H441" s="11"/>
      <c r="I441" s="11"/>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1"/>
      <c r="G442" s="11"/>
      <c r="H442" s="11"/>
      <c r="I442" s="11"/>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1"/>
      <c r="G443" s="11"/>
      <c r="H443" s="11"/>
      <c r="I443" s="11"/>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1"/>
      <c r="G444" s="11"/>
      <c r="H444" s="11"/>
      <c r="I444" s="11"/>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1"/>
      <c r="G445" s="11"/>
      <c r="H445" s="11"/>
      <c r="I445" s="11"/>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1"/>
      <c r="G446" s="11"/>
      <c r="H446" s="11"/>
      <c r="I446" s="11"/>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1"/>
      <c r="G447" s="11"/>
      <c r="H447" s="11"/>
      <c r="I447" s="11"/>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1"/>
      <c r="G448" s="11"/>
      <c r="H448" s="11"/>
      <c r="I448" s="11"/>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1"/>
      <c r="G449" s="11"/>
      <c r="H449" s="11"/>
      <c r="I449" s="11"/>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1"/>
      <c r="G450" s="11"/>
      <c r="H450" s="11"/>
      <c r="I450" s="11"/>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1"/>
      <c r="G451" s="11"/>
      <c r="H451" s="11"/>
      <c r="I451" s="11"/>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1"/>
      <c r="G452" s="11"/>
      <c r="H452" s="11"/>
      <c r="I452" s="11"/>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1"/>
      <c r="G453" s="11"/>
      <c r="H453" s="11"/>
      <c r="I453" s="11"/>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1"/>
      <c r="G454" s="11"/>
      <c r="H454" s="11"/>
      <c r="I454" s="11"/>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1"/>
      <c r="G455" s="11"/>
      <c r="H455" s="11"/>
      <c r="I455" s="11"/>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1"/>
      <c r="G456" s="11"/>
      <c r="H456" s="11"/>
      <c r="I456" s="11"/>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1"/>
      <c r="G457" s="11"/>
      <c r="H457" s="11"/>
      <c r="I457" s="11"/>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1"/>
      <c r="G458" s="11"/>
      <c r="H458" s="11"/>
      <c r="I458" s="11"/>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1"/>
      <c r="G459" s="11"/>
      <c r="H459" s="11"/>
      <c r="I459" s="11"/>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1"/>
      <c r="G460" s="11"/>
      <c r="H460" s="11"/>
      <c r="I460" s="11"/>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1"/>
      <c r="G461" s="11"/>
      <c r="H461" s="11"/>
      <c r="I461" s="11"/>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1"/>
      <c r="G462" s="11"/>
      <c r="H462" s="11"/>
      <c r="I462" s="11"/>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1"/>
      <c r="G463" s="11"/>
      <c r="H463" s="11"/>
      <c r="I463" s="11"/>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1"/>
      <c r="G464" s="11"/>
      <c r="H464" s="11"/>
      <c r="I464" s="11"/>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1"/>
      <c r="G465" s="11"/>
      <c r="H465" s="11"/>
      <c r="I465" s="11"/>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1"/>
      <c r="G466" s="11"/>
      <c r="H466" s="11"/>
      <c r="I466" s="11"/>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1"/>
      <c r="G467" s="11"/>
      <c r="H467" s="11"/>
      <c r="I467" s="11"/>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1"/>
      <c r="G468" s="11"/>
      <c r="H468" s="11"/>
      <c r="I468" s="11"/>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1"/>
      <c r="G469" s="11"/>
      <c r="H469" s="11"/>
      <c r="I469" s="11"/>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1"/>
      <c r="G470" s="11"/>
      <c r="H470" s="11"/>
      <c r="I470" s="11"/>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1"/>
      <c r="G471" s="11"/>
      <c r="H471" s="11"/>
      <c r="I471" s="11"/>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1"/>
      <c r="G472" s="11"/>
      <c r="H472" s="11"/>
      <c r="I472" s="11"/>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1"/>
      <c r="G473" s="11"/>
      <c r="H473" s="11"/>
      <c r="I473" s="11"/>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1"/>
      <c r="G474" s="11"/>
      <c r="H474" s="11"/>
      <c r="I474" s="11"/>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1"/>
      <c r="G475" s="11"/>
      <c r="H475" s="11"/>
      <c r="I475" s="11"/>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1"/>
      <c r="G476" s="11"/>
      <c r="H476" s="11"/>
      <c r="I476" s="11"/>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1"/>
      <c r="G477" s="11"/>
      <c r="H477" s="11"/>
      <c r="I477" s="11"/>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1"/>
      <c r="G478" s="11"/>
      <c r="H478" s="11"/>
      <c r="I478" s="11"/>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1"/>
      <c r="G479" s="11"/>
      <c r="H479" s="11"/>
      <c r="I479" s="11"/>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1"/>
      <c r="G480" s="11"/>
      <c r="H480" s="11"/>
      <c r="I480" s="11"/>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1"/>
      <c r="G481" s="11"/>
      <c r="H481" s="11"/>
      <c r="I481" s="11"/>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1"/>
      <c r="G482" s="11"/>
      <c r="H482" s="11"/>
      <c r="I482" s="11"/>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1"/>
      <c r="G483" s="11"/>
      <c r="H483" s="11"/>
      <c r="I483" s="11"/>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1"/>
      <c r="G484" s="11"/>
      <c r="H484" s="11"/>
      <c r="I484" s="11"/>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1"/>
      <c r="G485" s="11"/>
      <c r="H485" s="11"/>
      <c r="I485" s="11"/>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1"/>
      <c r="G486" s="11"/>
      <c r="H486" s="11"/>
      <c r="I486" s="11"/>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1"/>
      <c r="G487" s="11"/>
      <c r="H487" s="11"/>
      <c r="I487" s="11"/>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1"/>
      <c r="G488" s="11"/>
      <c r="H488" s="11"/>
      <c r="I488" s="11"/>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1"/>
      <c r="G489" s="11"/>
      <c r="H489" s="11"/>
      <c r="I489" s="11"/>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1"/>
      <c r="G490" s="11"/>
      <c r="H490" s="11"/>
      <c r="I490" s="11"/>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1"/>
      <c r="G491" s="11"/>
      <c r="H491" s="11"/>
      <c r="I491" s="11"/>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1"/>
      <c r="G492" s="11"/>
      <c r="H492" s="11"/>
      <c r="I492" s="11"/>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1"/>
      <c r="G493" s="11"/>
      <c r="H493" s="11"/>
      <c r="I493" s="11"/>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1"/>
      <c r="G494" s="11"/>
      <c r="H494" s="11"/>
      <c r="I494" s="11"/>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1"/>
      <c r="G495" s="11"/>
      <c r="H495" s="11"/>
      <c r="I495" s="11"/>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1"/>
      <c r="G496" s="11"/>
      <c r="H496" s="11"/>
      <c r="I496" s="11"/>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1"/>
      <c r="G497" s="11"/>
      <c r="H497" s="11"/>
      <c r="I497" s="11"/>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1"/>
      <c r="G498" s="11"/>
      <c r="H498" s="11"/>
      <c r="I498" s="11"/>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1"/>
      <c r="G499" s="11"/>
      <c r="H499" s="11"/>
      <c r="I499" s="11"/>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1"/>
      <c r="G500" s="11"/>
      <c r="H500" s="11"/>
      <c r="I500" s="11"/>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1"/>
      <c r="G501" s="11"/>
      <c r="H501" s="11"/>
      <c r="I501" s="11"/>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1"/>
      <c r="G502" s="11"/>
      <c r="H502" s="11"/>
      <c r="I502" s="11"/>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1"/>
      <c r="G503" s="11"/>
      <c r="H503" s="11"/>
      <c r="I503" s="11"/>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1"/>
      <c r="G504" s="11"/>
      <c r="H504" s="11"/>
      <c r="I504" s="11"/>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1"/>
      <c r="G505" s="11"/>
      <c r="H505" s="11"/>
      <c r="I505" s="11"/>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1"/>
      <c r="G506" s="11"/>
      <c r="H506" s="11"/>
      <c r="I506" s="11"/>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1"/>
      <c r="G507" s="11"/>
      <c r="H507" s="11"/>
      <c r="I507" s="11"/>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1"/>
      <c r="G508" s="11"/>
      <c r="H508" s="11"/>
      <c r="I508" s="11"/>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1"/>
      <c r="G509" s="11"/>
      <c r="H509" s="11"/>
      <c r="I509" s="11"/>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1"/>
      <c r="G510" s="11"/>
      <c r="H510" s="11"/>
      <c r="I510" s="11"/>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1"/>
      <c r="G511" s="11"/>
      <c r="H511" s="11"/>
      <c r="I511" s="11"/>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1"/>
      <c r="G512" s="11"/>
      <c r="H512" s="11"/>
      <c r="I512" s="11"/>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1"/>
      <c r="G513" s="11"/>
      <c r="H513" s="11"/>
      <c r="I513" s="11"/>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1"/>
      <c r="G514" s="11"/>
      <c r="H514" s="11"/>
      <c r="I514" s="11"/>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1"/>
      <c r="G515" s="11"/>
      <c r="H515" s="11"/>
      <c r="I515" s="11"/>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1"/>
      <c r="G516" s="11"/>
      <c r="H516" s="11"/>
      <c r="I516" s="11"/>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1"/>
      <c r="G517" s="11"/>
      <c r="H517" s="11"/>
      <c r="I517" s="11"/>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1"/>
      <c r="G518" s="11"/>
      <c r="H518" s="11"/>
      <c r="I518" s="11"/>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1"/>
      <c r="G519" s="11"/>
      <c r="H519" s="11"/>
      <c r="I519" s="11"/>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1"/>
      <c r="G520" s="11"/>
      <c r="H520" s="11"/>
      <c r="I520" s="11"/>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1"/>
      <c r="G521" s="11"/>
      <c r="H521" s="11"/>
      <c r="I521" s="11"/>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1"/>
      <c r="G522" s="11"/>
      <c r="H522" s="11"/>
      <c r="I522" s="11"/>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1"/>
      <c r="G523" s="11"/>
      <c r="H523" s="11"/>
      <c r="I523" s="11"/>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1"/>
      <c r="G524" s="11"/>
      <c r="H524" s="11"/>
      <c r="I524" s="11"/>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1"/>
      <c r="G525" s="11"/>
      <c r="H525" s="11"/>
      <c r="I525" s="11"/>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1"/>
      <c r="G526" s="11"/>
      <c r="H526" s="11"/>
      <c r="I526" s="11"/>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1"/>
      <c r="G527" s="11"/>
      <c r="H527" s="11"/>
      <c r="I527" s="11"/>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1"/>
      <c r="G528" s="11"/>
      <c r="H528" s="11"/>
      <c r="I528" s="11"/>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1"/>
      <c r="G529" s="11"/>
      <c r="H529" s="11"/>
      <c r="I529" s="11"/>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1"/>
      <c r="G530" s="11"/>
      <c r="H530" s="11"/>
      <c r="I530" s="11"/>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1"/>
      <c r="G531" s="11"/>
      <c r="H531" s="11"/>
      <c r="I531" s="11"/>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1"/>
      <c r="G532" s="11"/>
      <c r="H532" s="11"/>
      <c r="I532" s="11"/>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1"/>
      <c r="G533" s="11"/>
      <c r="H533" s="11"/>
      <c r="I533" s="11"/>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1"/>
      <c r="G534" s="11"/>
      <c r="H534" s="11"/>
      <c r="I534" s="11"/>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1"/>
      <c r="G535" s="11"/>
      <c r="H535" s="11"/>
      <c r="I535" s="11"/>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1"/>
      <c r="G536" s="11"/>
      <c r="H536" s="11"/>
      <c r="I536" s="11"/>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1"/>
      <c r="G537" s="11"/>
      <c r="H537" s="11"/>
      <c r="I537" s="11"/>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1"/>
      <c r="G538" s="11"/>
      <c r="H538" s="11"/>
      <c r="I538" s="11"/>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1"/>
      <c r="G539" s="11"/>
      <c r="H539" s="11"/>
      <c r="I539" s="11"/>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1"/>
      <c r="G540" s="11"/>
      <c r="H540" s="11"/>
      <c r="I540" s="11"/>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1"/>
      <c r="G541" s="11"/>
      <c r="H541" s="11"/>
      <c r="I541" s="11"/>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1"/>
      <c r="G542" s="11"/>
      <c r="H542" s="11"/>
      <c r="I542" s="11"/>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1"/>
      <c r="G543" s="11"/>
      <c r="H543" s="11"/>
      <c r="I543" s="11"/>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1"/>
      <c r="G544" s="11"/>
      <c r="H544" s="11"/>
      <c r="I544" s="11"/>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1"/>
      <c r="G545" s="11"/>
      <c r="H545" s="11"/>
      <c r="I545" s="11"/>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1"/>
      <c r="G546" s="11"/>
      <c r="H546" s="11"/>
      <c r="I546" s="11"/>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1"/>
      <c r="G547" s="11"/>
      <c r="H547" s="11"/>
      <c r="I547" s="11"/>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1"/>
      <c r="G548" s="11"/>
      <c r="H548" s="11"/>
      <c r="I548" s="11"/>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1"/>
      <c r="G549" s="11"/>
      <c r="H549" s="11"/>
      <c r="I549" s="11"/>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1"/>
      <c r="G550" s="11"/>
      <c r="H550" s="11"/>
      <c r="I550" s="11"/>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1"/>
      <c r="G551" s="11"/>
      <c r="H551" s="11"/>
      <c r="I551" s="11"/>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1"/>
      <c r="G552" s="11"/>
      <c r="H552" s="11"/>
      <c r="I552" s="11"/>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1"/>
      <c r="G553" s="11"/>
      <c r="H553" s="11"/>
      <c r="I553" s="11"/>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1"/>
      <c r="G554" s="11"/>
      <c r="H554" s="11"/>
      <c r="I554" s="11"/>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1"/>
      <c r="G555" s="11"/>
      <c r="H555" s="11"/>
      <c r="I555" s="11"/>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1"/>
      <c r="G556" s="11"/>
      <c r="H556" s="11"/>
      <c r="I556" s="11"/>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1"/>
      <c r="G557" s="11"/>
      <c r="H557" s="11"/>
      <c r="I557" s="11"/>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1"/>
      <c r="G558" s="11"/>
      <c r="H558" s="11"/>
      <c r="I558" s="11"/>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1"/>
      <c r="G559" s="11"/>
      <c r="H559" s="11"/>
      <c r="I559" s="11"/>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1"/>
      <c r="G560" s="11"/>
      <c r="H560" s="11"/>
      <c r="I560" s="11"/>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1"/>
      <c r="G561" s="11"/>
      <c r="H561" s="11"/>
      <c r="I561" s="11"/>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1"/>
      <c r="G562" s="11"/>
      <c r="H562" s="11"/>
      <c r="I562" s="11"/>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1"/>
      <c r="G563" s="11"/>
      <c r="H563" s="11"/>
      <c r="I563" s="11"/>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1"/>
      <c r="G564" s="11"/>
      <c r="H564" s="11"/>
      <c r="I564" s="11"/>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1"/>
      <c r="G565" s="11"/>
      <c r="H565" s="11"/>
      <c r="I565" s="11"/>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1"/>
      <c r="G566" s="11"/>
      <c r="H566" s="11"/>
      <c r="I566" s="11"/>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1"/>
      <c r="G567" s="11"/>
      <c r="H567" s="11"/>
      <c r="I567" s="11"/>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1"/>
      <c r="G568" s="11"/>
      <c r="H568" s="11"/>
      <c r="I568" s="11"/>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1"/>
      <c r="G569" s="11"/>
      <c r="H569" s="11"/>
      <c r="I569" s="11"/>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1"/>
      <c r="G570" s="11"/>
      <c r="H570" s="11"/>
      <c r="I570" s="11"/>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1"/>
      <c r="G571" s="11"/>
      <c r="H571" s="11"/>
      <c r="I571" s="11"/>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1"/>
      <c r="G572" s="11"/>
      <c r="H572" s="11"/>
      <c r="I572" s="11"/>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1"/>
      <c r="G573" s="11"/>
      <c r="H573" s="11"/>
      <c r="I573" s="11"/>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1"/>
      <c r="G574" s="11"/>
      <c r="H574" s="11"/>
      <c r="I574" s="11"/>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1"/>
      <c r="G575" s="11"/>
      <c r="H575" s="11"/>
      <c r="I575" s="11"/>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1"/>
      <c r="G576" s="11"/>
      <c r="H576" s="11"/>
      <c r="I576" s="11"/>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1"/>
      <c r="G577" s="11"/>
      <c r="H577" s="11"/>
      <c r="I577" s="11"/>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1"/>
      <c r="G578" s="11"/>
      <c r="H578" s="11"/>
      <c r="I578" s="11"/>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1"/>
      <c r="G579" s="11"/>
      <c r="H579" s="11"/>
      <c r="I579" s="11"/>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1"/>
      <c r="G580" s="11"/>
      <c r="H580" s="11"/>
      <c r="I580" s="11"/>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1"/>
      <c r="G581" s="11"/>
      <c r="H581" s="11"/>
      <c r="I581" s="11"/>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1"/>
      <c r="G582" s="11"/>
      <c r="H582" s="11"/>
      <c r="I582" s="11"/>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1"/>
      <c r="G583" s="11"/>
      <c r="H583" s="11"/>
      <c r="I583" s="11"/>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1"/>
      <c r="G584" s="11"/>
      <c r="H584" s="11"/>
      <c r="I584" s="11"/>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1"/>
      <c r="G585" s="11"/>
      <c r="H585" s="11"/>
      <c r="I585" s="11"/>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1"/>
      <c r="G586" s="11"/>
      <c r="H586" s="11"/>
      <c r="I586" s="11"/>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1"/>
      <c r="G587" s="11"/>
      <c r="H587" s="11"/>
      <c r="I587" s="11"/>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1"/>
      <c r="G588" s="11"/>
      <c r="H588" s="11"/>
      <c r="I588" s="11"/>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1"/>
      <c r="G589" s="11"/>
      <c r="H589" s="11"/>
      <c r="I589" s="11"/>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1"/>
      <c r="G590" s="11"/>
      <c r="H590" s="11"/>
      <c r="I590" s="11"/>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1"/>
      <c r="G591" s="11"/>
      <c r="H591" s="11"/>
      <c r="I591" s="11"/>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1"/>
      <c r="G592" s="11"/>
      <c r="H592" s="11"/>
      <c r="I592" s="11"/>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1"/>
      <c r="G593" s="11"/>
      <c r="H593" s="11"/>
      <c r="I593" s="11"/>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1"/>
      <c r="G594" s="11"/>
      <c r="H594" s="11"/>
      <c r="I594" s="11"/>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1"/>
      <c r="G595" s="11"/>
      <c r="H595" s="11"/>
      <c r="I595" s="11"/>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1"/>
      <c r="G596" s="11"/>
      <c r="H596" s="11"/>
      <c r="I596" s="11"/>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1"/>
      <c r="G597" s="11"/>
      <c r="H597" s="11"/>
      <c r="I597" s="11"/>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1"/>
      <c r="G598" s="11"/>
      <c r="H598" s="11"/>
      <c r="I598" s="11"/>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1"/>
      <c r="G599" s="11"/>
      <c r="H599" s="11"/>
      <c r="I599" s="11"/>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1"/>
      <c r="G600" s="11"/>
      <c r="H600" s="11"/>
      <c r="I600" s="11"/>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1"/>
      <c r="G601" s="11"/>
      <c r="H601" s="11"/>
      <c r="I601" s="11"/>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1"/>
      <c r="G602" s="11"/>
      <c r="H602" s="11"/>
      <c r="I602" s="11"/>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1"/>
      <c r="G603" s="11"/>
      <c r="H603" s="11"/>
      <c r="I603" s="11"/>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1"/>
      <c r="G604" s="11"/>
      <c r="H604" s="11"/>
      <c r="I604" s="11"/>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1"/>
      <c r="G605" s="11"/>
      <c r="H605" s="11"/>
      <c r="I605" s="11"/>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1"/>
      <c r="G606" s="11"/>
      <c r="H606" s="11"/>
      <c r="I606" s="11"/>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1"/>
      <c r="G607" s="11"/>
      <c r="H607" s="11"/>
      <c r="I607" s="11"/>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1"/>
      <c r="G608" s="11"/>
      <c r="H608" s="11"/>
      <c r="I608" s="11"/>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1"/>
      <c r="G609" s="11"/>
      <c r="H609" s="11"/>
      <c r="I609" s="11"/>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1"/>
      <c r="G610" s="11"/>
      <c r="H610" s="11"/>
      <c r="I610" s="11"/>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1"/>
      <c r="G611" s="11"/>
      <c r="H611" s="11"/>
      <c r="I611" s="11"/>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1"/>
      <c r="G612" s="11"/>
      <c r="H612" s="11"/>
      <c r="I612" s="11"/>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1"/>
      <c r="G613" s="11"/>
      <c r="H613" s="11"/>
      <c r="I613" s="11"/>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1"/>
      <c r="G614" s="11"/>
      <c r="H614" s="11"/>
      <c r="I614" s="11"/>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1"/>
      <c r="G615" s="11"/>
      <c r="H615" s="11"/>
      <c r="I615" s="11"/>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1"/>
      <c r="G616" s="11"/>
      <c r="H616" s="11"/>
      <c r="I616" s="11"/>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1"/>
      <c r="G617" s="11"/>
      <c r="H617" s="11"/>
      <c r="I617" s="11"/>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1"/>
      <c r="G618" s="11"/>
      <c r="H618" s="11"/>
      <c r="I618" s="11"/>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1"/>
      <c r="G619" s="11"/>
      <c r="H619" s="11"/>
      <c r="I619" s="11"/>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1"/>
      <c r="G620" s="11"/>
      <c r="H620" s="11"/>
      <c r="I620" s="11"/>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1"/>
      <c r="G621" s="11"/>
      <c r="H621" s="11"/>
      <c r="I621" s="11"/>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1"/>
      <c r="G622" s="11"/>
      <c r="H622" s="11"/>
      <c r="I622" s="11"/>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1"/>
      <c r="G623" s="11"/>
      <c r="H623" s="11"/>
      <c r="I623" s="11"/>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1"/>
      <c r="G624" s="11"/>
      <c r="H624" s="11"/>
      <c r="I624" s="11"/>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1"/>
      <c r="G625" s="11"/>
      <c r="H625" s="11"/>
      <c r="I625" s="11"/>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1"/>
      <c r="G626" s="11"/>
      <c r="H626" s="11"/>
      <c r="I626" s="11"/>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1"/>
      <c r="G627" s="11"/>
      <c r="H627" s="11"/>
      <c r="I627" s="11"/>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1"/>
      <c r="G628" s="11"/>
      <c r="H628" s="11"/>
      <c r="I628" s="11"/>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1"/>
      <c r="G629" s="11"/>
      <c r="H629" s="11"/>
      <c r="I629" s="11"/>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1"/>
      <c r="G630" s="11"/>
      <c r="H630" s="11"/>
      <c r="I630" s="11"/>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1"/>
      <c r="G631" s="11"/>
      <c r="H631" s="11"/>
      <c r="I631" s="11"/>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1"/>
      <c r="G632" s="11"/>
      <c r="H632" s="11"/>
      <c r="I632" s="11"/>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1"/>
      <c r="G633" s="11"/>
      <c r="H633" s="11"/>
      <c r="I633" s="11"/>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1"/>
      <c r="G634" s="11"/>
      <c r="H634" s="11"/>
      <c r="I634" s="11"/>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1"/>
      <c r="G635" s="11"/>
      <c r="H635" s="11"/>
      <c r="I635" s="11"/>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1"/>
      <c r="G636" s="11"/>
      <c r="H636" s="11"/>
      <c r="I636" s="11"/>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1"/>
      <c r="G637" s="11"/>
      <c r="H637" s="11"/>
      <c r="I637" s="11"/>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1"/>
      <c r="G638" s="11"/>
      <c r="H638" s="11"/>
      <c r="I638" s="11"/>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1"/>
      <c r="G639" s="11"/>
      <c r="H639" s="11"/>
      <c r="I639" s="11"/>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1"/>
      <c r="G640" s="11"/>
      <c r="H640" s="11"/>
      <c r="I640" s="11"/>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1"/>
      <c r="G641" s="11"/>
      <c r="H641" s="11"/>
      <c r="I641" s="11"/>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1"/>
      <c r="G642" s="11"/>
      <c r="H642" s="11"/>
      <c r="I642" s="11"/>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1"/>
      <c r="G643" s="11"/>
      <c r="H643" s="11"/>
      <c r="I643" s="11"/>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1"/>
      <c r="G644" s="11"/>
      <c r="H644" s="11"/>
      <c r="I644" s="11"/>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1"/>
      <c r="G645" s="11"/>
      <c r="H645" s="11"/>
      <c r="I645" s="11"/>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1"/>
      <c r="G646" s="11"/>
      <c r="H646" s="11"/>
      <c r="I646" s="11"/>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1"/>
      <c r="G647" s="11"/>
      <c r="H647" s="11"/>
      <c r="I647" s="11"/>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1"/>
      <c r="G648" s="11"/>
      <c r="H648" s="11"/>
      <c r="I648" s="11"/>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1"/>
      <c r="G649" s="11"/>
      <c r="H649" s="11"/>
      <c r="I649" s="11"/>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1"/>
      <c r="G650" s="11"/>
      <c r="H650" s="11"/>
      <c r="I650" s="11"/>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1"/>
      <c r="G651" s="11"/>
      <c r="H651" s="11"/>
      <c r="I651" s="11"/>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1"/>
      <c r="G652" s="11"/>
      <c r="H652" s="11"/>
      <c r="I652" s="11"/>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1"/>
      <c r="G653" s="11"/>
      <c r="H653" s="11"/>
      <c r="I653" s="11"/>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1"/>
      <c r="G654" s="11"/>
      <c r="H654" s="11"/>
      <c r="I654" s="11"/>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1"/>
      <c r="G655" s="11"/>
      <c r="H655" s="11"/>
      <c r="I655" s="11"/>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1"/>
      <c r="G656" s="11"/>
      <c r="H656" s="11"/>
      <c r="I656" s="11"/>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1"/>
      <c r="G657" s="11"/>
      <c r="H657" s="11"/>
      <c r="I657" s="11"/>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1"/>
      <c r="G658" s="11"/>
      <c r="H658" s="11"/>
      <c r="I658" s="11"/>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1"/>
      <c r="G659" s="11"/>
      <c r="H659" s="11"/>
      <c r="I659" s="11"/>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1"/>
      <c r="G660" s="11"/>
      <c r="H660" s="11"/>
      <c r="I660" s="11"/>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1"/>
      <c r="G661" s="11"/>
      <c r="H661" s="11"/>
      <c r="I661" s="11"/>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1"/>
      <c r="G662" s="11"/>
      <c r="H662" s="11"/>
      <c r="I662" s="11"/>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1"/>
      <c r="G663" s="11"/>
      <c r="H663" s="11"/>
      <c r="I663" s="11"/>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1"/>
      <c r="G664" s="11"/>
      <c r="H664" s="11"/>
      <c r="I664" s="11"/>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1"/>
      <c r="G665" s="11"/>
      <c r="H665" s="11"/>
      <c r="I665" s="11"/>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1"/>
      <c r="G666" s="11"/>
      <c r="H666" s="11"/>
      <c r="I666" s="11"/>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1"/>
      <c r="G667" s="11"/>
      <c r="H667" s="11"/>
      <c r="I667" s="11"/>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1"/>
      <c r="G668" s="11"/>
      <c r="H668" s="11"/>
      <c r="I668" s="11"/>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1"/>
      <c r="G669" s="11"/>
      <c r="H669" s="11"/>
      <c r="I669" s="11"/>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1"/>
      <c r="G670" s="11"/>
      <c r="H670" s="11"/>
      <c r="I670" s="11"/>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1"/>
      <c r="G671" s="11"/>
      <c r="H671" s="11"/>
      <c r="I671" s="11"/>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1"/>
      <c r="G672" s="11"/>
      <c r="H672" s="11"/>
      <c r="I672" s="11"/>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1"/>
      <c r="G673" s="11"/>
      <c r="H673" s="11"/>
      <c r="I673" s="11"/>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1"/>
      <c r="G674" s="11"/>
      <c r="H674" s="11"/>
      <c r="I674" s="11"/>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1"/>
      <c r="G675" s="11"/>
      <c r="H675" s="11"/>
      <c r="I675" s="11"/>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1"/>
      <c r="G676" s="11"/>
      <c r="H676" s="11"/>
      <c r="I676" s="11"/>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1"/>
      <c r="G677" s="11"/>
      <c r="H677" s="11"/>
      <c r="I677" s="11"/>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1"/>
      <c r="G678" s="11"/>
      <c r="H678" s="11"/>
      <c r="I678" s="11"/>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1"/>
      <c r="G679" s="11"/>
      <c r="H679" s="11"/>
      <c r="I679" s="11"/>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1"/>
      <c r="G680" s="11"/>
      <c r="H680" s="11"/>
      <c r="I680" s="11"/>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1"/>
      <c r="G681" s="11"/>
      <c r="H681" s="11"/>
      <c r="I681" s="11"/>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1"/>
      <c r="G682" s="11"/>
      <c r="H682" s="11"/>
      <c r="I682" s="11"/>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1"/>
      <c r="G683" s="11"/>
      <c r="H683" s="11"/>
      <c r="I683" s="11"/>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1"/>
      <c r="G684" s="11"/>
      <c r="H684" s="11"/>
      <c r="I684" s="11"/>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1"/>
      <c r="G685" s="11"/>
      <c r="H685" s="11"/>
      <c r="I685" s="11"/>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1"/>
      <c r="G686" s="11"/>
      <c r="H686" s="11"/>
      <c r="I686" s="11"/>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1"/>
      <c r="G687" s="11"/>
      <c r="H687" s="11"/>
      <c r="I687" s="11"/>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1"/>
      <c r="G688" s="11"/>
      <c r="H688" s="11"/>
      <c r="I688" s="11"/>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1"/>
      <c r="G689" s="11"/>
      <c r="H689" s="11"/>
      <c r="I689" s="11"/>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1"/>
      <c r="G690" s="11"/>
      <c r="H690" s="11"/>
      <c r="I690" s="11"/>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1"/>
      <c r="G691" s="11"/>
      <c r="H691" s="11"/>
      <c r="I691" s="11"/>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1"/>
      <c r="G692" s="11"/>
      <c r="H692" s="11"/>
      <c r="I692" s="11"/>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1"/>
      <c r="G693" s="11"/>
      <c r="H693" s="11"/>
      <c r="I693" s="11"/>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1"/>
      <c r="G694" s="11"/>
      <c r="H694" s="11"/>
      <c r="I694" s="11"/>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1"/>
      <c r="G695" s="11"/>
      <c r="H695" s="11"/>
      <c r="I695" s="11"/>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1"/>
      <c r="G696" s="11"/>
      <c r="H696" s="11"/>
      <c r="I696" s="11"/>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1"/>
      <c r="G697" s="11"/>
      <c r="H697" s="11"/>
      <c r="I697" s="11"/>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1"/>
      <c r="G698" s="11"/>
      <c r="H698" s="11"/>
      <c r="I698" s="11"/>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1"/>
      <c r="G699" s="11"/>
      <c r="H699" s="11"/>
      <c r="I699" s="11"/>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1"/>
      <c r="G700" s="11"/>
      <c r="H700" s="11"/>
      <c r="I700" s="11"/>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1"/>
      <c r="G701" s="11"/>
      <c r="H701" s="11"/>
      <c r="I701" s="11"/>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1"/>
      <c r="G702" s="11"/>
      <c r="H702" s="11"/>
      <c r="I702" s="11"/>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1"/>
      <c r="G703" s="11"/>
      <c r="H703" s="11"/>
      <c r="I703" s="11"/>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1"/>
      <c r="G704" s="11"/>
      <c r="H704" s="11"/>
      <c r="I704" s="11"/>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1"/>
      <c r="G705" s="11"/>
      <c r="H705" s="11"/>
      <c r="I705" s="11"/>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1"/>
      <c r="G706" s="11"/>
      <c r="H706" s="11"/>
      <c r="I706" s="11"/>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1"/>
      <c r="G707" s="11"/>
      <c r="H707" s="11"/>
      <c r="I707" s="11"/>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1"/>
      <c r="G708" s="11"/>
      <c r="H708" s="11"/>
      <c r="I708" s="11"/>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1"/>
      <c r="G709" s="11"/>
      <c r="H709" s="11"/>
      <c r="I709" s="11"/>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1"/>
      <c r="G710" s="11"/>
      <c r="H710" s="11"/>
      <c r="I710" s="11"/>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1"/>
      <c r="G711" s="11"/>
      <c r="H711" s="11"/>
      <c r="I711" s="11"/>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1"/>
      <c r="G712" s="11"/>
      <c r="H712" s="11"/>
      <c r="I712" s="11"/>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1"/>
      <c r="G713" s="11"/>
      <c r="H713" s="11"/>
      <c r="I713" s="11"/>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1"/>
      <c r="G714" s="11"/>
      <c r="H714" s="11"/>
      <c r="I714" s="11"/>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1"/>
      <c r="G715" s="11"/>
      <c r="H715" s="11"/>
      <c r="I715" s="11"/>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1"/>
      <c r="G716" s="11"/>
      <c r="H716" s="11"/>
      <c r="I716" s="11"/>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1"/>
      <c r="G717" s="11"/>
      <c r="H717" s="11"/>
      <c r="I717" s="11"/>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1"/>
      <c r="G718" s="11"/>
      <c r="H718" s="11"/>
      <c r="I718" s="11"/>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1"/>
      <c r="G719" s="11"/>
      <c r="H719" s="11"/>
      <c r="I719" s="11"/>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1"/>
      <c r="G720" s="11"/>
      <c r="H720" s="11"/>
      <c r="I720" s="11"/>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1"/>
      <c r="G721" s="11"/>
      <c r="H721" s="11"/>
      <c r="I721" s="11"/>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1"/>
      <c r="G722" s="11"/>
      <c r="H722" s="11"/>
      <c r="I722" s="11"/>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1"/>
      <c r="G723" s="11"/>
      <c r="H723" s="11"/>
      <c r="I723" s="11"/>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1"/>
      <c r="G724" s="11"/>
      <c r="H724" s="11"/>
      <c r="I724" s="11"/>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1"/>
      <c r="G725" s="11"/>
      <c r="H725" s="11"/>
      <c r="I725" s="11"/>
      <c r="J725" s="10"/>
      <c r="K725" s="10"/>
      <c r="L725" s="10"/>
      <c r="M725" s="10"/>
      <c r="N725" s="10"/>
      <c r="O725" s="10"/>
      <c r="P725" s="10"/>
      <c r="Q725" s="10"/>
      <c r="R725" s="10"/>
      <c r="S725" s="10"/>
      <c r="T725" s="10"/>
      <c r="U725" s="10"/>
      <c r="V725" s="10"/>
      <c r="W725" s="10"/>
      <c r="X725" s="10"/>
      <c r="Y725" s="10"/>
      <c r="Z725" s="10"/>
    </row>
  </sheetData>
  <drawing r:id="rId1"/>
</worksheet>
</file>