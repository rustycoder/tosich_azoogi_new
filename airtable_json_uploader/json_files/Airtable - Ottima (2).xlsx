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tima" sheetId="1" r:id="rId5"/>
  </sheets>
  <definedNames/>
  <calcPr/>
</workbook>
</file>

<file path=xl/sharedStrings.xml><?xml version="1.0" encoding="utf-8"?>
<sst xmlns="http://schemas.openxmlformats.org/spreadsheetml/2006/main" count="378" uniqueCount="236">
  <si>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</si>
  <si>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</si>
  <si>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</si>
  <si>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</si>
  <si>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</si>
  <si>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</si>
  <si>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</si>
  <si>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</si>
  <si>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</si>
  <si>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</si>
  <si>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</si>
  <si>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</si>
  <si>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</si>
  <si>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</si>
  <si>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</si>
  <si>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</si>
  <si>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</si>
  <si>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</si>
  <si>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</si>
  <si>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</si>
  <si>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</si>
  <si>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</si>
  <si>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</si>
  <si>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</si>
  <si>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</si>
  <si>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</si>
  <si>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</si>
  <si>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</si>
  <si>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</si>
  <si>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</si>
  <si>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ADR001</t>
  </si>
  <si>
    <t>Non-Dimmable Driver</t>
  </si>
  <si>
    <t>simple</t>
  </si>
  <si>
    <t>draft</t>
  </si>
  <si>
    <t>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t>
  </si>
  <si>
    <t>Elevate your space with elegant design and discreet luxury, creating a sophisticated, seamless glow.</t>
  </si>
  <si>
    <t>20W | 12V | IP67 | 30mm (W) x 20mm (H) x 220mm (L)</t>
  </si>
  <si>
    <t>Power|Voltage|IP Rating|Dimension</t>
  </si>
  <si>
    <t>{"SKU": "ADR001", "Power": "20W", "Voltage": "12V", "IP Rating": "IP67", "Dimension": "30mm (W) x 20mm (H) x 220mm (L)"}</t>
  </si>
  <si>
    <t>{"SKU": ["ADR001", "ADR002", "ADR003", "ADR004", "ADR005", "ADR006", "ADR007", "ADR008", "ADR009", "ADR010", "ADR011", "ADR012", "ADR015", "ADR016", "ADR-400-24V", "ADR-500-24V"], "Power": ["20W", "40W", "60W", "100W", "150W", "200W", "300W", "400W", "500W"], "Voltage": ["12V", "24V"], "IP Rating": "IP67", "Dimension": ["30mm (W) x 20mm (H) x 220mm (L)", "64mm (W) x 45mm (H) x 174mm (L)", "64mm (W) x 45mm (H) x 236mm (L)", "80mm (W) x 43mm (H) x 250mm (L)"]}</t>
  </si>
  <si>
    <t>{ "Options": { "Power": [ {"name": "20W", "id": "101"}, {"name": "40W", "id": "102"}, {"name": "60W", "id": "103"}, {"name": "100W", "id": "104"}, {"name": "150W", "id": "105"}, {"name": "200W", "id": "106"}, {"name": "300W", "id": "107"}, {"name": "400W", "id": "108"}, {"name": "500W", "id": "109"} ], "Voltage": [ {"name": "12V", "id": "110"}, {"name": "24V", "id": "111"} ], "IP Rating": [ {"name": "IP67", "id": "112"} ], "Dimension": [ {"name": "30mm (W) x 20mm (H) x 220mm (L)", "id": "113"}, {"name": "64mm (W) x 45mm (H) x 174mm (L)", "id": "114"}, {"name": "64mm (W) x 45mm (H) x 236mm (L)", "id": "115"}, {"name": "80mm (W) x 43mm (H) x 250mm (L)", "id": "116"} ] }, "Constraints": { "108": ["110"], "109": ["110"] }, "sku_mappings": [ { "sku": "ADR001", "combination": ["101", "110", "112", "113"] }, { "sku": "ADR002", "combination": ["101", "111", "112", "113"] }, { "sku": "ADR003", "combination": ["102", "110", "112", "113"] }, { "sku": "ADR004", "combination": ["102", "111", "112", "113"] }, { "sku": "ADR005", "combination": ["103", "110", "112", "114"] }, { "sku": "ADR006", "combination": ["103", "111", "112", "114"] }, { "sku": "ADR007", "combination": ["104", "110", "112", "115"] }, { "sku": "ADR008", "combination": ["104", "111", "112", "115"] }, { "sku": "ADR009", "combination": ["105", "110", "112", "115"] }, { "sku": "ADR010", "combination": ["105", "111", "112", "115"] }, { "sku": "ADR011", "combination": ["106", "110", "112", "115"] }, { "sku": "ADR012", "combination": ["106", "111", "112", "115"] }, { "sku": "ADR015", "combination": ["107", "110", "112", "116"] }, { "sku": "ADR016", "combination": ["107", "111", "112", "116"] }, { "sku": "ADR-400-24V", "combination": ["108", "111", "112", "116"] }, { "sku": "ADR-500-24V", "combination": ["109", "111", "112", "116"] } ] }</t>
  </si>
  <si>
    <t>CHINA - OTTIMA TECHNOLOGY</t>
  </si>
  <si>
    <t>OTM-W20-12</t>
  </si>
  <si>
    <t>Yes</t>
  </si>
  <si>
    <t>non-dimmable driver, 20W LED driver, 12V power supply, IP67 waterproof driver, outdoor lighting power, architectural LED driver</t>
  </si>
  <si>
    <t>ADR002</t>
  </si>
  <si>
    <t>20W | 24V | IP67 | 30mm (W) x 20mm (H) x 220mm (L)</t>
  </si>
  <si>
    <t>{"SKU": "ADR002", "Power": "20W", "Voltage": "24V", "IP Rating": "IP67", "Dimension": "30mm (W) x 20mm (H) x 220mm (L)"}</t>
  </si>
  <si>
    <t>OTM-W20-24</t>
  </si>
  <si>
    <t>ADR003</t>
  </si>
  <si>
    <t>40W | 12V | IP67 | 30mm (W) x 20mm (H) x 220mm (L)</t>
  </si>
  <si>
    <t>{"SKU": "ADR003", "Power": "40W", "Voltage": "12V", "IP Rating": "IP67", "Dimension": "30mm (W) x 20mm (H) x 220mm (L)"}</t>
  </si>
  <si>
    <t>OTM-W40-12</t>
  </si>
  <si>
    <t>ADR004</t>
  </si>
  <si>
    <t>40W | 24V | IP67 | 30mm (W) x 20mm (H) x 220mm (L)</t>
  </si>
  <si>
    <t>{"SKU": "ADR004", "Power": "40W", "Voltage": "24V", "IP Rating": "IP67", "Dimension": "30mm (W) x 20mm (H) x 220mm (L)"}</t>
  </si>
  <si>
    <t>OTM-W40-24</t>
  </si>
  <si>
    <t>ADR005</t>
  </si>
  <si>
    <t>60W | 12V | IP67 | 64mm (W) x 45mm (H) x 174mm (L)</t>
  </si>
  <si>
    <t>{"SKU": "ADR005", "Power": "60W", "Voltage": "12V", "IP Rating": "IP67", "Dimension": "64mm (W) x 45mm (H) x 174mm (L)"}</t>
  </si>
  <si>
    <t>OTM-W60-12</t>
  </si>
  <si>
    <t>ADR006</t>
  </si>
  <si>
    <t>60W | 24V | IP67 | 64mm (W) x 45mm (H) x 174mm (L)</t>
  </si>
  <si>
    <t>{"SKU": "ADR006", "Power": "60W", "Voltage": "24V", "IP Rating": "IP67", "Dimension": "64mm (W) x 45mm (H) x 174mm (L)"}</t>
  </si>
  <si>
    <t>OTM-W60-24</t>
  </si>
  <si>
    <t>ADR007</t>
  </si>
  <si>
    <t>100W | 12V | IP67 | 64mm (W) x 45mm (H) x 236mm (L)</t>
  </si>
  <si>
    <t>{"SKU": "ADR007", "Power": "100W", "Voltage": "12V", "IP Rating": "IP67", "Dimension": "64mm (W) x 45mm (H) x 236mm (L)"}</t>
  </si>
  <si>
    <t>OTM-W100-12</t>
  </si>
  <si>
    <t>ADR008</t>
  </si>
  <si>
    <t>100W | 24V | IP67 | 64mm (W) x 45mm (H) x 236mm (L)</t>
  </si>
  <si>
    <t>{"SKU": "ADR008", "Power": "100W", "Voltage": "24V", "IP Rating": "IP67", "Dimension": "64mm (W) x 45mm (H) x 236mm (L)"}</t>
  </si>
  <si>
    <t>OTM-W100-24</t>
  </si>
  <si>
    <t>ADR009</t>
  </si>
  <si>
    <t>150W | 12V | IP67 | 64mm (W) x 45mm (H) x 236mm (L)</t>
  </si>
  <si>
    <t>{"SKU": "ADR009", "Power": "150W", "Voltage": "12V", "IP Rating": "IP67", "Dimension": "64mm (W) x 45mm (H) x 236mm (L)"}</t>
  </si>
  <si>
    <t>OTM-W150-12</t>
  </si>
  <si>
    <t>ADR010</t>
  </si>
  <si>
    <t>150W | 24V | IP67 | 64mm (W) x 45mm (H) x 236mm (L)</t>
  </si>
  <si>
    <t>{"SKU": "ADR010", "Power": "150W", "Voltage": "24V", "IP Rating": "IP67", "Dimension": "64mm (W) x 45mm (H) x 236mm (L)"}</t>
  </si>
  <si>
    <t>OTM-W150-24</t>
  </si>
  <si>
    <t>ADR011</t>
  </si>
  <si>
    <t>200W | 12V | IP67 | 64mm (W) x 45mm (H) x 236mm (L)</t>
  </si>
  <si>
    <t>{"SKU": "ADR011", "Power": "200W", "Voltage": "12V", "IP Rating": "IP67", "Dimension": "64mm (W) x 45mm (H) x 236mm (L)"}</t>
  </si>
  <si>
    <t>OTM-W200-12</t>
  </si>
  <si>
    <t>ADR012</t>
  </si>
  <si>
    <t>200W | 24V | IP67 | 64mm (W) x 45mm (H) x 236mm (L)</t>
  </si>
  <si>
    <t>{"SKU": "ADR012", "Power": "200W", "Voltage": "24V", "IP Rating": "IP67", "Dimension": "64mm (W) x 45mm (H) x 236mm (L)"}</t>
  </si>
  <si>
    <t>OTM-W200-24</t>
  </si>
  <si>
    <t>ADR015</t>
  </si>
  <si>
    <t>300W | 12V | IP67 | 80mm (W) x 43mm (H) x 250mm (L)</t>
  </si>
  <si>
    <t>{"SKU": "ADR015", "Power": "300W", "Voltage": "12V", "IP Rating": "IP67", "Dimension": "80mm (W) x 43mm (H) x 250mm (L)"}</t>
  </si>
  <si>
    <t>OTM-W300-12</t>
  </si>
  <si>
    <t>ADR016</t>
  </si>
  <si>
    <t>300W | 24V | IP67 | 80mm (W) x 43mm (H) x 250mm (L)</t>
  </si>
  <si>
    <t>{"SKU": "ADR016", "Power": "300W", "Voltage": "24V", "IP Rating": "IP67", "Dimension": "80mm (W) x 43mm (H) x 250mm (L)"}</t>
  </si>
  <si>
    <t>OTM-W300-24</t>
  </si>
  <si>
    <t>ADR-400-24V</t>
  </si>
  <si>
    <t>400W | 24V | IP67 | 80mm (W) x 43mm (H) x 250mm (L)</t>
  </si>
  <si>
    <t>{"SKU": "ADR-400-24V", "Power": "400W", "Voltage": "24V", "IP Rating": "IP67", "Dimension": "80mm (W) x 43mm (H) x 250mm (L)"}</t>
  </si>
  <si>
    <t>OTM-W400-24</t>
  </si>
  <si>
    <t>ADR-500-24V</t>
  </si>
  <si>
    <t>500W | 24V | IP67 | 80mm (W) x 43mm (H) x 250mm (L)</t>
  </si>
  <si>
    <t>{"SKU": "ADR-500-24V", "Power": "500W", "Voltage": "24V", "IP Rating": "IP67", "Dimension": "80mm (W) x 43mm (H) x 250mm (L)"}</t>
  </si>
  <si>
    <t>OTM-W500-24</t>
  </si>
  <si>
    <t>No</t>
  </si>
  <si>
    <t>ADR003D</t>
  </si>
  <si>
    <t>5-in-1 Dimming Driver</t>
  </si>
  <si>
    <t>30W | 12V | IP67 | Triac | 0-10V | 1-10V | PWM | Potentiometer | 262mm (W) x 33mm (H) x 21mm (L)</t>
  </si>
  <si>
    <t>Power|Voltage|IP Rating|AC Phase-Cut|Current Sinking|Current Sourcing|Duty Cycle|Variable Resistance|Dimension</t>
  </si>
  <si>
    <t>{"SKU": "ADR003D", "Power": "30W", "Voltage": "12V", "IP Rating": "IP67", "AC Phase-Cut": "Triac", "Current Sinking": "0-10V", "Current Sourcing": "1-10V", "Duty Cycle": "PWM", "Variable Resistance": "Potentiometer", "Dimension": "262mm (W) x 33mm (H) x 21mm (L)"}</t>
  </si>
  <si>
    <t>{"SKU": ["ADR003D", "ADR004D", "ADR005D", "ADR006D", "ADR007D", "ADR008D", "ADR009D", "ADR010D", "ADR011D", "ADR012D", "ADR015D", "ADR016D"], "Power": ["30W", "60W", "100W", "150W", "200W", "300W"], "Voltage": ["12V", "24V"], "IP Rating": "IP67", "AC Phase-Cut": "Triac", "Current Sinking": "0-10V", "Current Sourcing": "1-10V", "Duty Cycle": "PWM", "Variable Resistance": "Potentiometer", "Dimension": ["262mm (W) x 33mm (H) x 21mm (L)", "300mm (W) x 32mm (H) x 20mm (L)", "330mm (W) x 33mm (H) x 24mm (L)", "368mm (W) x 33mm (H) x 24mm (L)", "256mm (W) x 78mm (H) x 47mm (L)", "276mm (W) x 78mm (H) x 48mm (L)"]}</t>
  </si>
  <si>
    <t>{
"Options": {
"Power": [
{"name": "30W", "id": "101"},
{"name": "60W", "id": "102"},
{"name": "100W", "id": "103"},
{"name": "150W", "id": "104"},
{"name": "200W", "id": "105"},
{"name": "300W", "id": "106"}
],
"Voltage": [
{"name": "12V", "id": "107"},
{"name": "24V", "id": "108"}
],
"IP Rating": [
{"name": "IP67", "id": "109"}
],
"AC Phase-Cut": [
{"name": "Triac", "id": "110"}
],
"Current Sinking": [
{"name": "0-10V", "id": "111"}
],
"Current Sourcing": [
{"name": "1-10V", "id": "112"}
],
"Duty Cycle": [
{"name": "PWM", "id": "113"}
],
"Variable Resistance": [
{"name": "Potentiometer", "id": "114"}
],
"Dimension": [
{"name": "262mm (W) x 33mm (H) x 21mm (L)", "id": "115"},
{"name": "300mm (W) x 32mm (H) x 20mm (L)", "id": "116"},
{"name": "330mm (W) x 33mm (H) x 24mm (L)", "id": "117"},
{"name": "368mm (W) x 33mm (H) x 24mm (L)", "id": "118"},
{"name": "256mm (W) x 78mm (H) x 47mm (L)", "id": "119"},
{"name": "276mm (W) x 78mm (H) x 48mm (L)", "id": "120"},
{"name": "78mm (W) x 25.1mm (H) x 200mm (L)", "id": "121"},
{"name": "78mm (W) x 25.1mm (H) x 231mm (L)", "id": "122"}
]
},
"Constraints": {},
"sku_mappings": [
{ "sku": "ADR003D", "combination": ["101", "107", "109", "110", "111", "112", "113", "114", "115"] },
{ "sku": "ADR004D", "combination": ["101", "108", "109", "110", "111", "112", "113", "114", "115"] },
{ "sku": "ADR005D", "combination": ["102", "107", "109", "110", "111", "112", "113", "114", "116"] },
{ "sku": "ADR006D", "combination": ["102", "108", "109", "110", "111", "112", "113", "114", "116"] },
{ "sku": "ADR007D", "combination": ["103", "107", "109", "110", "111", "112", "113", "114", "117"] },
{ "sku": "ADR008D", "combination": ["103", "108", "109", "110", "111", "112", "113", "114", "117"] },
{ "sku": "ADR009D", "combination": ["104", "107", "109", "110", "111", "112", "113", "114", "118"] },
{ "sku": "ADR010D", "combination": ["104", "108", "109", "110", "111", "112", "113", "114", "118"] },
{ "sku": "ADR011D", "combination": ["105", "107", "109", "110", "111", "112", "113", "114", "119"] },
{ "sku": "ADR012D", "combination": ["105", "108", "109", "110", "111", "112", "113", "114", "119"] },
{ "sku": "ADR015D", "combination": ["106", "107", "109", "110", "111", "112", "113", "114", "120"] },
{ "sku": "ADR016D", "combination": ["106", "108", "109", "110", "111", "112", "113", "114", "120"] },
{ "sku": "ADR005DA", "combination": ["102", "107", "109", "121"] },
{ "sku": "ADR006DA", "combination": ["102", "108", "109", "121"] },
{ "sku": "ADR007DA", "combination": ["103", "107", "109", "122"] },
{ "sku": "ADR008DA", "combination": ["103", "108", "109", "122"] }
]
}</t>
  </si>
  <si>
    <t>OTM-TD30-12</t>
  </si>
  <si>
    <t>Dimming Driver, LED Driver, 5-in-1 Dimmer, IP67 Waterproof, 12V Power Supply, Triac Dimmer</t>
  </si>
  <si>
    <t>ADR004D</t>
  </si>
  <si>
    <t>30W | 24V | IP67 | Triac | 0-10V | 1-10V | PWM | Potentiometer | 262mm (W) x 33mm (H) x 21mm (L)</t>
  </si>
  <si>
    <t>{"SKU": "ADR004D", "Power": "30W", "Voltage": "24V", "IP Rating": "IP67", "AC Phase-Cut": "Triac", "Current Sinking": "0-10V", "Current Sourcing": "1-10V", "Duty Cycle": "PWM", "Variable Resistance": "Potentiometer", "Dimension": "262mm (W) x 33mm (H) x 21mm (L)"}</t>
  </si>
  <si>
    <t>OTM-TD30-24</t>
  </si>
  <si>
    <t>ADR005D</t>
  </si>
  <si>
    <t>60W | 12V | IP67 | Triac | 0-10V | 1-10V | PWM | Potentiometer | 300mm (W) x 32mm (H) x 20mm (L)</t>
  </si>
  <si>
    <t>{"SKU": "ADR005D", "Power": "60W", "Voltage": "12V", "IP Rating": "IP67", "AC Phase-Cut": "Triac", "Current Sinking": "0-10V", "Current Sourcing": "1-10V", "Duty Cycle": "PWM", "Variable Resistance": "Potentiometer", "Dimension": "300mm (W) x 32mm (H) x 20mm (L)"}</t>
  </si>
  <si>
    <t>OTM-TD60-12</t>
  </si>
  <si>
    <t>ADR006D</t>
  </si>
  <si>
    <t>60W | 24V | IP67 | Triac | 0-10V | 1-10V | PWM | Potentiometer | 300mm (W) x 32mm (H) x 20mm (L)</t>
  </si>
  <si>
    <t>{"SKU": "ADR006D", "Power": "60W", "Voltage": "24V", "IP Rating": "IP67", "AC Phase-Cut": "Triac", "Current Sinking": "0-10V", "Current Sourcing": "1-10V", "Duty Cycle": "PWM", "Variable Resistance": "Potentiometer", "Dimension": "300mm (W) x 32mm (H) x 20mm (L)"}</t>
  </si>
  <si>
    <t>OTM-TD60-24</t>
  </si>
  <si>
    <t>ADR007D</t>
  </si>
  <si>
    <t>100W | 12V | IP67 | Triac | 0-10V | 1-10V | PWM | Potentiometer | 330mm (W) x 33mm (H) x 24mm (L)</t>
  </si>
  <si>
    <t>{"SKU": "ADR007D", "Power": "100W", "Voltage": "12V", "IP Rating": "IP67", "AC Phase-Cut": "Triac", "Current Sinking": "0-10V", "Current Sourcing": "1-10V", "Duty Cycle": "PWM", "Variable Resistance": "Potentiometer", "Dimension": "330mm (W) x 33mm (H) x 24mm (L)"}</t>
  </si>
  <si>
    <t>OTM-TD100-12</t>
  </si>
  <si>
    <t>ADR008D</t>
  </si>
  <si>
    <t>100W | 24V | IP67 | Triac | 0-10V | 1-10V | PWM | Potentiometer | 330mm (W) x 33mm (H) x 24mm (L)</t>
  </si>
  <si>
    <t>{"SKU": "ADR008D", "Power": "100W", "Voltage": "24V", "IP Rating": "IP67", "AC Phase-Cut": "Triac", "Current Sinking": "0-10V", "Current Sourcing": "1-10V", "Duty Cycle": "PWM", "Variable Resistance": "Potentiometer", "Dimension": "330mm (W) x 33mm (H) x 24mm (L)"}</t>
  </si>
  <si>
    <t>OTM-TD100-24</t>
  </si>
  <si>
    <t>ADR009D</t>
  </si>
  <si>
    <t>150W | 12V | IP67 | Triac | 0-10V | 1-10V | PWM | Potentiometer | 368mm (W) x 33mm (H) x 24mm (L)</t>
  </si>
  <si>
    <t>{"SKU": "ADR009D", "Power": "150W", "Voltage": "12V", "IP Rating": "IP67", "AC Phase-Cut": "Triac", "Current Sinking": "0-10V", "Current Sourcing": "1-10V", "Duty Cycle": "PWM", "Variable Resistance": "Potentiometer", "Dimension": "368mm (W) x 33mm (H) x 24mm (L)"}</t>
  </si>
  <si>
    <t>OTM-TD150-12</t>
  </si>
  <si>
    <t>ADR010D</t>
  </si>
  <si>
    <t>150W | 24V | IP67 | Triac | 0-10V | 1-10V | PWM | Potentiometer | 368mm (W) x 33mm (H) x 24mm (L)</t>
  </si>
  <si>
    <t>{"SKU": "ADR010D", "Power": "150W", "Voltage": "24V", "IP Rating": "IP67", "AC Phase-Cut": "Triac", "Current Sinking": "0-10V", "Current Sourcing": "1-10V", "Duty Cycle": "PWM", "Variable Resistance": "Potentiometer", "Dimension": "368mm (W) x 33mm (H) x 24mm (L)"}</t>
  </si>
  <si>
    <t>OTM-TD150-24</t>
  </si>
  <si>
    <t>ADR011D</t>
  </si>
  <si>
    <t>200W | 12V | IP67 | Triac | 0-10V | 1-10V | PWM | Potentiometer | 256mm (W) x 78mm (H) x 47mm (L)</t>
  </si>
  <si>
    <t>{"SKU": "ADR011D", "Power": "200W", "Voltage": "12V", "IP Rating": "IP67", "AC Phase-Cut": "Triac", "Current Sinking": "0-10V", "Current Sourcing": "1-10V", "Duty Cycle": "PWM", "Variable Resistance": "Potentiometer", "Dimension": "256mm (W) x 78mm (H) x 47mm (L)"}</t>
  </si>
  <si>
    <t>OTM-TD200-12</t>
  </si>
  <si>
    <t>ADR012D</t>
  </si>
  <si>
    <t>200W | 24V | IP67 | Triac | 0-10V | 1-10V | PWM | Potentiometer | 256mm (W) x 78mm (H) x 47mm (L)</t>
  </si>
  <si>
    <t>{"SKU": "ADR012D", "Power": "200W", "Voltage": "24V", "IP Rating": "IP67", "AC Phase-Cut": "Triac", "Current Sinking": "0-10V", "Current Sourcing": "1-10V", "Duty Cycle": "PWM", "Variable Resistance": "Potentiometer", "Dimension": "256mm (W) x 78mm (H) x 47mm (L)"}</t>
  </si>
  <si>
    <t>OTM-TD200-24</t>
  </si>
  <si>
    <t>ADR015D</t>
  </si>
  <si>
    <t>300W | 12V | IP67 | Triac | 0-10V | 1-10V | PWM | Potentiometer | 276mm (W) x 78mm (H) x 48mm (L)</t>
  </si>
  <si>
    <t>{"SKU": "ADR015D", "Power": "300W", "Voltage": "12V", "IP Rating": "IP67", "AC Phase-Cut": "Triac", "Current Sinking": "0-10V", "Current Sourcing": "1-10V", "Duty Cycle": "PWM", "Variable Resistance": "Potentiometer", "Dimension": "276mm (W) x 78mm (H) x 48mm (L)"}</t>
  </si>
  <si>
    <t>OTM-TD300-12</t>
  </si>
  <si>
    <t>ADR016D</t>
  </si>
  <si>
    <t>300W | 24V | IP67 | Triac | 0-10V | 1-10V | PWM | Potentiometer | 276mm (W) x 78mm (H) x 48mm (L)</t>
  </si>
  <si>
    <t>{"SKU": "ADR016D", "Power": "300W", "Voltage": "24V", "IP Rating": "IP67", "AC Phase-Cut": "Triac", "Current Sinking": "0-10V", "Current Sourcing": "1-10V", "Duty Cycle": "PWM", "Variable Resistance": "Potentiometer", "Dimension": "276mm (W) x 78mm (H) x 48mm (L)"}</t>
  </si>
  <si>
    <t>OTM-TD300-24</t>
  </si>
  <si>
    <t>ADR005DA</t>
  </si>
  <si>
    <t>DALI-2 &amp; PUSH 2 in 1 Dimmable Driver</t>
  </si>
  <si>
    <t>Elevate your spaces into a breathtaking visual journey of elegant design and discreet luxury with a sophisticated, seamless glow. This premium dimmable driver offers the perfect blend of modern innovation and refined elegance, effortlessly transforming your environment into a warm, welcoming retreat. Designed for those who appreciate flawless execution and an unparalleled touch of ambiance, it beautifully highlights your architecture to create a captivating and serene atmosphere. Unwind in the stunning, soft illumination that brings your vision to life and makes every evening feel truly magical.</t>
  </si>
  <si>
    <t>Transform your space with elegant design and discreet luxury. Enjoy a sophisticated, seamless glow that brings your vision to life and makes every moment feel truly magical.</t>
  </si>
  <si>
    <t>60W | 12V | IP67 | 78mm (W) x 25.1mm (H) x 200mm (L)</t>
  </si>
  <si>
    <t>{"SKU": "ADR005DA", "Power": "60W", "Voltage": "12V", "IP Rating": "IP67", "Dimension": "78mm (W) x 25.1mm (H) x 200mm (L)"}</t>
  </si>
  <si>
    <t>{"SKU": ["ADR005DA", "ADR006DA", "ADR007DA", "ADR008DA", "ADR009DA", "ADR010DA", "ADR011DA", "ADR012DA", "ADR015DA", "ADR016DA", "ADR-360-24-DALI"], "Power": ["60W", "100W", "150W", "200W", "300W", "360W"], "Voltage": ["12V", "24V"], "IP Rating": "IP67", "Dimension": ["78mm (W) x 25.1mm (H) x 200mm (L)", "78mm (W) x 25.1mm (H) x 231mm (L)", "78mm (W) x 25.1mm (H) x 278mm (L)", "78mm (W) x 25.1mm (H) x 301mm (L)"]}</t>
  </si>
  <si>
    <t>{
"Options": {
"Power": [
{"name": "60W", "id": "101"},
{"name": "100W", "id": "102"},
{"name": "150W", "id": "103"},
{"name": "200W", "id": "104"},
{"name": "300W", "id": "105"},
{"name": "360W", "id": "106"},
{"name": "20W", "id": "107"},
{"name": "40W", "id": "108"},
{"name": "80W", "id": "109"}
],
"Voltage": [
{"name": "12V", "id": "110"},
{"name": "24V", "id": "111"},
{"name": "12V/24V", "id": "112"}
],
"IP Rating": [
{"name": "IP67", "id": "113"},
{"name": "IP20", "id": "114"}
],
"Dimension": [
{"name": "78mm (W) x 25.1mm (H) x 200mm (L)", "id": "115"},
{"name": "78mm (W) x 25.1mm (H) x 231mm (L)", "id": "116"},
{"name": "78mm (W) x 25.1mm (H) x 278mm (L)", "id": "117"},
{"name": "78mm (W) x 25.1mm (H) x 301mm (L)", "id": "118"},
{"name": "70mm (W) x 43mm (H) x 180mm (L)", "id": "119"},
{"name": "85mm (W) x 45mm (H) x 230mm (L)", "id": "120"}
]
},
"Constraints": {
"106": ["110"]
},
"sku_mappings": [
{ "sku": "ADR005DA", "combination": ["101", "110", "113", "115"] },
{ "sku": "ADR006DA", "combination": ["101", "111", "113", "115"] },
{ "sku": "ADR007DA", "combination": ["102", "110", "113", "116"] },
{ "sku": "ADR008DA", "combination": ["102", "111", "113", "116"] },
{ "sku": "ADR009DA", "combination": ["103", "110", "113", "117"] },
{ "sku": "ADR010DA", "combination": ["103", "111", "113", "117"] },
{ "sku": "ADR011DA", "combination": ["104", "110", "113", "117"] },
{ "sku": "ADR012DA", "combination": ["104", "111", "113", "117"] },
{ "sku": "ADR015DA", "combination": ["105", "110", "113", "118"] },
{ "sku": "ADR016DA", "combination": ["105", "111", "113", "118"] },
{ "sku": "ADR-360-24-DALI", "combination": ["106", "111", "113", "118"] },
{ "sku": "ADR-S12V24V-20W", "combination": ["107", "112", "114", "119"] },
{ "sku": "ADR-S12V24V-40W", "combination": ["108", "112", "114", "120"] },
{ "sku": "ADR-S12V24V-60W", "combination": ["101", "112", "114", "120"] },
{ "sku": "ADR-S12V24V-80W", "combination": ["109", "112", "114", "120"] },
{ "sku": "ADR-S12V24V-100W", "combination": ["102", "112", "114", "120"] }
]
}</t>
  </si>
  <si>
    <t>OTM-DD60-12</t>
  </si>
  <si>
    <t>DALI-2 dimmable driver, PUSH dimmable driver, 60W LED driver, 12V power supply, IP67 waterproof driver, 2-in-1 LED driver</t>
  </si>
  <si>
    <t>ADR006DA</t>
  </si>
  <si>
    <t>60W | 24V | IP67 | 78mm (W) x 25.1mm (H) x 200mm (L)</t>
  </si>
  <si>
    <t>{"SKU": "ADR006DA", "Power": "60W", "Voltage": "24V", "IP Rating": "IP67", "Dimension": "78mm (W) x 25.1mm (H) x 200mm (L)"}</t>
  </si>
  <si>
    <t>OTM-DD60-24</t>
  </si>
  <si>
    <t>ADR007DA</t>
  </si>
  <si>
    <t>100W | 12V | IP67 | 78mm (W) x 25.1mm (H) x 231mm (L)</t>
  </si>
  <si>
    <t>{"SKU": "ADR007DA", "Power": "100W", "Voltage": "12V", "IP Rating": "IP67", "Dimension": "78mm (W) x 25.1mm (H) x 231mm (L)"}</t>
  </si>
  <si>
    <t>OTM-DD100-12</t>
  </si>
  <si>
    <t>ADR008DA</t>
  </si>
  <si>
    <t>100W | 24V | IP67 | 78mm (W) x 25.1mm (H) x 231mm (L)</t>
  </si>
  <si>
    <t>{"SKU": "ADR008DA", "Power": "100W", "Voltage": "24V", "IP Rating": "IP67", "Dimension": "78mm (W) x 25.1mm (H) x 231mm (L)"}</t>
  </si>
  <si>
    <t>OTM-DD100-24</t>
  </si>
  <si>
    <t>ADR009DA</t>
  </si>
  <si>
    <t>150W | 12V | IP67 | 78mm (W) x 25.1mm (H) x 278mm (L)</t>
  </si>
  <si>
    <t>{"SKU": "ADR009DA", "Power": "150W", "Voltage": "12V", "IP Rating": "IP67", "Dimension": "78mm (W) x 25.1mm (H) x 278mm (L)"}</t>
  </si>
  <si>
    <t>OTM-DD150-12</t>
  </si>
  <si>
    <t>ADR010DA</t>
  </si>
  <si>
    <t>150W | 24V | IP67 | 78mm (W) x 25.1mm (H) x 278mm (L)</t>
  </si>
  <si>
    <t>{"SKU": "ADR010DA", "Power": "150W", "Voltage": "24V", "IP Rating": "IP67", "Dimension": "78mm (W) x 25.1mm (H) x 278mm (L)"}</t>
  </si>
  <si>
    <t>OTM-DD150-24</t>
  </si>
  <si>
    <t>ADR011DA</t>
  </si>
  <si>
    <t>200W | 12V | IP67 | 78mm (W) x 25.1mm (H) x 278mm (L)</t>
  </si>
  <si>
    <t>{"SKU": "ADR011DA", "Power": "200W", "Voltage": "12V", "IP Rating": "IP67", "Dimension": "78mm (W) x 25.1mm (H) x 278mm (L)"}</t>
  </si>
  <si>
    <t>OTM-DD200-12</t>
  </si>
  <si>
    <t>ADR012DA</t>
  </si>
  <si>
    <t>200W | 24V | IP67 | 78mm (W) x 25.1mm (H) x 278mm (L)</t>
  </si>
  <si>
    <t>{"SKU": "ADR012DA", "Power": "200W", "Voltage": "24V", "IP Rating": "IP67", "Dimension": "78mm (W) x 25.1mm (H) x 278mm (L)"}</t>
  </si>
  <si>
    <t>OTM-DD200-24</t>
  </si>
  <si>
    <t>ADR015DA</t>
  </si>
  <si>
    <t>300W | 12V | IP67 | 78mm (W) x 25.1mm (H) x 301mm (L)</t>
  </si>
  <si>
    <t>{"SKU": "ADR015DA", "Power": "300W", "Voltage": "12V", "IP Rating": "IP67", "Dimension": "78mm (W) x 25.1mm (H) x 301mm (L)"}</t>
  </si>
  <si>
    <t>OTM-DD300-12</t>
  </si>
  <si>
    <t>ADR016DA</t>
  </si>
  <si>
    <t>300W | 24V | IP67 | 78mm (W) x 25.1mm (H) x 301mm (L)</t>
  </si>
  <si>
    <t>{"SKU": "ADR016DA", "Power": "300W", "Voltage": "24V", "IP Rating": "IP67", "Dimension": "78mm (W) x 25.1mm (H) x 301mm (L)"}</t>
  </si>
  <si>
    <t>OTM-DD300-24</t>
  </si>
  <si>
    <t>ADR-360-24-DALI</t>
  </si>
  <si>
    <t>360W | 24V | IP67 | 78mm (W) x 25.1mm (H) x 301mm (L)</t>
  </si>
  <si>
    <t>{"SKU": "ADR-360-24-DALI", "Power": "360W", "Voltage": "24V", "IP Rating": "IP67", "Dimension": "78mm (W) x 25.1mm (H) x 301mm (L)"}</t>
  </si>
  <si>
    <t>OTM-DD350-24</t>
  </si>
  <si>
    <t>ADR-S12V24V-20W</t>
  </si>
  <si>
    <t>Switchable Driver</t>
  </si>
  <si>
    <t>Transform your spaces into a breathtaking visual journey with a perfect blend of elegance and modern design. This premium lighting solution offers seamless integration into your environment, casting a warm, sophisticated glow that effortlessly enhances the natural beauty of your architecture. Crafted for those who appreciate refined detail and discreet luxury, it adds an unparalleled touch of ambiance, warmth, and style to any setting, making it the ultimate choice for elevated architectural illumination.</t>
  </si>
  <si>
    <t>Elevate your environment with a perfect blend of elegance and modern design, casting a warm, sophisticated glow that adds an unparalleled touch of ambiance and luxury.</t>
  </si>
  <si>
    <t>12V/24V | 20W | IP20 | 70mm (W) x 43mm (H) x 180mm (L)</t>
  </si>
  <si>
    <t>Voltage|Power|IP Rating|Dimension</t>
  </si>
  <si>
    <t>{"SKU": "ADR-S12V24V-20W", "Voltage": "12V/24V", "Power": "20W", "IP Rating": "IP20", "Dimension": "70mm (W) x 43mm (H) x 180mm (L)"}</t>
  </si>
  <si>
    <t>{"SKU": ["ADR-S12V24V-20W", "ADR-S12V24V-40W", "ADR-S12V24V-60W", "ADR-S12V24V-80W", "ADR-S12V24V-100W"], "Voltage": "12V/24V", "Power": ["20W", "40W", "60W", "80W", "100W"], "IP Rating": "IP20", "Dimension": ["70mm (W) x 43mm (H) x 180mm (L)", "85mm (W) x 45mm (H) x 230mm (L)"]}</t>
  </si>
  <si>
    <t>{ "Options": { "Voltage": [ {"name": "12V/24V", "id": "101"} ], "Power": [ {"name": "20W", "id": "102"}, {"name": "40W", "id": "103"}, {"name": "60W", "id": "104"}, {"name": "80W", "id": "105"}, {"name": "100W", "id": "106"} ], "IP Rating": [ {"name": "IP20", "id": "107"} ], "Dimension": [ {"name": "70mm (W) x 43mm (H) x 180mm (L)", "id": "108"}, {"name": "85mm (W) x 45mm (H) x 230mm (L)", "id": "109"} ] }, "Constraints": { "102": ["109"], "103": ["108"], "104": ["108"], "105": ["108"], "106": ["108"] }, "sku_mappings": [ { "sku": "ADR-S12V24V-20W", "combination": ["101", "102", "107", "108"] }, { "sku": "ADR-S12V24V-40W", "combination": ["101", "103", "107", "109"] }, { "sku": "ADR-S12V24V-60W", "combination": ["101", "104", "107", "109"] }, { "sku": "ADR-S12V24V-80W", "combination": ["101", "105", "107", "109"] }, { "sku": "ADR-S12V24V-100W", "combination": ["101", "106", "107", "109"] } ] }</t>
  </si>
  <si>
    <t>OTM-E20-VC</t>
  </si>
  <si>
    <t>switchable driver, 20W LED driver, 12V 24V power supply, IP20 LED driver, dual voltage power supply, architectural LED driver</t>
  </si>
  <si>
    <t>ADR-S12V24V-40W</t>
  </si>
  <si>
    <t>12V/24V | 40W | IP20 | 85mm (W) x 45mm (H) x 230mm (L)</t>
  </si>
  <si>
    <t>{"SKU": "ADR-S12V24V-40W", "Voltage": "12V/24V", "Power": "40W", "IP Rating": "IP20", "Dimension": "85mm (W) x 45mm (H) x 230mm (L)"}</t>
  </si>
  <si>
    <t>OTM-E40-VC</t>
  </si>
  <si>
    <t>ADR-S12V24V-60W</t>
  </si>
  <si>
    <t>12V/24V | 60W | IP20 | 85mm (W) x 45mm (H) x 230mm (L)</t>
  </si>
  <si>
    <t>{"SKU": "ADR-S12V24V-60W", "Voltage": "12V/24V", "Power": "60W", "IP Rating": "IP20", "Dimension": "85mm (W) x 45mm (H) x 230mm (L)"}</t>
  </si>
  <si>
    <t>OTM-E60-VC</t>
  </si>
  <si>
    <t>ADR-S12V24V-80W</t>
  </si>
  <si>
    <t>12V/24V | 80W | IP20 | 85mm (W) x 45mm (H) x 230mm (L)</t>
  </si>
  <si>
    <t>{"SKU": "ADR-S12V24V-80W", "Voltage": "12V/24V", "Power": "80W", "IP Rating": "IP20", "Dimension": "85mm (W) x 45mm (H) x 230mm (L)"}</t>
  </si>
  <si>
    <t>OTM-E80-VC</t>
  </si>
  <si>
    <t>ADR-S12V24V-100W</t>
  </si>
  <si>
    <t>12V/24V | 100W | IP20 | 85mm (W) x 45mm (H) x 230mm (L)</t>
  </si>
  <si>
    <t>{"SKU": "ADR-S12V24V-100W", "Voltage": "12V/24V", "Power": "100W", "IP Rating": "IP20", "Dimension": "85mm (W) x 45mm (H) x 230mm (L)"}</t>
  </si>
  <si>
    <t>OTM-E1000-VC</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</si>
</sst>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sz val="10.0"/>
      <color rgb="FF434343"/>
      <name val="DM Sans"/>
    </font>
    <font>
      <color rgb="FF434343"/>
      <name val="DM Sans"/>
    </font>
    <font>
      <color theme="1"/>
      <name val="DM Sans"/>
    </font>
    <font>
      <color theme="1"/>
      <name val="Arial"/>
      <scheme val="minor"/>
    </font>
  </fonts>
  <fills count="10">
    <fill>
      <patternFill patternType="none"/>
    </fill>
    <fill>
      <patternFill patternType="lightGray"/>
    </fill>
    <fill>
      <patternFill patternType="solid">
        <fgColor rgb="FFFFD966"/>
        <bgColor rgb="FFFFD966"/>
      </patternFill>
    </fill>
    <fill>
      <patternFill patternType="solid">
        <fgColor rgb="FFD9EAD3"/>
        <bgColor rgb="FFD9EAD3"/>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vertical="center"/>
    </xf>
    <xf borderId="1" fillId="5"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4"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3" fontId="5" numFmtId="0" xfId="0" applyAlignment="1" applyBorder="1" applyFill="1" applyFont="1">
      <alignment readingOrder="0" shrinkToFit="0" vertical="center" wrapText="1"/>
    </xf>
    <xf borderId="1" fillId="7" fontId="5" numFmtId="0" xfId="0" applyAlignment="1" applyBorder="1" applyFill="1" applyFont="1">
      <alignment readingOrder="0" shrinkToFit="0" vertical="center" wrapText="1"/>
    </xf>
    <xf borderId="1" fillId="3" fontId="6" numFmtId="0" xfId="0" applyAlignment="1" applyBorder="1" applyFill="1" applyFont="1">
      <alignment shrinkToFit="0" vertical="center" wrapText="1"/>
    </xf>
    <xf borderId="1" fillId="8" fontId="6" numFmtId="0" xfId="0" applyAlignment="1" applyBorder="1" applyFill="1" applyFont="1">
      <alignment shrinkToFit="0" vertical="center" wrapText="1"/>
    </xf>
    <xf borderId="1" fillId="3" fontId="6"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9" fontId="7" numFmtId="0" xfId="0" applyAlignment="1" applyBorder="1" applyFill="1" applyFont="1">
      <alignment shrinkToFit="0" vertical="bottom" wrapText="1"/>
    </xf>
    <xf borderId="1" fillId="0" fontId="5" numFmtId="0" xfId="0" applyAlignment="1" applyBorder="1" applyFont="1">
      <alignment shrinkToFit="0" vertical="center" wrapText="1"/>
    </xf>
    <xf borderId="1" fillId="9" fontId="8" numFmtId="0" xfId="0" applyAlignment="1" applyBorder="1" applyFill="1" applyFont="1">
      <alignment shrinkToFit="0" wrapText="1"/>
    </xf>
    <xf borderId="1" fillId="8" fontId="9"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3" fontId="5"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3" fontId="5" numFmtId="0" xfId="0" applyAlignment="1" applyBorder="1" applyFill="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Ottim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AA45"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Ottim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5.13"/>
    <col customWidth="1" min="2" max="2" width="22.63"/>
    <col customWidth="1" min="3" max="3" width="11.75"/>
    <col customWidth="1" min="4" max="4" width="23.5"/>
    <col customWidth="1" min="5" max="5" width="6.38"/>
    <col customWidth="1" min="6" max="9" width="31.38"/>
    <col customWidth="1" min="10" max="11" width="28.75"/>
    <col customWidth="1" min="12" max="12" width="19.13"/>
    <col customWidth="1" min="13" max="13" width="69.88"/>
    <col customWidth="1" min="14" max="14" width="91.13"/>
    <col customWidth="1" min="15" max="15" width="104.5"/>
    <col customWidth="1" min="16" max="16" width="93.38"/>
    <col customWidth="1" min="17" max="24" width="50.13"/>
    <col customWidth="1" min="25" max="25" width="18.88"/>
    <col customWidth="1" min="26" max="27" width="12.63"/>
  </cols>
  <sheetData>
    <row r="1">
      <c r="A1" s="1" t="s">
        <v>0</v>
      </c>
      <c r="B1" s="1" t="s">
        <v>1</v>
      </c>
      <c r="C1" s="1" t="s">
        <v>2</v>
      </c>
      <c r="D1" s="2" t="s">
        <v>3</v>
      </c>
      <c r="E1" s="1" t="s">
        <v>4</v>
      </c>
      <c r="F1" s="3" t="s">
        <v>5</v>
      </c>
      <c r="G1" s="1" t="s">
        <v>6</v>
      </c>
      <c r="H1" s="3" t="s">
        <v>7</v>
      </c>
      <c r="I1" s="1" t="s">
        <v>8</v>
      </c>
      <c r="J1" s="1" t="s">
        <v>9</v>
      </c>
      <c r="K1" s="1" t="s">
        <v>10</v>
      </c>
      <c r="L1" s="4" t="s">
        <v>11</v>
      </c>
      <c r="M1" s="5" t="s">
        <v>12</v>
      </c>
      <c r="N1" s="3" t="s">
        <v>13</v>
      </c>
      <c r="O1" s="6" t="s">
        <v>14</v>
      </c>
      <c r="P1" s="3" t="s">
        <v>15</v>
      </c>
      <c r="Q1" s="7" t="s">
        <v>16</v>
      </c>
      <c r="R1" s="3" t="s">
        <v>17</v>
      </c>
      <c r="S1" s="1" t="s">
        <v>18</v>
      </c>
      <c r="T1" s="3" t="s">
        <v>19</v>
      </c>
      <c r="U1" s="7" t="s">
        <v>20</v>
      </c>
      <c r="V1" s="1" t="s">
        <v>21</v>
      </c>
      <c r="W1" s="1" t="s">
        <v>22</v>
      </c>
      <c r="X1" s="8" t="s">
        <v>23</v>
      </c>
      <c r="Y1" s="1" t="s">
        <v>24</v>
      </c>
      <c r="Z1" s="1" t="s">
        <v>25</v>
      </c>
      <c r="AA1" s="1" t="s">
        <v>26</v>
      </c>
      <c r="AB1" s="1" t="s">
        <v>27</v>
      </c>
      <c r="AC1" s="9" t="s">
        <v>28</v>
      </c>
      <c r="AD1" s="10" t="s">
        <v>29</v>
      </c>
    </row>
    <row r="2" ht="37.5" customHeight="1">
      <c r="A2" s="11" t="s">
        <v>30</v>
      </c>
      <c r="B2" s="11" t="s">
        <v>31</v>
      </c>
      <c r="C2" s="12" t="s">
        <v>32</v>
      </c>
      <c r="D2" s="13" t="s">
        <v>31</v>
      </c>
      <c r="E2" s="12" t="s">
        <v>33</v>
      </c>
      <c r="F2" s="13"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2" s="12" t="s">
        <v>34</v>
      </c>
      <c r="H2" s="13" t="str">
        <f>IFERROR(__xludf.DUMMYFUNCTION("AI(""Give me a paragraph marketing spiel for this product, no tech specs just marketing fluff under 180 characters "")"),"Elevate your space with elegant design and discreet luxury, creating a sophisticated, seamless glow.")</f>
        <v>Elevate your space with elegant design and discreet luxury, creating a sophisticated, seamless glow.</v>
      </c>
      <c r="I2" s="12" t="s">
        <v>35</v>
      </c>
      <c r="J2" s="12"/>
      <c r="K2" s="12"/>
      <c r="L2" s="14" t="s">
        <v>30</v>
      </c>
      <c r="M2" s="14" t="s">
        <v>36</v>
      </c>
      <c r="N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""&amp;M2)"),"Power|Voltage|IP Rating|Dimension")</f>
        <v>Power|Voltage|IP Rating|Dimension</v>
      </c>
      <c r="O2" s="16" t="s">
        <v>37</v>
      </c>
      <c r="P2" s="15" t="str">
        <f>IFERROR(__xludf.DUMMYFUNCTION("AI(""Using the labels""&amp;N2&amp;"" and values ""&amp;M2&amp;"" separated by character '|' and Using ""&amp;L2&amp;"" and key as 'SKU', Create a JSON object"")"),"{""SKU"": ""ADR001"", ""Power"": ""20W"", ""Voltage"": ""12V"", ""IP Rating"": ""IP67"", ""Dimension"": ""30mm (W) x 20mm (H) x 220mm (L)""}")</f>
        <v>{"SKU": "ADR001", "Power": "20W", "Voltage": "12V", "IP Rating": "IP67", "Dimension": "30mm (W) x 20mm (H) x 220mm (L)"}</v>
      </c>
      <c r="Q2" s="16" t="s">
        <v>38</v>
      </c>
      <c r="R2"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Q2:Q17)"),"{""SKU"": [""ADR001"", ""ADR002"", ""ADR003"", ""ADR004"", ""ADR005"", ""ADR006"", ""ADR007"", ""ADR008"", ""ADR009"", ""ADR010"", ""ADR011"", ""ADR012"", ""ADR015"", ""ADR016"", ""ADR-400-24V"", ""ADR-500-24V""], ""Power"": [""20W"", ""40W"", ""60W"", """&amp;"100W"", ""150W"", ""200W"", ""300W"", ""400W"", ""500W""], ""Voltage"": [""12V"", ""24V""], ""IP Rating"": ""IP67"", ""Dimension"": [""30mm (W) x 20mm (H) x 220mm (L)"", ""64mm (W) x 45mm (H) x 174mm (L)"", ""64mm (W) x 45mm (H) x 236mm (L)"", ""80mm (W) "&amp;"x 43mm (H) x 250mm (L)""]}")</f>
        <v>{"SKU": ["ADR001", "ADR002", "ADR003", "ADR004", "ADR005", "ADR006", "ADR007", "ADR008", "ADR009", "ADR010", "ADR011", "ADR012", "ADR015", "ADR016", "ADR-400-24V", "ADR-500-24V"], "Power": ["20W", "40W", "60W", "100W", "150W", "200W", "300W", "400W", "500W"], "Voltage": ["12V", "24V"], "IP Rating": "IP67", "Dimension": ["30mm (W) x 20mm (H) x 220mm (L)", "64mm (W) x 45mm (H) x 174mm (L)", "64mm (W) x 45mm (H) x 236mm (L)", "80mm (W) x 43mm (H) x 250mm (L)"]}</v>
      </c>
      <c r="S2" s="18" t="s">
        <v>39</v>
      </c>
      <c r="T2" s="17" t="str">
        <f>IFERROR(__xludf.DUMMYFUNCTION("AI(""You are a product catalog configuration expert. Your task is to analyze a list of valid product variant combinations (provided as JSON lines/objects) and generate two JSON structures: """"Options"""", """"Constraints"""" and """"sku_mappings"""".
##"&amp;"# Instructions:
1. **Extract Options:**
   - Group all unique values by their attribute keys (e.g., Power, Optics, CCT, IP Rating, Impact Strength).
   - Assign a unique sequential integer string ID to every attribute value, starting from """"101"""" and"&amp;" incrementing by 1 in the order they appear.
   - Format each attribute as an array of objects: `[{""""name"""": """"VALUE"""", """"id"""": """"ID""""}]`.
   - All attribute keys should be included. Do not miss any keys from the json.
2. **Determine Cons"&amp;"traints (Incompatibilities):**
   - Identify attribute pairs that are impossible or missing from the valid combinations.
   - Specifically, map an ID of an Option Value to an array of Option Value IDs that **cannot** be selected with it.
   - Output const"&amp;"raints in the format: `""""OPTION_ID"""": [INCOMPATIBLE_OPTION_ID]`.
   - Only list meaningful non-empty constraints. Express constraints using the primary driving factor (e.g., optic limitation over CCT).
3. **Determine sku_mappings:**
   - Identify the"&amp;" valid combination and create a array with sku and combination containing array of options ID
4. **Output Format:**
   - Return strictly valid JSON containing two root keys: """"Options"""", """"Constraints"""" and """"sku_mappings"""".
   - Do not wrap"&amp;" the JSON in conversational filler text.
---
### Example Input:
{""""SKU"""":""""HRS001"""", """"Power"""": """"1.2W"""", """"Optics"""": """"SYM30°"""", """"CCT"""": """"3000K"""", """"IP Rating"""": """"IP67"""", """"Impact Strength"""": """"IK10""""}"&amp;"
{""""SKU"""":""""HRS002"""", """"Power"""": """"1.2W"""", """"Optics"""": """"SYM30°"""", """"CCT"""": """"4000K"""", """"IP Rating"""": """"IP67"""", """"Impact Strength"""": """"IK10""""}
{""""SKU"""":""""HRS003"""", """"Power"""": """"1.2W"""", """"Op"&amp;"tics"""": """"SYM60°"""", """"CCT"""": """"3000K"""", """"IP Rating"""": """"IP67"""", """"Impact Strength"""": """"IK10""""}
{""""SKU"""":""""HRS004"""", """"Power"""": """"1.2W"""", """"Optics"""": """"SYM60°"""", """"CCT"""": """"4000K"""", """"IP Rati"&amp;"ng"""": """"IP67"""", """"Impact Strength"""": """"IK10""""}
{""""SKU"""":""""HRS005"""", """"Power"""": """"1.2W"""", """"Optics"""": """"ASYM50°"""", """"CCT"""": """"3000K"""", """"IP Rating"""": """"IP67"""", """"Impact Strength"""": """"IK10""""}
##"&amp;"# Example Output:
{
  """"Options"""": {
    """"Power"""": [
      {""""name"""": """"1.2W"""", """"id"""": """"101""""}
    ],
    """"Optics"""": [
      {""""name"""": """"SYM30°"""", """"id"""": """"102""""},
      {""""name"""": """"SYM60°"""", """""&amp;"id"""": """"103""""},
      {""""name"""": """"ASYM50°"""", """"id"""": """"104""""}
    ],
    """"CCT"""": [
      {""""name"""": """"3000K"""", """"id"""": """"105""""},
      {""""name"""": """"4000K"""", """"id"""": """"106""""}
    ],
    """"IP Rat"&amp;"ing"""": [
      {""""name"""": """"IP67"""", """"id"""": """"107""""}
    ],
    """"Impact Strength"""": [
      {""""name"""": """"IK10"""", """"id"""": """"108""""}
    ]
  },
  """"Constraints"""": {
    """"104"""": [106]
  },
""""sku_mappings"""": "&amp;"[
      { """"sku"""": """"HRS001"""", """"combination"""": [""""101"""", """"102"""", """"105"""", """"107"""", """"108""""] },
      { """"sku"""": """"HRS002"""", """"combination"""": [""""101"""", """"102"""", """"106"""", """"107"""", """"108""""] },"&amp;"
      { """"sku"""": """"HRS003"""", """"combination"""": [""""101"""", """"103"""", """"105"""", """"107"""", """"108""""] },
      { """"sku"""": """"HRS004"""", """"combination"""": [""""101"""", """"103"""", """"106"""", """"107"""", """"108""""] },
"&amp;"      { """"sku"""": """"HRS005"""", """"combination"""": [""""101"""", """"104"""", """"105"""", """"107"""", """"108""""] },
      { """"sku"""": """"HRS006"""", """"combination"""": [""""101"""", """"104"""", """"106"""", """"107"""", """"108""""] }
  "&amp;"  ]
}
Process the following product variant combinations and output the """"Options"""", """"Constraints"""" and """"sku_mappings"""" JSON:"", Q2:Q17)"),"{ ""Options"": { ""Power"": [ {""name"": ""20W"", ""id"": ""101""}, {""name"": ""40W"", ""id"": ""102""}, {""name"": ""60W"", ""id"": ""103""}, {""name"": ""100W"", ""id"": ""104""}, {""name"": ""150W"", ""id"": ""105""}, {""name"": ""200W"", ""id"": ""10"&amp;"6""}, {""name"": ""300W"", ""id"": ""107""}, {""name"": ""400W"", ""id"": ""108""}, {""name"": ""500W"", ""id"": ""109""} ], ""Voltage"": [ {""name"": ""12V"", ""id"": ""110""}, {""name"": ""24V"", ""id"": ""111""} ], ""IP Rating"": [ {""name"": ""IP67"","&amp;" ""id"": ""112""} ], ""Dimension"": [ {""name"": ""30mm (W) x 20mm (H) x 220mm (L)"", ""id"": ""113""}, {""name"": ""64mm (W) x 45mm (H) x 174mm (L)"", ""id"": ""114""}, {""name"": ""64mm (W) x 45mm (H) x 236mm (L)"", ""id"": ""115""}, {""name"": ""80mm ("&amp;"W) x 43mm (H) x 250mm (L)"", ""id"": ""116""} ] }, ""Constraints"": { ""108"": [""110""], ""109"": [""110""] }, ""sku_mappings"": [ { ""sku"": ""ADR001"", ""combination"": [""101"", ""110"", ""112"", ""113""] }, { ""sku"": ""ADR002"", ""combination"": ["""&amp;"101"", ""111"", ""112"", ""113""] }, { ""sku"": ""ADR003"", ""combination"": [""102"", ""110"", ""112"", ""113""] }, { ""sku"": ""ADR004"", ""combination"": [""102"", ""111"", ""112"", ""113""] }, { ""sku"": ""ADR005"", ""combination"": [""103"", ""110"","&amp;" ""112"", ""114""] }, { ""sku"": ""ADR006"", ""combination"": [""103"", ""111"", ""112"", ""114""] }, { ""sku"": ""ADR007"", ""combination"": [""104"", ""110"", ""112"", ""115""] }, { ""sku"": ""ADR008"", ""combination"": [""104"", ""111"", ""112"", ""115"&amp;"""] }, { ""sku"": ""ADR009"", ""combination"": [""105"", ""110"", ""112"", ""115""] }, { ""sku"": ""ADR010"", ""combination"": [""105"", ""111"", ""112"", ""115""] }, { ""sku"": ""ADR011"", ""combination"": [""106"", ""110"", ""112"", ""115""] }, { ""sku"&amp;""": ""ADR012"", ""combination"": [""106"", ""111"", ""112"", ""115""] }, { ""sku"": ""ADR015"", ""combination"": [""107"", ""110"", ""112"", ""116""] }, { ""sku"": ""ADR016"", ""combination"": [""107"", ""111"", ""112"", ""116""] }, { ""sku"": ""ADR-400-2"&amp;"4V"", ""combination"": [""108"", ""111"", ""112"", ""116""] }, { ""sku"": ""ADR-500-24V"", ""combination"": [""109"", ""111"", ""112"", ""116""] } ] }")</f>
        <v>{ "Options": { "Power": [ {"name": "20W", "id": "101"}, {"name": "40W", "id": "102"}, {"name": "60W", "id": "103"}, {"name": "100W", "id": "104"}, {"name": "150W", "id": "105"}, {"name": "200W", "id": "106"}, {"name": "300W", "id": "107"}, {"name": "400W", "id": "108"}, {"name": "500W", "id": "109"} ], "Voltage": [ {"name": "12V", "id": "110"}, {"name": "24V", "id": "111"} ], "IP Rating": [ {"name": "IP67", "id": "112"} ], "Dimension": [ {"name": "30mm (W) x 20mm (H) x 220mm (L)", "id": "113"}, {"name": "64mm (W) x 45mm (H) x 174mm (L)", "id": "114"}, {"name": "64mm (W) x 45mm (H) x 236mm (L)", "id": "115"}, {"name": "80mm (W) x 43mm (H) x 250mm (L)", "id": "116"} ] }, "Constraints": { "108": ["110"], "109": ["110"] }, "sku_mappings": [ { "sku": "ADR001", "combination": ["101", "110", "112", "113"] }, { "sku": "ADR002", "combination": ["101", "111", "112", "113"] }, { "sku": "ADR003", "combination": ["102", "110", "112", "113"] }, { "sku": "ADR004", "combination": ["102", "111", "112", "113"] }, { "sku": "ADR005", "combination": ["103", "110", "112", "114"] }, { "sku": "ADR006", "combination": ["103", "111", "112", "114"] }, { "sku": "ADR007", "combination": ["104", "110", "112", "115"] }, { "sku": "ADR008", "combination": ["104", "111", "112", "115"] }, { "sku": "ADR009", "combination": ["105", "110", "112", "115"] }, { "sku": "ADR010", "combination": ["105", "111", "112", "115"] }, { "sku": "ADR011", "combination": ["106", "110", "112", "115"] }, { "sku": "ADR012", "combination": ["106", "111", "112", "115"] }, { "sku": "ADR015", "combination": ["107", "110", "112", "116"] }, { "sku": "ADR016", "combination": ["107", "111", "112", "116"] }, { "sku": "ADR-400-24V", "combination": ["108", "111", "112", "116"] }, { "sku": "ADR-500-24V", "combination": ["109", "111", "112", "116"] } ] }</v>
      </c>
      <c r="U2" s="19" t="s">
        <v>40</v>
      </c>
      <c r="V2" s="20" t="str">
        <f>IFERROR(__xludf.DUMMYFUNCTION("AI(""Extract options object from the json"", U2)"),"{""Power"": [{""name"": ""20W"", ""id"": ""101""}, {""name"": ""40W"", ""id"": ""102""}, {""name"": ""60W"", ""id"": ""103""}, {""name"": ""100W"", ""id"": ""104""}, {""name"": ""150W"", ""id"": ""105""}, {""name"": ""200W"", ""id"": ""106""}, {""name"": "&amp;"""300W"", ""id"": ""107""}, {""name"": ""400W"", ""id"": ""108""}, {""name"": ""500W"", ""id"": ""109""}], ""Voltage"": [{""name"": ""12V"", ""id"": ""110""}, {""name"": ""24V"", ""id"": ""111""}], ""IP Rating"": [{""name"": ""IP67"", ""id"": ""112""}], "&amp;"""Dimension"": [{""name"": ""30mm (W) x 20mm (H) x 220mm (L)"", ""id"": ""113""}, {""name"": ""64mm (W) x 45mm (H) x 174mm (L)"", ""id"": ""114""}, {""name"": ""64mm (W) x 45mm (H) x 236mm (L)"", ""id"": ""115""}, {""name"": ""80mm (W) x 43mm (H) x 250mm "&amp;"(L)"", ""id"": ""116""}]}")</f>
        <v>{"Power": [{"name": "20W", "id": "101"}, {"name": "40W", "id": "102"}, {"name": "60W", "id": "103"}, {"name": "100W", "id": "104"}, {"name": "150W", "id": "105"}, {"name": "200W", "id": "106"}, {"name": "300W", "id": "107"}, {"name": "400W", "id": "108"}, {"name": "500W", "id": "109"}], "Voltage": [{"name": "12V", "id": "110"}, {"name": "24V", "id": "111"}], "IP Rating": [{"name": "IP67", "id": "112"}], "Dimension": [{"name": "30mm (W) x 20mm (H) x 220mm (L)", "id": "113"}, {"name": "64mm (W) x 45mm (H) x 174mm (L)", "id": "114"}, {"name": "64mm (W) x 45mm (H) x 236mm (L)", "id": "115"}, {"name": "80mm (W) x 43mm (H) x 250mm (L)", "id": "116"}]}</v>
      </c>
      <c r="W2" s="20" t="str">
        <f>IFERROR(__xludf.DUMMYFUNCTION("AI(""Extract constraints object from the json"", U2)"),"{ ""108"": [""110""], ""109"": [""110""] }")</f>
        <v>{ "108": ["110"], "109": ["110"] }</v>
      </c>
      <c r="X2" s="20" t="str">
        <f>IFERROR(__xludf.DUMMYFUNCTION("AI(""Extract sku_mappings object from the json"", U2)"),"[ { ""sku"": ""ADR001"", ""combination"": [""101"", ""110"", ""112"", ""113""] }, { ""sku"": ""ADR002"", ""combination"": [""101"", ""111"", ""112"", ""113""] }, { ""sku"": ""ADR003"", ""combination"": [""102"", ""110"", ""112"", ""113""] }, { ""sku"": """&amp;"ADR004"", ""combination"": [""102"", ""111"", ""112"", ""113""] }, { ""sku"": ""ADR005"", ""combination"": [""103"", ""110"", ""112"", ""114""] }, { ""sku"": ""ADR006"", ""combination"": [""103"", ""111"", ""112"", ""114""] }, { ""sku"": ""ADR007"", ""com"&amp;"bination"": [""104"", ""110"", ""112"", ""115""] }, { ""sku"": ""ADR008"", ""combination"": [""104"", ""111"", ""112"", ""115""] }, { ""sku"": ""ADR009"", ""combination"": [""105"", ""110"", ""112"", ""115""] }, { ""sku"": ""ADR010"", ""combination"": ["""&amp;"105"", ""111"", ""112"", ""115""] }, { ""sku"": ""ADR011"", ""combination"": [""106"", ""110"", ""112"", ""115""] }, { ""sku"": ""ADR012"", ""combination"": [""106"", ""111"", ""112"", ""115""] }, { ""sku"": ""ADR015"", ""combination"": [""107"", ""110"","&amp;" ""112"", ""116""] }, { ""sku"": ""ADR016"", ""combination"": [""107"", ""111"", ""112"", ""116""] }, { ""sku"": ""ADR-400-24V"", ""combination"": [""108"", ""111"", ""112"", ""116""] }, { ""sku"": ""ADR-500-24V"", ""combination"": [""109"", ""111"", ""11"&amp;"2"", ""116""] } ]")</f>
        <v>[ { "sku": "ADR001", "combination": ["101", "110", "112", "113"] }, { "sku": "ADR002", "combination": ["101", "111", "112", "113"] }, { "sku": "ADR003", "combination": ["102", "110", "112", "113"] }, { "sku": "ADR004", "combination": ["102", "111", "112", "113"] }, { "sku": "ADR005", "combination": ["103", "110", "112", "114"] }, { "sku": "ADR006", "combination": ["103", "111", "112", "114"] }, { "sku": "ADR007", "combination": ["104", "110", "112", "115"] }, { "sku": "ADR008", "combination": ["104", "111", "112", "115"] }, { "sku": "ADR009", "combination": ["105", "110", "112", "115"] }, { "sku": "ADR010", "combination": ["105", "111", "112", "115"] }, { "sku": "ADR011", "combination": ["106", "110", "112", "115"] }, { "sku": "ADR012", "combination": ["106", "111", "112", "115"] }, { "sku": "ADR015", "combination": ["107", "110", "112", "116"] }, { "sku": "ADR016", "combination": ["107", "111", "112", "116"] }, { "sku": "ADR-400-24V", "combination": ["108", "111", "112", "116"] }, { "sku": "ADR-500-24V", "combination": ["109", "111", "112", "116"] } ]</v>
      </c>
      <c r="Y2" s="18" t="s">
        <v>41</v>
      </c>
      <c r="Z2" s="18" t="s">
        <v>42</v>
      </c>
      <c r="AA2" s="18" t="s">
        <v>43</v>
      </c>
      <c r="AB2" s="21"/>
      <c r="AC2" s="22" t="str">
        <f>IFERROR(__xludf.DUMMYFUNCTION("AI(""Generate 6 powerful unique keywords for the product in this row"")"),"non-dimmable driver, 20W LED driver, 12V power supply, IP67 waterproof driver, outdoor lighting power, architectural LED driver")</f>
        <v>non-dimmable driver, 20W LED driver, 12V power supply, IP67 waterproof driver, outdoor lighting power, architectural LED driver</v>
      </c>
      <c r="AD2" s="21" t="s">
        <v>44</v>
      </c>
    </row>
    <row r="3" ht="37.5" customHeight="1">
      <c r="A3" s="11"/>
      <c r="B3" s="11"/>
      <c r="C3" s="12"/>
      <c r="D3" s="13"/>
      <c r="E3" s="12"/>
      <c r="F3" s="13"/>
      <c r="G3" s="12"/>
      <c r="H3" s="13"/>
      <c r="I3" s="12"/>
      <c r="J3" s="12"/>
      <c r="K3" s="12"/>
      <c r="L3" s="14" t="s">
        <v>45</v>
      </c>
      <c r="M3" s="14" t="s">
        <v>46</v>
      </c>
      <c r="N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""&amp;M3)"),"Power|Voltage|IP Rating|Dimension")</f>
        <v>Power|Voltage|IP Rating|Dimension</v>
      </c>
      <c r="O3" s="16" t="s">
        <v>37</v>
      </c>
      <c r="P3" s="15" t="str">
        <f>IFERROR(__xludf.DUMMYFUNCTION("AI(""Using the labels""&amp;N3&amp;"" and values ""&amp;M3&amp;"" separated by character '|' and Using ""&amp;L3&amp;"" and key as 'SKU', Create a JSON object"")"),"{""SKU"": ""ADR002"", ""Power"": ""20W"", ""Voltage"": ""24V"", ""IP Rating"": ""IP67"", ""Dimension"": ""30mm (W) x 20mm (H) x 220mm (L)""}")</f>
        <v>{"SKU": "ADR002", "Power": "20W", "Voltage": "24V", "IP Rating": "IP67", "Dimension": "30mm (W) x 20mm (H) x 220mm (L)"}</v>
      </c>
      <c r="Q3" s="16" t="s">
        <v>47</v>
      </c>
      <c r="R3" s="17"/>
      <c r="S3" s="18"/>
      <c r="T3" s="17"/>
      <c r="U3" s="23"/>
      <c r="V3" s="18"/>
      <c r="W3" s="18"/>
      <c r="X3" s="18"/>
      <c r="Y3" s="18" t="s">
        <v>41</v>
      </c>
      <c r="Z3" s="18" t="s">
        <v>48</v>
      </c>
      <c r="AA3" s="18" t="s">
        <v>43</v>
      </c>
      <c r="AB3" s="21"/>
      <c r="AC3" s="21"/>
      <c r="AD3" s="21"/>
    </row>
    <row r="4" ht="37.5" customHeight="1">
      <c r="A4" s="11"/>
      <c r="B4" s="11"/>
      <c r="C4" s="12"/>
      <c r="D4" s="13"/>
      <c r="E4" s="12"/>
      <c r="F4" s="13"/>
      <c r="G4" s="12"/>
      <c r="H4" s="13"/>
      <c r="I4" s="12"/>
      <c r="J4" s="12"/>
      <c r="K4" s="12"/>
      <c r="L4" s="14" t="s">
        <v>49</v>
      </c>
      <c r="M4" s="14" t="s">
        <v>50</v>
      </c>
      <c r="N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""&amp;M4)"),"Power|Voltage|IP Rating|Dimension")</f>
        <v>Power|Voltage|IP Rating|Dimension</v>
      </c>
      <c r="O4" s="16" t="s">
        <v>37</v>
      </c>
      <c r="P4" s="15" t="str">
        <f>IFERROR(__xludf.DUMMYFUNCTION("AI(""Using the labels""&amp;N4&amp;"" and values ""&amp;M4&amp;"" separated by character '|' and Using ""&amp;L4&amp;"" and key as 'SKU', Create a JSON object"")"),"{""SKU"": ""ADR003"", ""Power"": ""40W"", ""Voltage"": ""12V"", ""IP Rating"": ""IP67"", ""Dimension"": ""30mm (W) x 20mm (H) x 220mm (L)""}")</f>
        <v>{"SKU": "ADR003", "Power": "40W", "Voltage": "12V", "IP Rating": "IP67", "Dimension": "30mm (W) x 20mm (H) x 220mm (L)"}</v>
      </c>
      <c r="Q4" s="16" t="s">
        <v>51</v>
      </c>
      <c r="R4" s="17"/>
      <c r="S4" s="18"/>
      <c r="T4" s="17"/>
      <c r="U4" s="19"/>
      <c r="V4" s="18"/>
      <c r="W4" s="18"/>
      <c r="X4" s="18"/>
      <c r="Y4" s="18" t="s">
        <v>41</v>
      </c>
      <c r="Z4" s="18" t="s">
        <v>52</v>
      </c>
      <c r="AA4" s="18" t="s">
        <v>43</v>
      </c>
      <c r="AB4" s="21"/>
      <c r="AC4" s="21"/>
      <c r="AD4" s="21"/>
    </row>
    <row r="5" ht="37.5" customHeight="1">
      <c r="A5" s="11"/>
      <c r="B5" s="11"/>
      <c r="C5" s="12"/>
      <c r="D5" s="13"/>
      <c r="E5" s="12"/>
      <c r="F5" s="13"/>
      <c r="G5" s="12"/>
      <c r="H5" s="13"/>
      <c r="I5" s="12"/>
      <c r="J5" s="12"/>
      <c r="K5" s="12"/>
      <c r="L5" s="14" t="s">
        <v>53</v>
      </c>
      <c r="M5" s="14" t="s">
        <v>54</v>
      </c>
      <c r="N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""&amp;M5)"),"Power|Voltage|IP Rating|Dimension")</f>
        <v>Power|Voltage|IP Rating|Dimension</v>
      </c>
      <c r="O5" s="16" t="s">
        <v>37</v>
      </c>
      <c r="P5" s="15" t="str">
        <f>IFERROR(__xludf.DUMMYFUNCTION("AI(""Using the labels""&amp;N5&amp;"" and values ""&amp;M5&amp;"" separated by character '|' and Using ""&amp;L5&amp;"" and key as 'SKU', Create a JSON object"")"),"{""SKU"": ""ADR004"", ""Power"": ""40W"", ""Voltage"": ""24V"", ""IP Rating"": ""IP67"", ""Dimension"": ""30mm (W) x 20mm (H) x 220mm (L)""}")</f>
        <v>{"SKU": "ADR004", "Power": "40W", "Voltage": "24V", "IP Rating": "IP67", "Dimension": "30mm (W) x 20mm (H) x 220mm (L)"}</v>
      </c>
      <c r="Q5" s="16" t="s">
        <v>55</v>
      </c>
      <c r="R5" s="17"/>
      <c r="S5" s="18"/>
      <c r="T5" s="17"/>
      <c r="U5" s="19"/>
      <c r="V5" s="18"/>
      <c r="W5" s="18"/>
      <c r="X5" s="18"/>
      <c r="Y5" s="18" t="s">
        <v>41</v>
      </c>
      <c r="Z5" s="18" t="s">
        <v>56</v>
      </c>
      <c r="AA5" s="18" t="s">
        <v>43</v>
      </c>
      <c r="AB5" s="21"/>
      <c r="AC5" s="21"/>
      <c r="AD5" s="21"/>
    </row>
    <row r="6" ht="37.5" customHeight="1">
      <c r="A6" s="11"/>
      <c r="B6" s="11"/>
      <c r="C6" s="12"/>
      <c r="D6" s="13"/>
      <c r="E6" s="12"/>
      <c r="F6" s="13"/>
      <c r="G6" s="12"/>
      <c r="H6" s="13"/>
      <c r="I6" s="12"/>
      <c r="J6" s="12"/>
      <c r="K6" s="12"/>
      <c r="L6" s="14" t="s">
        <v>57</v>
      </c>
      <c r="M6" s="14" t="s">
        <v>58</v>
      </c>
      <c r="N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""&amp;M6)"),"Power|Voltage|IP Rating|Dimension")</f>
        <v>Power|Voltage|IP Rating|Dimension</v>
      </c>
      <c r="O6" s="16" t="s">
        <v>37</v>
      </c>
      <c r="P6" s="15" t="str">
        <f>IFERROR(__xludf.DUMMYFUNCTION("AI(""Using the labels""&amp;N6&amp;"" and values ""&amp;M6&amp;"" separated by character '|' and Using ""&amp;L6&amp;"" and key as 'SKU', Create a JSON object"")"),"{""SKU"": ""ADR005"", ""Power"": ""60W"", ""Voltage"": ""12V"", ""IP Rating"": ""IP67"", ""Dimension"": ""64mm (W) x 45mm (H) x 174mm (L)""}")</f>
        <v>{"SKU": "ADR005", "Power": "60W", "Voltage": "12V", "IP Rating": "IP67", "Dimension": "64mm (W) x 45mm (H) x 174mm (L)"}</v>
      </c>
      <c r="Q6" s="16" t="s">
        <v>59</v>
      </c>
      <c r="R6" s="17"/>
      <c r="S6" s="18"/>
      <c r="T6" s="17"/>
      <c r="U6" s="19"/>
      <c r="V6" s="18"/>
      <c r="W6" s="18"/>
      <c r="X6" s="18"/>
      <c r="Y6" s="18" t="s">
        <v>41</v>
      </c>
      <c r="Z6" s="18" t="s">
        <v>60</v>
      </c>
      <c r="AA6" s="18" t="s">
        <v>43</v>
      </c>
      <c r="AB6" s="21"/>
      <c r="AC6" s="21"/>
      <c r="AD6" s="21"/>
    </row>
    <row r="7" ht="37.5" customHeight="1">
      <c r="A7" s="11"/>
      <c r="B7" s="24"/>
      <c r="C7" s="24"/>
      <c r="D7" s="25"/>
      <c r="E7" s="24"/>
      <c r="F7" s="25"/>
      <c r="G7" s="24"/>
      <c r="H7" s="13"/>
      <c r="I7" s="12"/>
      <c r="J7" s="24"/>
      <c r="K7" s="24"/>
      <c r="L7" s="14" t="s">
        <v>61</v>
      </c>
      <c r="M7" s="14" t="s">
        <v>62</v>
      </c>
      <c r="N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""&amp;M7)"),"Power|Voltage|IP Rating|Dimension")</f>
        <v>Power|Voltage|IP Rating|Dimension</v>
      </c>
      <c r="O7" s="16" t="s">
        <v>37</v>
      </c>
      <c r="P7" s="15" t="str">
        <f>IFERROR(__xludf.DUMMYFUNCTION("AI(""Using the labels""&amp;N7&amp;"" and values ""&amp;M7&amp;"" separated by character '|' and Using ""&amp;L7&amp;"" and key as 'SKU', Create a JSON object"")"),"{""SKU"": ""ADR006"", ""Power"": ""60W"", ""Voltage"": ""24V"", ""IP Rating"": ""IP67"", ""Dimension"": ""64mm (W) x 45mm (H) x 174mm (L)""}")</f>
        <v>{"SKU": "ADR006", "Power": "60W", "Voltage": "24V", "IP Rating": "IP67", "Dimension": "64mm (W) x 45mm (H) x 174mm (L)"}</v>
      </c>
      <c r="Q7" s="16" t="s">
        <v>63</v>
      </c>
      <c r="R7" s="26"/>
      <c r="S7" s="27"/>
      <c r="T7" s="26"/>
      <c r="U7" s="28"/>
      <c r="V7" s="27"/>
      <c r="W7" s="27"/>
      <c r="X7" s="27"/>
      <c r="Y7" s="18" t="s">
        <v>41</v>
      </c>
      <c r="Z7" s="18" t="s">
        <v>64</v>
      </c>
      <c r="AA7" s="18" t="s">
        <v>43</v>
      </c>
      <c r="AB7" s="21"/>
      <c r="AC7" s="21"/>
      <c r="AD7" s="21"/>
    </row>
    <row r="8" ht="37.5" customHeight="1">
      <c r="A8" s="11"/>
      <c r="B8" s="24"/>
      <c r="C8" s="24"/>
      <c r="D8" s="25"/>
      <c r="E8" s="24"/>
      <c r="F8" s="25"/>
      <c r="G8" s="24"/>
      <c r="H8" s="13"/>
      <c r="I8" s="12"/>
      <c r="J8" s="24"/>
      <c r="K8" s="24"/>
      <c r="L8" s="14" t="s">
        <v>65</v>
      </c>
      <c r="M8" s="14" t="s">
        <v>66</v>
      </c>
      <c r="N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""&amp;M8)"),"Power|Voltage|IP Rating|Dimension")</f>
        <v>Power|Voltage|IP Rating|Dimension</v>
      </c>
      <c r="O8" s="16" t="s">
        <v>37</v>
      </c>
      <c r="P8" s="15" t="str">
        <f>IFERROR(__xludf.DUMMYFUNCTION("AI(""Using the labels""&amp;N8&amp;"" and values ""&amp;M8&amp;"" separated by character '|' and Using ""&amp;L8&amp;"" and key as 'SKU', Create a JSON object"")"),"{""SKU"": ""ADR007"", ""Power"": ""100W"", ""Voltage"": ""12V"", ""IP Rating"": ""IP67"", ""Dimension"": ""64mm (W) x 45mm (H) x 236mm (L)""}")</f>
        <v>{"SKU": "ADR007", "Power": "100W", "Voltage": "12V", "IP Rating": "IP67", "Dimension": "64mm (W) x 45mm (H) x 236mm (L)"}</v>
      </c>
      <c r="Q8" s="16" t="s">
        <v>67</v>
      </c>
      <c r="R8" s="26"/>
      <c r="S8" s="27"/>
      <c r="T8" s="26"/>
      <c r="U8" s="28"/>
      <c r="V8" s="27"/>
      <c r="W8" s="27"/>
      <c r="X8" s="27"/>
      <c r="Y8" s="18" t="s">
        <v>41</v>
      </c>
      <c r="Z8" s="18" t="s">
        <v>68</v>
      </c>
      <c r="AA8" s="18" t="s">
        <v>43</v>
      </c>
      <c r="AB8" s="21"/>
      <c r="AC8" s="21"/>
      <c r="AD8" s="21"/>
    </row>
    <row r="9" ht="37.5" customHeight="1">
      <c r="A9" s="11"/>
      <c r="B9" s="24"/>
      <c r="C9" s="24"/>
      <c r="D9" s="25"/>
      <c r="E9" s="24"/>
      <c r="F9" s="25"/>
      <c r="G9" s="24"/>
      <c r="H9" s="13"/>
      <c r="I9" s="12"/>
      <c r="J9" s="24"/>
      <c r="K9" s="24"/>
      <c r="L9" s="14" t="s">
        <v>69</v>
      </c>
      <c r="M9" s="14" t="s">
        <v>70</v>
      </c>
      <c r="N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""&amp;M9)"),"Power|Voltage|IP Rating|Dimension")</f>
        <v>Power|Voltage|IP Rating|Dimension</v>
      </c>
      <c r="O9" s="16" t="s">
        <v>37</v>
      </c>
      <c r="P9" s="15" t="str">
        <f>IFERROR(__xludf.DUMMYFUNCTION("AI(""Using the labels""&amp;N9&amp;"" and values ""&amp;M9&amp;"" separated by character '|' and Using ""&amp;L9&amp;"" and key as 'SKU', Create a JSON object"")"),"{""SKU"": ""ADR008"", ""Power"": ""100W"", ""Voltage"": ""24V"", ""IP Rating"": ""IP67"", ""Dimension"": ""64mm (W) x 45mm (H) x 236mm (L)""}")</f>
        <v>{"SKU": "ADR008", "Power": "100W", "Voltage": "24V", "IP Rating": "IP67", "Dimension": "64mm (W) x 45mm (H) x 236mm (L)"}</v>
      </c>
      <c r="Q9" s="16" t="s">
        <v>71</v>
      </c>
      <c r="R9" s="26"/>
      <c r="S9" s="27"/>
      <c r="T9" s="26"/>
      <c r="U9" s="28"/>
      <c r="V9" s="27"/>
      <c r="W9" s="27"/>
      <c r="X9" s="27"/>
      <c r="Y9" s="18" t="s">
        <v>41</v>
      </c>
      <c r="Z9" s="18" t="s">
        <v>72</v>
      </c>
      <c r="AA9" s="18" t="s">
        <v>43</v>
      </c>
      <c r="AB9" s="21"/>
      <c r="AC9" s="21"/>
      <c r="AD9" s="21"/>
    </row>
    <row r="10" ht="37.5" customHeight="1">
      <c r="A10" s="11"/>
      <c r="B10" s="12"/>
      <c r="C10" s="12"/>
      <c r="D10" s="13"/>
      <c r="E10" s="12"/>
      <c r="F10" s="13"/>
      <c r="G10" s="12"/>
      <c r="H10" s="13"/>
      <c r="I10" s="12"/>
      <c r="J10" s="24"/>
      <c r="K10" s="24"/>
      <c r="L10" s="14" t="s">
        <v>73</v>
      </c>
      <c r="M10" s="14" t="s">
        <v>74</v>
      </c>
      <c r="N1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""&amp;M10)"),"Power|Voltage|IP Rating|Dimension")</f>
        <v>Power|Voltage|IP Rating|Dimension</v>
      </c>
      <c r="O10" s="16" t="s">
        <v>37</v>
      </c>
      <c r="P10" s="15" t="str">
        <f>IFERROR(__xludf.DUMMYFUNCTION("AI(""Using the labels""&amp;N10&amp;"" and values ""&amp;M10&amp;"" separated by character '|' and Using ""&amp;L10&amp;"" and key as 'SKU', Create a JSON object"")"),"{""SKU"": ""ADR009"", ""Power"": ""150W"", ""Voltage"": ""12V"", ""IP Rating"": ""IP67"", ""Dimension"": ""64mm (W) x 45mm (H) x 236mm (L)""}")</f>
        <v>{"SKU": "ADR009", "Power": "150W", "Voltage": "12V", "IP Rating": "IP67", "Dimension": "64mm (W) x 45mm (H) x 236mm (L)"}</v>
      </c>
      <c r="Q10" s="16" t="s">
        <v>75</v>
      </c>
      <c r="R10" s="17"/>
      <c r="S10" s="18"/>
      <c r="T10" s="17"/>
      <c r="U10" s="19"/>
      <c r="V10" s="18"/>
      <c r="W10" s="18"/>
      <c r="X10" s="18"/>
      <c r="Y10" s="18" t="s">
        <v>41</v>
      </c>
      <c r="Z10" s="18" t="s">
        <v>76</v>
      </c>
      <c r="AA10" s="18" t="s">
        <v>43</v>
      </c>
      <c r="AB10" s="21"/>
      <c r="AC10" s="21"/>
      <c r="AD10" s="21"/>
    </row>
    <row r="11" ht="37.5" customHeight="1">
      <c r="A11" s="11"/>
      <c r="B11" s="24"/>
      <c r="C11" s="24"/>
      <c r="D11" s="25"/>
      <c r="E11" s="24"/>
      <c r="F11" s="25"/>
      <c r="G11" s="24"/>
      <c r="H11" s="13"/>
      <c r="I11" s="12"/>
      <c r="J11" s="24"/>
      <c r="K11" s="24"/>
      <c r="L11" s="14" t="s">
        <v>77</v>
      </c>
      <c r="M11" s="14" t="s">
        <v>78</v>
      </c>
      <c r="N1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""&amp;M11)"),"Power|Voltage|IP Rating|Dimension")</f>
        <v>Power|Voltage|IP Rating|Dimension</v>
      </c>
      <c r="O11" s="16" t="s">
        <v>37</v>
      </c>
      <c r="P11" s="15" t="str">
        <f>IFERROR(__xludf.DUMMYFUNCTION("AI(""Using the labels""&amp;N11&amp;"" and values ""&amp;M11&amp;"" separated by character '|' and Using ""&amp;L11&amp;"" and key as 'SKU', Create a JSON object"")"),"{""SKU"": ""ADR010"", ""Power"": ""150W"", ""Voltage"": ""24V"", ""IP Rating"": ""IP67"", ""Dimension"": ""64mm (W) x 45mm (H) x 236mm (L)""}")</f>
        <v>{"SKU": "ADR010", "Power": "150W", "Voltage": "24V", "IP Rating": "IP67", "Dimension": "64mm (W) x 45mm (H) x 236mm (L)"}</v>
      </c>
      <c r="Q11" s="16" t="s">
        <v>79</v>
      </c>
      <c r="R11" s="26"/>
      <c r="S11" s="27"/>
      <c r="T11" s="26"/>
      <c r="U11" s="28"/>
      <c r="V11" s="27"/>
      <c r="W11" s="27"/>
      <c r="X11" s="27"/>
      <c r="Y11" s="18" t="s">
        <v>41</v>
      </c>
      <c r="Z11" s="18" t="s">
        <v>80</v>
      </c>
      <c r="AA11" s="18" t="s">
        <v>43</v>
      </c>
      <c r="AB11" s="21"/>
      <c r="AC11" s="21"/>
      <c r="AD11" s="21"/>
    </row>
    <row r="12" ht="37.5" customHeight="1">
      <c r="A12" s="11"/>
      <c r="B12" s="24"/>
      <c r="C12" s="24"/>
      <c r="D12" s="25"/>
      <c r="E12" s="24"/>
      <c r="F12" s="25"/>
      <c r="G12" s="24"/>
      <c r="H12" s="13"/>
      <c r="I12" s="12"/>
      <c r="J12" s="24"/>
      <c r="K12" s="24"/>
      <c r="L12" s="14" t="s">
        <v>81</v>
      </c>
      <c r="M12" s="14" t="s">
        <v>82</v>
      </c>
      <c r="N1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""&amp;M12)"),"Power|Voltage|IP Rating|Dimension")</f>
        <v>Power|Voltage|IP Rating|Dimension</v>
      </c>
      <c r="O12" s="16" t="s">
        <v>37</v>
      </c>
      <c r="P12" s="15" t="str">
        <f>IFERROR(__xludf.DUMMYFUNCTION("AI(""Using the labels""&amp;N12&amp;"" and values ""&amp;M12&amp;"" separated by character '|' and Using ""&amp;L12&amp;"" and key as 'SKU', Create a JSON object"")"),"{""SKU"": ""ADR011"", ""Power"": ""200W"", ""Voltage"": ""12V"", ""IP Rating"": ""IP67"", ""Dimension"": ""64mm (W) x 45mm (H) x 236mm (L)""}")</f>
        <v>{"SKU": "ADR011", "Power": "200W", "Voltage": "12V", "IP Rating": "IP67", "Dimension": "64mm (W) x 45mm (H) x 236mm (L)"}</v>
      </c>
      <c r="Q12" s="16" t="s">
        <v>83</v>
      </c>
      <c r="R12" s="26"/>
      <c r="S12" s="27"/>
      <c r="T12" s="26"/>
      <c r="U12" s="28"/>
      <c r="V12" s="27"/>
      <c r="W12" s="27"/>
      <c r="X12" s="27"/>
      <c r="Y12" s="18" t="s">
        <v>41</v>
      </c>
      <c r="Z12" s="18" t="s">
        <v>84</v>
      </c>
      <c r="AA12" s="18" t="s">
        <v>43</v>
      </c>
      <c r="AB12" s="21"/>
      <c r="AC12" s="21"/>
      <c r="AD12" s="21"/>
    </row>
    <row r="13" ht="37.5" customHeight="1">
      <c r="A13" s="11"/>
      <c r="B13" s="24"/>
      <c r="C13" s="24"/>
      <c r="D13" s="25"/>
      <c r="E13" s="24"/>
      <c r="F13" s="25"/>
      <c r="G13" s="24"/>
      <c r="H13" s="13"/>
      <c r="I13" s="12"/>
      <c r="J13" s="24"/>
      <c r="K13" s="24"/>
      <c r="L13" s="14" t="s">
        <v>85</v>
      </c>
      <c r="M13" s="14" t="s">
        <v>86</v>
      </c>
      <c r="N1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""&amp;M13)"),"Power|Voltage|IP Rating|Dimension")</f>
        <v>Power|Voltage|IP Rating|Dimension</v>
      </c>
      <c r="O13" s="16" t="s">
        <v>37</v>
      </c>
      <c r="P13" s="15" t="str">
        <f>IFERROR(__xludf.DUMMYFUNCTION("AI(""Using the labels""&amp;N13&amp;"" and values ""&amp;M13&amp;"" separated by character '|' and Using ""&amp;L13&amp;"" and key as 'SKU', Create a JSON object"")"),"{""SKU"": ""ADR012"", ""Power"": ""200W"", ""Voltage"": ""24V"", ""IP Rating"": ""IP67"", ""Dimension"": ""64mm (W) x 45mm (H) x 236mm (L)""}")</f>
        <v>{"SKU": "ADR012", "Power": "200W", "Voltage": "24V", "IP Rating": "IP67", "Dimension": "64mm (W) x 45mm (H) x 236mm (L)"}</v>
      </c>
      <c r="Q13" s="16" t="s">
        <v>87</v>
      </c>
      <c r="R13" s="26"/>
      <c r="S13" s="27"/>
      <c r="T13" s="26"/>
      <c r="U13" s="28"/>
      <c r="V13" s="27"/>
      <c r="W13" s="27"/>
      <c r="X13" s="27"/>
      <c r="Y13" s="18" t="s">
        <v>41</v>
      </c>
      <c r="Z13" s="18" t="s">
        <v>88</v>
      </c>
      <c r="AA13" s="18" t="s">
        <v>43</v>
      </c>
      <c r="AB13" s="21"/>
      <c r="AC13" s="21"/>
      <c r="AD13" s="21"/>
    </row>
    <row r="14" ht="37.5" customHeight="1">
      <c r="A14" s="11"/>
      <c r="B14" s="12"/>
      <c r="C14" s="12"/>
      <c r="D14" s="13"/>
      <c r="E14" s="12"/>
      <c r="F14" s="13"/>
      <c r="G14" s="12"/>
      <c r="H14" s="13"/>
      <c r="I14" s="12"/>
      <c r="J14" s="24"/>
      <c r="K14" s="24"/>
      <c r="L14" s="14" t="s">
        <v>89</v>
      </c>
      <c r="M14" s="14" t="s">
        <v>90</v>
      </c>
      <c r="N1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""&amp;M14)"),"Power|Voltage|IP Rating|Dimension")</f>
        <v>Power|Voltage|IP Rating|Dimension</v>
      </c>
      <c r="O14" s="16" t="s">
        <v>37</v>
      </c>
      <c r="P14" s="15" t="str">
        <f>IFERROR(__xludf.DUMMYFUNCTION("AI(""Using the labels""&amp;N14&amp;"" and values ""&amp;M14&amp;"" separated by character '|' and Using ""&amp;L14&amp;"" and key as 'SKU', Create a JSON object"")"),"{""SKU"": ""ADR015"", ""Power"": ""300W"", ""Voltage"": ""12V"", ""IP Rating"": ""IP67"", ""Dimension"": ""80mm (W) x 43mm (H) x 250mm (L)""}")</f>
        <v>{"SKU": "ADR015", "Power": "300W", "Voltage": "12V", "IP Rating": "IP67", "Dimension": "80mm (W) x 43mm (H) x 250mm (L)"}</v>
      </c>
      <c r="Q14" s="16" t="s">
        <v>91</v>
      </c>
      <c r="R14" s="17"/>
      <c r="S14" s="18"/>
      <c r="T14" s="17"/>
      <c r="U14" s="19"/>
      <c r="V14" s="18"/>
      <c r="W14" s="18"/>
      <c r="X14" s="18"/>
      <c r="Y14" s="18" t="s">
        <v>41</v>
      </c>
      <c r="Z14" s="18" t="s">
        <v>92</v>
      </c>
      <c r="AA14" s="18" t="s">
        <v>43</v>
      </c>
      <c r="AB14" s="21"/>
      <c r="AC14" s="21"/>
      <c r="AD14" s="21"/>
    </row>
    <row r="15" ht="37.5" customHeight="1">
      <c r="A15" s="11"/>
      <c r="B15" s="24"/>
      <c r="C15" s="24"/>
      <c r="D15" s="25"/>
      <c r="E15" s="24"/>
      <c r="F15" s="25"/>
      <c r="G15" s="24"/>
      <c r="H15" s="13"/>
      <c r="I15" s="12"/>
      <c r="J15" s="24"/>
      <c r="K15" s="24"/>
      <c r="L15" s="14" t="s">
        <v>93</v>
      </c>
      <c r="M15" s="14" t="s">
        <v>94</v>
      </c>
      <c r="N1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""&amp;M15)"),"Power|Voltage|IP Rating|Dimension")</f>
        <v>Power|Voltage|IP Rating|Dimension</v>
      </c>
      <c r="O15" s="16" t="s">
        <v>37</v>
      </c>
      <c r="P15" s="15" t="str">
        <f>IFERROR(__xludf.DUMMYFUNCTION("AI(""Using the labels""&amp;N15&amp;"" and values ""&amp;M15&amp;"" separated by character '|' and Using ""&amp;L15&amp;"" and key as 'SKU', Create a JSON object"")"),"{""SKU"": ""ADR016"", ""Power"": ""300W"", ""Voltage"": ""24V"", ""IP Rating"": ""IP67"", ""Dimension"": ""80mm (W) x 43mm (H) x 250mm (L)""}")</f>
        <v>{"SKU": "ADR016", "Power": "300W", "Voltage": "24V", "IP Rating": "IP67", "Dimension": "80mm (W) x 43mm (H) x 250mm (L)"}</v>
      </c>
      <c r="Q15" s="16" t="s">
        <v>95</v>
      </c>
      <c r="R15" s="26"/>
      <c r="S15" s="27"/>
      <c r="T15" s="26"/>
      <c r="U15" s="28"/>
      <c r="V15" s="27"/>
      <c r="W15" s="27"/>
      <c r="X15" s="27"/>
      <c r="Y15" s="18" t="s">
        <v>41</v>
      </c>
      <c r="Z15" s="18" t="s">
        <v>96</v>
      </c>
      <c r="AA15" s="18" t="s">
        <v>43</v>
      </c>
      <c r="AB15" s="21"/>
      <c r="AC15" s="21"/>
      <c r="AD15" s="21"/>
    </row>
    <row r="16" ht="37.5" customHeight="1">
      <c r="A16" s="11"/>
      <c r="B16" s="24"/>
      <c r="C16" s="24"/>
      <c r="D16" s="25"/>
      <c r="E16" s="24"/>
      <c r="F16" s="25"/>
      <c r="G16" s="24"/>
      <c r="H16" s="25"/>
      <c r="I16" s="24"/>
      <c r="J16" s="24"/>
      <c r="K16" s="24"/>
      <c r="L16" s="14" t="s">
        <v>97</v>
      </c>
      <c r="M16" s="14" t="s">
        <v>98</v>
      </c>
      <c r="N1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""&amp;M16)"),"Power|Voltage|IP Rating|Dimension")</f>
        <v>Power|Voltage|IP Rating|Dimension</v>
      </c>
      <c r="O16" s="16" t="s">
        <v>37</v>
      </c>
      <c r="P16" s="15" t="str">
        <f>IFERROR(__xludf.DUMMYFUNCTION("AI(""Using the labels""&amp;N16&amp;"" and values ""&amp;M16&amp;"" separated by character '|' and Using ""&amp;L16&amp;"" and key as 'SKU', Create a JSON object"")"),"{""SKU"": ""ADR-400-24V"", ""Power"": ""400W"", ""Voltage"": ""24V"", ""IP Rating"": ""IP67"", ""Dimension"": ""80mm (W) x 43mm (H) x 250mm (L)""}")</f>
        <v>{"SKU": "ADR-400-24V", "Power": "400W", "Voltage": "24V", "IP Rating": "IP67", "Dimension": "80mm (W) x 43mm (H) x 250mm (L)"}</v>
      </c>
      <c r="Q16" s="16" t="s">
        <v>99</v>
      </c>
      <c r="R16" s="26"/>
      <c r="S16" s="27"/>
      <c r="T16" s="26"/>
      <c r="U16" s="28"/>
      <c r="V16" s="27"/>
      <c r="W16" s="27"/>
      <c r="X16" s="27"/>
      <c r="Y16" s="18" t="s">
        <v>41</v>
      </c>
      <c r="Z16" s="18" t="s">
        <v>100</v>
      </c>
      <c r="AA16" s="18" t="s">
        <v>43</v>
      </c>
      <c r="AB16" s="21"/>
      <c r="AC16" s="21"/>
      <c r="AD16" s="21"/>
    </row>
    <row r="17" ht="37.5" customHeight="1">
      <c r="A17" s="11"/>
      <c r="B17" s="24"/>
      <c r="C17" s="24"/>
      <c r="D17" s="25"/>
      <c r="E17" s="24"/>
      <c r="F17" s="25"/>
      <c r="G17" s="24"/>
      <c r="H17" s="25"/>
      <c r="I17" s="24"/>
      <c r="J17" s="24"/>
      <c r="K17" s="24"/>
      <c r="L17" s="14" t="s">
        <v>101</v>
      </c>
      <c r="M17" s="14" t="s">
        <v>102</v>
      </c>
      <c r="N1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""&amp;M17)"),"Power|Voltage|IP Rating|Dimension")</f>
        <v>Power|Voltage|IP Rating|Dimension</v>
      </c>
      <c r="O17" s="16" t="s">
        <v>37</v>
      </c>
      <c r="P17" s="15" t="str">
        <f>IFERROR(__xludf.DUMMYFUNCTION("AI(""Using the labels""&amp;N17&amp;"" and values ""&amp;M17&amp;"" separated by character '|' and Using ""&amp;L17&amp;"" and key as 'SKU', Create a JSON object"")"),"{""SKU"": ""ADR-500-24V"", ""Power"": ""500W"", ""Voltage"": ""24V"", ""IP Rating"": ""IP67"", ""Dimension"": ""80mm (W) x 43mm (H) x 250mm (L)""}")</f>
        <v>{"SKU": "ADR-500-24V", "Power": "500W", "Voltage": "24V", "IP Rating": "IP67", "Dimension": "80mm (W) x 43mm (H) x 250mm (L)"}</v>
      </c>
      <c r="Q17" s="16" t="s">
        <v>103</v>
      </c>
      <c r="R17" s="26"/>
      <c r="S17" s="27"/>
      <c r="T17" s="26"/>
      <c r="U17" s="28"/>
      <c r="V17" s="27"/>
      <c r="W17" s="27"/>
      <c r="X17" s="27"/>
      <c r="Y17" s="18" t="s">
        <v>41</v>
      </c>
      <c r="Z17" s="18" t="s">
        <v>104</v>
      </c>
      <c r="AA17" s="18" t="s">
        <v>105</v>
      </c>
      <c r="AB17" s="21"/>
      <c r="AC17" s="21"/>
      <c r="AD17" s="21"/>
    </row>
    <row r="18" ht="37.5" customHeight="1">
      <c r="A18" s="11" t="s">
        <v>106</v>
      </c>
      <c r="B18" s="12" t="s">
        <v>107</v>
      </c>
      <c r="C18" s="12" t="s">
        <v>32</v>
      </c>
      <c r="D18" s="13" t="s">
        <v>107</v>
      </c>
      <c r="E18" s="12" t="s">
        <v>33</v>
      </c>
      <c r="F18" s="13"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18" s="12" t="s">
        <v>34</v>
      </c>
      <c r="H18" s="13" t="str">
        <f>IFERROR(__xludf.DUMMYFUNCTION("AI(""Give me a paragraph marketing spiel for this product, no tech specs just marketing fluff under 180 characters "")"),"Elevate your space with elegant design and discreet luxury, creating a sophisticated, seamless glow.")</f>
        <v>Elevate your space with elegant design and discreet luxury, creating a sophisticated, seamless glow.</v>
      </c>
      <c r="I18" s="12" t="s">
        <v>35</v>
      </c>
      <c r="J18" s="24"/>
      <c r="K18" s="24"/>
      <c r="L18" s="14" t="s">
        <v>106</v>
      </c>
      <c r="M18" s="14" t="s">
        <v>108</v>
      </c>
      <c r="N1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""&amp;M18)"),"Power|Voltage|IP Rating|AC Phase-Cut|Current Sinking|Current Sourcing|Duty Cycle|Variable Resistance|Dimension")</f>
        <v>Power|Voltage|IP Rating|AC Phase-Cut|Current Sinking|Current Sourcing|Duty Cycle|Variable Resistance|Dimension</v>
      </c>
      <c r="O18" s="16" t="s">
        <v>109</v>
      </c>
      <c r="P18" s="15" t="str">
        <f>IFERROR(__xludf.DUMMYFUNCTION("AI(""Using the labels""&amp;N18&amp;"" and values ""&amp;M18&amp;"" separated by character '|' and Using ""&amp;L18&amp;"" and key as 'SKU', Create a JSON object"")"),"{""SKU"": ""ADR003D"", ""Power"": ""30W"", ""Voltage"": ""12V"", ""IP Rating"": ""IP67"", ""AC Phase-Cut"": ""Triac"", ""Current Sinking"": ""0-10V"", ""Current Sourcing"": ""1-10V"", ""Duty Cycle"": ""PWM"", ""Variable Resistance"": ""Potentiometer"", """&amp;"Dimension"": ""262mm (W) x 33mm (H) x 21mm (L)""}")</f>
        <v>{"SKU": "ADR003D", "Power": "30W", "Voltage": "12V", "IP Rating": "IP67", "AC Phase-Cut": "Triac", "Current Sinking": "0-10V", "Current Sourcing": "1-10V", "Duty Cycle": "PWM", "Variable Resistance": "Potentiometer", "Dimension": "262mm (W) x 33mm (H) x 21mm (L)"}</v>
      </c>
      <c r="Q18" s="16" t="s">
        <v>110</v>
      </c>
      <c r="R18"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Q18:Q29)"),"{""SKU"": [""ADR003D"", ""ADR004D"", ""ADR005D"", ""ADR006D"", ""ADR007D"", ""ADR008D"", ""ADR009D"", ""ADR010D"", ""ADR011D"", ""ADR012D"", ""ADR015D"", ""ADR016D""], ""Power"": [""30W"", ""60W"", ""100W"", ""150W"", ""200W"", ""300W""], ""Voltage"": ["""&amp;"12V"", ""24V""], ""IP Rating"": ""IP67"", ""AC Phase-Cut"": ""Triac"", ""Current Sinking"": ""0-10V"", ""Current Sourcing"": ""1-10V"", ""Duty Cycle"": ""PWM"", ""Variable Resistance"": ""Potentiometer"", ""Dimension"": [""262mm (W) x 33mm (H) x 21mm (L)"&amp;""", ""300mm (W) x 32mm (H) x 20mm (L)"", ""330mm (W) x 33mm (H) x 24mm (L)"", ""368mm (W) x 33mm (H) x 24mm (L)"", ""256mm (W) x 78mm (H) x 47mm (L)"", ""276mm (W) x 78mm (H) x 48mm (L)""]}")</f>
        <v>{"SKU": ["ADR003D", "ADR004D", "ADR005D", "ADR006D", "ADR007D", "ADR008D", "ADR009D", "ADR010D", "ADR011D", "ADR012D", "ADR015D", "ADR016D"], "Power": ["30W", "60W", "100W", "150W", "200W", "300W"], "Voltage": ["12V", "24V"], "IP Rating": "IP67", "AC Phase-Cut": "Triac", "Current Sinking": "0-10V", "Current Sourcing": "1-10V", "Duty Cycle": "PWM", "Variable Resistance": "Potentiometer", "Dimension": ["262mm (W) x 33mm (H) x 21mm (L)", "300mm (W) x 32mm (H) x 20mm (L)", "330mm (W) x 33mm (H) x 24mm (L)", "368mm (W) x 33mm (H) x 24mm (L)", "256mm (W) x 78mm (H) x 47mm (L)", "276mm (W) x 78mm (H) x 48mm (L)"]}</v>
      </c>
      <c r="S18" s="18" t="s">
        <v>111</v>
      </c>
      <c r="T18" s="17" t="str">
        <f>IFERROR(__xludf.DUMMYFUNCTION("AI(""You are a product catalog configuration expert. Your task is to analyze a list of valid product variant combinations (provided as JSON lines/objects) and generate two JSON structures: """"Options"""", """"Constraints"""" and """"sku_mappings"""".
##"&amp;"# Instructions:
1. **Extract Options:**
   - Group all unique values by their attribute keys (e.g., Power, Optics, CCT, IP Rating, Impact Strength).
   - Assign a unique sequential integer string ID to every attribute value, starting from """"101"""" and"&amp;" incrementing by 1 in the order they appear.
   - Format each attribute as an array of objects: `[{""""name"""": """"VALUE"""", """"id"""": """"ID""""}]`.
   - All attribute keys should be included. Do not miss any keys from the json.
2. **Determine Cons"&amp;"traints (Incompatibilities):**
   - Identify attribute pairs that are impossible or missing from the valid combinations.
   - Specifically, map an ID of an Option Value to an array of Option Value IDs that **cannot** be selected with it.
   - Output const"&amp;"raints in the format: `""""OPTION_ID"""": [INCOMPATIBLE_OPTION_ID]`.
   - Only list meaningful non-empty constraints. Express constraints using the primary driving factor (e.g., optic limitation over CCT).
3. **Determine sku_mappings:**
   - Identify the"&amp;" valid combination and create a array with sku and combination containing array of options ID
4. **Output Format:**
   - Return strictly valid JSON containing two root keys: """"Options"""", """"Constraints"""" and """"sku_mappings"""".
   - Do not wrap"&amp;" the JSON in conversational filler text.
---
### Example Input:
{""""SKU"""":""""HRS001"""", """"Power"""": """"1.2W"""", """"Optics"""": """"SYM30°"""", """"CCT"""": """"3000K"""", """"IP Rating"""": """"IP67"""", """"Impact Strength"""": """"IK10""""}"&amp;"
{""""SKU"""":""""HRS002"""", """"Power"""": """"1.2W"""", """"Optics"""": """"SYM30°"""", """"CCT"""": """"4000K"""", """"IP Rating"""": """"IP67"""", """"Impact Strength"""": """"IK10""""}
{""""SKU"""":""""HRS003"""", """"Power"""": """"1.2W"""", """"Op"&amp;"tics"""": """"SYM60°"""", """"CCT"""": """"3000K"""", """"IP Rating"""": """"IP67"""", """"Impact Strength"""": """"IK10""""}
{""""SKU"""":""""HRS004"""", """"Power"""": """"1.2W"""", """"Optics"""": """"SYM60°"""", """"CCT"""": """"4000K"""", """"IP Rati"&amp;"ng"""": """"IP67"""", """"Impact Strength"""": """"IK10""""}
{""""SKU"""":""""HRS005"""", """"Power"""": """"1.2W"""", """"Optics"""": """"ASYM50°"""", """"CCT"""": """"3000K"""", """"IP Rating"""": """"IP67"""", """"Impact Strength"""": """"IK10""""}
##"&amp;"# Example Output:
{
  """"Options"""": {
    """"Power"""": [
      {""""name"""": """"1.2W"""", """"id"""": """"101""""}
    ],
    """"Optics"""": [
      {""""name"""": """"SYM30°"""", """"id"""": """"102""""},
      {""""name"""": """"SYM60°"""", """""&amp;"id"""": """"103""""},
      {""""name"""": """"ASYM50°"""", """"id"""": """"104""""}
    ],
    """"CCT"""": [
      {""""name"""": """"3000K"""", """"id"""": """"105""""},
      {""""name"""": """"4000K"""", """"id"""": """"106""""}
    ],
    """"IP Rat"&amp;"ing"""": [
      {""""name"""": """"IP67"""", """"id"""": """"107""""}
    ],
    """"Impact Strength"""": [
      {""""name"""": """"IK10"""", """"id"""": """"108""""}
    ]
  },
  """"Constraints"""": {
    """"104"""": [106]
  },
""""sku_mappings"""": "&amp;"[
      { """"sku"""": """"HRS001"""", """"combination"""": [""""101"""", """"102"""", """"105"""", """"107"""", """"108""""] },
      { """"sku"""": """"HRS002"""", """"combination"""": [""""101"""", """"102"""", """"106"""", """"107"""", """"108""""] },"&amp;"
      { """"sku"""": """"HRS003"""", """"combination"""": [""""101"""", """"103"""", """"105"""", """"107"""", """"108""""] },
      { """"sku"""": """"HRS004"""", """"combination"""": [""""101"""", """"103"""", """"106"""", """"107"""", """"108""""] },
"&amp;"      { """"sku"""": """"HRS005"""", """"combination"""": [""""101"""", """"104"""", """"105"""", """"107"""", """"108""""] },
      { """"sku"""": """"HRS006"""", """"combination"""": [""""101"""", """"104"""", """"106"""", """"107"""", """"108""""] }
  "&amp;"  ]
}
Process the following product variant combinations and output the """"Options"""", """"Constraints"""" and """"sku_mappings"""" JSON:"", Q18:Q33)"),"{
""Options"": {
""Power"": [
{""name"": ""30W"", ""id"": ""101""},
{""name"": ""60W"", ""id"": ""102""},
{""name"": ""100W"", ""id"": ""103""},
{""name"": ""150W"", ""id"": ""104""},
{""name"": ""200W"", ""id"": ""105""},
{""name"": ""300W"", ""id"": ""1"&amp;"06""}
],
""Voltage"": [
{""name"": ""12V"", ""id"": ""107""},
{""name"": ""24V"", ""id"": ""108""}
],
""IP Rating"": [
{""name"": ""IP67"", ""id"": ""109""}
],
""AC Phase-Cut"": [
{""name"": ""Triac"", ""id"": ""110""}
],
""Current Sinking"": [
{""name"":"&amp;" ""0-10V"", ""id"": ""111""}
],
""Current Sourcing"": [
{""name"": ""1-10V"", ""id"": ""112""}
],
""Duty Cycle"": [
{""name"": ""PWM"", ""id"": ""113""}
],
""Variable Resistance"": [
{""name"": ""Potentiometer"", ""id"": ""114""}
],
""Dimension"": [
{""na"&amp;"me"": ""262mm (W) x 33mm (H) x 21mm (L)"", ""id"": ""115""},
{""name"": ""300mm (W) x 32mm (H) x 20mm (L)"", ""id"": ""116""},
{""name"": ""330mm (W) x 33mm (H) x 24mm (L)"", ""id"": ""117""},
{""name"": ""368mm (W) x 33mm (H) x 24mm (L)"", ""id"": ""118"&amp;"""},
{""name"": ""256mm (W) x 78mm (H) x 47mm (L)"", ""id"": ""119""},
{""name"": ""276mm (W) x 78mm (H) x 48mm (L)"", ""id"": ""120""},
{""name"": ""78mm (W) x 25.1mm (H) x 200mm (L)"", ""id"": ""121""},
{""name"": ""78mm (W) x 25.1mm (H) x 231mm (L)"", "&amp;"""id"": ""122""}
]
},
""Constraints"": {},
""sku_mappings"": [
{ ""sku"": ""ADR003D"", ""combination"": [""101"", ""107"", ""109"", ""110"", ""111"", ""112"", ""113"", ""114"", ""115""] },
{ ""sku"": ""ADR004D"", ""combination"": [""101"", ""108"", ""109"&amp;""", ""110"", ""111"", ""112"", ""113"", ""114"", ""115""] },
{ ""sku"": ""ADR005D"", ""combination"": [""102"", ""107"", ""109"", ""110"", ""111"", ""112"", ""113"", ""114"", ""116""] },
{ ""sku"": ""ADR006D"", ""combination"": [""102"", ""108"", ""109"","&amp;" ""110"", ""111"", ""112"", ""113"", ""114"", ""116""] },
{ ""sku"": ""ADR007D"", ""combination"": [""103"", ""107"", ""109"", ""110"", ""111"", ""112"", ""113"", ""114"", ""117""] },
{ ""sku"": ""ADR008D"", ""combination"": [""103"", ""108"", ""109"", """&amp;"110"", ""111"", ""112"", ""113"", ""114"", ""117""] },
{ ""sku"": ""ADR009D"", ""combination"": [""104"", ""107"", ""109"", ""110"", ""111"", ""112"", ""113"", ""114"", ""118""] },
{ ""sku"": ""ADR010D"", ""combination"": [""104"", ""108"", ""109"", ""110"&amp;""", ""111"", ""112"", ""113"", ""114"", ""118""] },
{ ""sku"": ""ADR011D"", ""combination"": [""105"", ""107"", ""109"", ""110"", ""111"", ""112"", ""113"", ""114"", ""119""] },
{ ""sku"": ""ADR012D"", ""combination"": [""105"", ""108"", ""109"", ""110"","&amp;" ""111"", ""112"", ""113"", ""114"", ""119""] },
{ ""sku"": ""ADR015D"", ""combination"": [""106"", ""107"", ""109"", ""110"", ""111"", ""112"", ""113"", ""114"", ""120""] },
{ ""sku"": ""ADR016D"", ""combination"": [""106"", ""108"", ""109"", ""110"", """&amp;"111"", ""112"", ""113"", ""114"", ""120""] },
{ ""sku"": ""ADR005DA"", ""combination"": [""102"", ""107"", ""109"", ""121""] },
{ ""sku"": ""ADR006DA"", ""combination"": [""102"", ""108"", ""109"", ""121""] },
{ ""sku"": ""ADR007DA"", ""combination"": ["""&amp;"103"", ""107"", ""109"", ""122""] },
{ ""sku"": ""ADR008DA"", ""combination"": [""103"", ""108"", ""109"", ""122""] }
]
}")</f>
        <v>{
"Options": {
"Power": [
{"name": "30W", "id": "101"},
{"name": "60W", "id": "102"},
{"name": "100W", "id": "103"},
{"name": "150W", "id": "104"},
{"name": "200W", "id": "105"},
{"name": "300W", "id": "106"}
],
"Voltage": [
{"name": "12V", "id": "107"},
{"name": "24V", "id": "108"}
],
"IP Rating": [
{"name": "IP67", "id": "109"}
],
"AC Phase-Cut": [
{"name": "Triac", "id": "110"}
],
"Current Sinking": [
{"name": "0-10V", "id": "111"}
],
"Current Sourcing": [
{"name": "1-10V", "id": "112"}
],
"Duty Cycle": [
{"name": "PWM", "id": "113"}
],
"Variable Resistance": [
{"name": "Potentiometer", "id": "114"}
],
"Dimension": [
{"name": "262mm (W) x 33mm (H) x 21mm (L)", "id": "115"},
{"name": "300mm (W) x 32mm (H) x 20mm (L)", "id": "116"},
{"name": "330mm (W) x 33mm (H) x 24mm (L)", "id": "117"},
{"name": "368mm (W) x 33mm (H) x 24mm (L)", "id": "118"},
{"name": "256mm (W) x 78mm (H) x 47mm (L)", "id": "119"},
{"name": "276mm (W) x 78mm (H) x 48mm (L)", "id": "120"},
{"name": "78mm (W) x 25.1mm (H) x 200mm (L)", "id": "121"},
{"name": "78mm (W) x 25.1mm (H) x 231mm (L)", "id": "122"}
]
},
"Constraints": {},
"sku_mappings": [
{ "sku": "ADR003D", "combination": ["101", "107", "109", "110", "111", "112", "113", "114", "115"] },
{ "sku": "ADR004D", "combination": ["101", "108", "109", "110", "111", "112", "113", "114", "115"] },
{ "sku": "ADR005D", "combination": ["102", "107", "109", "110", "111", "112", "113", "114", "116"] },
{ "sku": "ADR006D", "combination": ["102", "108", "109", "110", "111", "112", "113", "114", "116"] },
{ "sku": "ADR007D", "combination": ["103", "107", "109", "110", "111", "112", "113", "114", "117"] },
{ "sku": "ADR008D", "combination": ["103", "108", "109", "110", "111", "112", "113", "114", "117"] },
{ "sku": "ADR009D", "combination": ["104", "107", "109", "110", "111", "112", "113", "114", "118"] },
{ "sku": "ADR010D", "combination": ["104", "108", "109", "110", "111", "112", "113", "114", "118"] },
{ "sku": "ADR011D", "combination": ["105", "107", "109", "110", "111", "112", "113", "114", "119"] },
{ "sku": "ADR012D", "combination": ["105", "108", "109", "110", "111", "112", "113", "114", "119"] },
{ "sku": "ADR015D", "combination": ["106", "107", "109", "110", "111", "112", "113", "114", "120"] },
{ "sku": "ADR016D", "combination": ["106", "108", "109", "110", "111", "112", "113", "114", "120"] },
{ "sku": "ADR005DA", "combination": ["102", "107", "109", "121"] },
{ "sku": "ADR006DA", "combination": ["102", "108", "109", "121"] },
{ "sku": "ADR007DA", "combination": ["103", "107", "109", "122"] },
{ "sku": "ADR008DA", "combination": ["103", "108", "109", "122"] }
]
}</v>
      </c>
      <c r="U18" s="19" t="s">
        <v>112</v>
      </c>
      <c r="V18" s="20" t="str">
        <f>IFERROR(__xludf.DUMMYFUNCTION("AI(""Extract options object from the json"", U18)"),"{""Power"": [{""name"": ""30W"", ""id"": ""101""}, {""name"": ""60W"", ""id"": ""102""}, {""name"": ""100W"", ""id"": ""103""}, {""name"": ""150W"", ""id"": ""104""}, {""name"": ""200W"", ""id"": ""105""}, {""name"": ""300W"", ""id"": ""106""}], ""Voltage"&amp;""": [{""name"": ""12V"", ""id"": ""107""}, {""name"": ""24V"", ""id"": ""108""}], ""IP Rating"": [{""name"": ""IP67"", ""id"": ""109""}], ""AC Phase-Cut"": [{""name"": ""Triac"", ""id"": ""110""}], ""Current Sinking"": [{""name"": ""0-10V"", ""id"": ""111"&amp;"""}], ""Current Sourcing"": [{""name"": ""1-10V"", ""id"": ""112""}], ""Duty Cycle"": [{""name"": ""PWM"", ""id"": ""113""}], ""Variable Resistance"": [{""name"": ""Potentiometer"", ""id"": ""114""}], ""Dimension"": [{""name"": ""262mm (W) x 33mm (H) x 21"&amp;"mm (L)"", ""id"": ""115""}, {""name"": ""300mm (W) x 32mm (H) x 20mm (L)"", ""id"": ""116""}, {""name"": ""330mm (W) x 33mm (H) x 24mm (L)"", ""id"": ""117""}, {""name"": ""368mm (W) x 33mm (H) x 24mm (L)"", ""id"": ""118""}, {""name"": ""256mm (W) x 78mm"&amp;" (H) x 47mm (L)"", ""id"": ""119""}, {""name"": ""276mm (W) x 78mm (H) x 48mm (L)"", ""id"": ""120""}, {""name"": ""78mm (W) x 25.1mm (H) x 200mm (L)"", ""id"": ""121""}, {""name"": ""78mm (W) x 25.1mm (H) x 231mm (L)"", ""id"": ""122""}]}")</f>
        <v>{"Power": [{"name": "30W", "id": "101"}, {"name": "60W", "id": "102"}, {"name": "100W", "id": "103"}, {"name": "150W", "id": "104"}, {"name": "200W", "id": "105"}, {"name": "300W", "id": "106"}], "Voltage": [{"name": "12V", "id": "107"}, {"name": "24V", "id": "108"}], "IP Rating": [{"name": "IP67", "id": "109"}], "AC Phase-Cut": [{"name": "Triac", "id": "110"}], "Current Sinking": [{"name": "0-10V", "id": "111"}], "Current Sourcing": [{"name": "1-10V", "id": "112"}], "Duty Cycle": [{"name": "PWM", "id": "113"}], "Variable Resistance": [{"name": "Potentiometer", "id": "114"}], "Dimension": [{"name": "262mm (W) x 33mm (H) x 21mm (L)", "id": "115"}, {"name": "300mm (W) x 32mm (H) x 20mm (L)", "id": "116"}, {"name": "330mm (W) x 33mm (H) x 24mm (L)", "id": "117"}, {"name": "368mm (W) x 33mm (H) x 24mm (L)", "id": "118"}, {"name": "256mm (W) x 78mm (H) x 47mm (L)", "id": "119"}, {"name": "276mm (W) x 78mm (H) x 48mm (L)", "id": "120"}, {"name": "78mm (W) x 25.1mm (H) x 200mm (L)", "id": "121"}, {"name": "78mm (W) x 25.1mm (H) x 231mm (L)", "id": "122"}]}</v>
      </c>
      <c r="W18" s="20" t="str">
        <f>IFERROR(__xludf.DUMMYFUNCTION("AI(""Extract constraints object from the json"", U18)"),"{}")</f>
        <v>{}</v>
      </c>
      <c r="X18" s="20" t="str">
        <f>IFERROR(__xludf.DUMMYFUNCTION("AI(""Extract sku_mappings object from the json"", U18)"),"[ { ""sku"": ""ADR003D"", ""combination"": [""101"", ""107"", ""109"", ""110"", ""111"", ""112"", ""113"", ""114"", ""115""] }, { ""sku"": ""ADR004D"", ""combination"": [""101"", ""108"", ""109"", ""110"", ""111"", ""112"", ""113"", ""114"", ""115""] }, {"&amp;" ""sku"": ""ADR005D"", ""combination"": [""102"", ""107"", ""109"", ""110"", ""111"", ""112"", ""113"", ""114"", ""116""] }, { ""sku"": ""ADR006D"", ""combination"": [""102"", ""108"", ""109"", ""110"", ""111"", ""112"", ""113"", ""114"", ""116""] }, { """&amp;"sku"": ""ADR007D"", ""combination"": [""103"", ""107"", ""109"", ""110"", ""111"", ""112"", ""113"", ""114"", ""117""] }, { ""sku"": ""ADR008D"", ""combination"": [""103"", ""108"", ""109"", ""110"", ""111"", ""112"", ""113"", ""114"", ""117""] }, { ""sku"&amp;""": ""ADR009D"", ""combination"": [""104"", ""107"", ""109"", ""110"", ""111"", ""112"", ""113"", ""114"", ""118""] }, { ""sku"": ""ADR010D"", ""combination"": [""104"", ""108"", ""109"", ""110"", ""111"", ""112"", ""113"", ""114"", ""118""] }, { ""sku"":"&amp;" ""ADR011D"", ""combination"": [""105"", ""107"", ""109"", ""110"", ""111"", ""112"", ""113"", ""114"", ""119""] }, { ""sku"": ""ADR012D"", ""combination"": [""105"", ""108"", ""109"", ""110"", ""111"", ""112"", ""113"", ""114"", ""119""] }, { ""sku"": """&amp;"ADR015D"", ""combination"": [""106"", ""107"", ""109"", ""110"", ""111"", ""112"", ""113"", ""114"", ""120""] }, { ""sku"": ""ADR016D"", ""combination"": [""106"", ""108"", ""109"", ""110"", ""111"", ""112"", ""113"", ""114"", ""120""] }, { ""sku"": ""ADR"&amp;"005DA"", ""combination"": [""102"", ""107"", ""109"", ""121""] }, { ""sku"": ""ADR006DA"", ""combination"": [""102"", ""108"", ""109"", ""121""] }, { ""sku"": ""ADR007DA"", ""combination"": [""103"", ""107"", ""109"", ""122""] }, { ""sku"": ""ADR008DA"", "&amp;"""combination"": [""103"", ""108"", ""109"", ""122""] } ]")</f>
        <v>[ { "sku": "ADR003D", "combination": ["101", "107", "109", "110", "111", "112", "113", "114", "115"] }, { "sku": "ADR004D", "combination": ["101", "108", "109", "110", "111", "112", "113", "114", "115"] }, { "sku": "ADR005D", "combination": ["102", "107", "109", "110", "111", "112", "113", "114", "116"] }, { "sku": "ADR006D", "combination": ["102", "108", "109", "110", "111", "112", "113", "114", "116"] }, { "sku": "ADR007D", "combination": ["103", "107", "109", "110", "111", "112", "113", "114", "117"] }, { "sku": "ADR008D", "combination": ["103", "108", "109", "110", "111", "112", "113", "114", "117"] }, { "sku": "ADR009D", "combination": ["104", "107", "109", "110", "111", "112", "113", "114", "118"] }, { "sku": "ADR010D", "combination": ["104", "108", "109", "110", "111", "112", "113", "114", "118"] }, { "sku": "ADR011D", "combination": ["105", "107", "109", "110", "111", "112", "113", "114", "119"] }, { "sku": "ADR012D", "combination": ["105", "108", "109", "110", "111", "112", "113", "114", "119"] }, { "sku": "ADR015D", "combination": ["106", "107", "109", "110", "111", "112", "113", "114", "120"] }, { "sku": "ADR016D", "combination": ["106", "108", "109", "110", "111", "112", "113", "114", "120"] }, { "sku": "ADR005DA", "combination": ["102", "107", "109", "121"] }, { "sku": "ADR006DA", "combination": ["102", "108", "109", "121"] }, { "sku": "ADR007DA", "combination": ["103", "107", "109", "122"] }, { "sku": "ADR008DA", "combination": ["103", "108", "109", "122"] } ]</v>
      </c>
      <c r="Y18" s="18" t="s">
        <v>41</v>
      </c>
      <c r="Z18" s="18" t="s">
        <v>113</v>
      </c>
      <c r="AA18" s="18" t="s">
        <v>43</v>
      </c>
      <c r="AB18" s="21"/>
      <c r="AC18" s="22" t="str">
        <f>IFERROR(__xludf.DUMMYFUNCTION("AI(""Generate 6 powerful unique keywords for the product in this row"")"),"Dimming Driver, LED Driver, 5-in-1 Dimmer, IP67 Waterproof, 12V Power Supply, Triac Dimmer")</f>
        <v>Dimming Driver, LED Driver, 5-in-1 Dimmer, IP67 Waterproof, 12V Power Supply, Triac Dimmer</v>
      </c>
      <c r="AD18" s="21" t="s">
        <v>114</v>
      </c>
    </row>
    <row r="19" ht="37.5" customHeight="1">
      <c r="A19" s="11"/>
      <c r="B19" s="24"/>
      <c r="C19" s="24"/>
      <c r="D19" s="25"/>
      <c r="E19" s="24"/>
      <c r="F19" s="25"/>
      <c r="G19" s="24"/>
      <c r="H19" s="25"/>
      <c r="I19" s="24"/>
      <c r="J19" s="24"/>
      <c r="K19" s="24"/>
      <c r="L19" s="14" t="s">
        <v>115</v>
      </c>
      <c r="M19" s="14" t="s">
        <v>116</v>
      </c>
      <c r="N1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""&amp;M19)"),"Power|Voltage|IP Rating|AC Phase-Cut|Current Sinking|Current Sourcing|Duty Cycle|Variable Resistance|Dimension")</f>
        <v>Power|Voltage|IP Rating|AC Phase-Cut|Current Sinking|Current Sourcing|Duty Cycle|Variable Resistance|Dimension</v>
      </c>
      <c r="O19" s="16" t="s">
        <v>109</v>
      </c>
      <c r="P19" s="15" t="str">
        <f>IFERROR(__xludf.DUMMYFUNCTION("AI(""Using the labels""&amp;N19&amp;"" and values ""&amp;M19&amp;"" separated by character '|' and Using ""&amp;L19&amp;"" and key as 'SKU', Create a JSON object"")"),"{""SKU"": ""ADR004D"", ""Power"": ""30W"", ""Voltage"": ""24V"", ""IP Rating"": ""IP67"", ""AC Phase-Cut"": ""Triac"", ""Current Sinking"": ""0-10V"", ""Current Sourcing"": ""1-10V"", ""Duty Cycle"": ""PWM"", ""Variable Resistance"": ""Potentiometer"", """&amp;"Dimension"": ""262mm (W) x 33mm (H) x 21mm (L)""}")</f>
        <v>{"SKU": "ADR004D", "Power": "30W", "Voltage": "24V", "IP Rating": "IP67", "AC Phase-Cut": "Triac", "Current Sinking": "0-10V", "Current Sourcing": "1-10V", "Duty Cycle": "PWM", "Variable Resistance": "Potentiometer", "Dimension": "262mm (W) x 33mm (H) x 21mm (L)"}</v>
      </c>
      <c r="Q19" s="16" t="s">
        <v>117</v>
      </c>
      <c r="R19" s="26"/>
      <c r="S19" s="27"/>
      <c r="T19" s="26"/>
      <c r="U19" s="28"/>
      <c r="V19" s="27"/>
      <c r="W19" s="27"/>
      <c r="X19" s="27"/>
      <c r="Y19" s="18" t="s">
        <v>41</v>
      </c>
      <c r="Z19" s="18" t="s">
        <v>118</v>
      </c>
      <c r="AA19" s="18" t="s">
        <v>43</v>
      </c>
      <c r="AB19" s="21"/>
      <c r="AC19" s="21"/>
      <c r="AD19" s="21"/>
    </row>
    <row r="20" ht="37.5" customHeight="1">
      <c r="A20" s="11"/>
      <c r="B20" s="24"/>
      <c r="C20" s="24"/>
      <c r="D20" s="25"/>
      <c r="E20" s="24"/>
      <c r="F20" s="25"/>
      <c r="G20" s="24"/>
      <c r="H20" s="25"/>
      <c r="I20" s="24"/>
      <c r="J20" s="24"/>
      <c r="K20" s="24"/>
      <c r="L20" s="14" t="s">
        <v>119</v>
      </c>
      <c r="M20" s="14" t="s">
        <v>120</v>
      </c>
      <c r="N2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""&amp;M20)"),"Power|Voltage|IP Rating|AC Phase-Cut|Current Sinking|Current Sourcing|Duty Cycle|Variable Resistance|Dimension")</f>
        <v>Power|Voltage|IP Rating|AC Phase-Cut|Current Sinking|Current Sourcing|Duty Cycle|Variable Resistance|Dimension</v>
      </c>
      <c r="O20" s="16" t="s">
        <v>109</v>
      </c>
      <c r="P20" s="15" t="str">
        <f>IFERROR(__xludf.DUMMYFUNCTION("AI(""Using the labels""&amp;N20&amp;"" and values ""&amp;M20&amp;"" separated by character '|' and Using ""&amp;L20&amp;"" and key as 'SKU', Create a JSON object"")"),"{""SKU"": ""ADR005D"", ""Power"": ""60W"", ""Voltage"": ""12V"", ""IP Rating"": ""IP67"", ""AC Phase-Cut"": ""Triac"", ""Current Sinking"": ""0-10V"", ""Current Sourcing"": ""1-10V"", ""Duty Cycle"": ""PWM"", ""Variable Resistance"": ""Potentiometer"", """&amp;"Dimension"": ""300mm (W) x 32mm (H) x 20mm (L)""}")</f>
        <v>{"SKU": "ADR005D", "Power": "60W", "Voltage": "12V", "IP Rating": "IP67", "AC Phase-Cut": "Triac", "Current Sinking": "0-10V", "Current Sourcing": "1-10V", "Duty Cycle": "PWM", "Variable Resistance": "Potentiometer", "Dimension": "300mm (W) x 32mm (H) x 20mm (L)"}</v>
      </c>
      <c r="Q20" s="16" t="s">
        <v>121</v>
      </c>
      <c r="R20" s="26"/>
      <c r="S20" s="27"/>
      <c r="T20" s="26"/>
      <c r="U20" s="28"/>
      <c r="V20" s="27"/>
      <c r="W20" s="27"/>
      <c r="X20" s="27"/>
      <c r="Y20" s="18" t="s">
        <v>41</v>
      </c>
      <c r="Z20" s="18" t="s">
        <v>122</v>
      </c>
      <c r="AA20" s="18" t="s">
        <v>43</v>
      </c>
      <c r="AB20" s="21"/>
      <c r="AC20" s="21"/>
      <c r="AD20" s="21"/>
    </row>
    <row r="21" ht="37.5" customHeight="1">
      <c r="A21" s="11"/>
      <c r="B21" s="24"/>
      <c r="C21" s="24"/>
      <c r="D21" s="25"/>
      <c r="E21" s="24"/>
      <c r="F21" s="25"/>
      <c r="G21" s="24"/>
      <c r="H21" s="25"/>
      <c r="I21" s="24"/>
      <c r="J21" s="24"/>
      <c r="K21" s="24"/>
      <c r="L21" s="14" t="s">
        <v>123</v>
      </c>
      <c r="M21" s="14" t="s">
        <v>124</v>
      </c>
      <c r="N2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""&amp;M21)"),"Power|Voltage|IP Rating|AC Phase-Cut|Current Sinking|Current Sourcing|Duty Cycle|Variable Resistance|Dimension")</f>
        <v>Power|Voltage|IP Rating|AC Phase-Cut|Current Sinking|Current Sourcing|Duty Cycle|Variable Resistance|Dimension</v>
      </c>
      <c r="O21" s="16" t="s">
        <v>109</v>
      </c>
      <c r="P21" s="15" t="str">
        <f>IFERROR(__xludf.DUMMYFUNCTION("AI(""Using the labels""&amp;N21&amp;"" and values ""&amp;M21&amp;"" separated by character '|' and Using ""&amp;L21&amp;"" and key as 'SKU', Create a JSON object"")"),"{""SKU"": ""ADR006D"", ""Power"": ""60W"", ""Voltage"": ""24V"", ""IP Rating"": ""IP67"", ""AC Phase-Cut"": ""Triac"", ""Current Sinking"": ""0-10V"", ""Current Sourcing"": ""1-10V"", ""Duty Cycle"": ""PWM"", ""Variable Resistance"": ""Potentiometer"", """&amp;"Dimension"": ""300mm (W) x 32mm (H) x 20mm (L)""}")</f>
        <v>{"SKU": "ADR006D", "Power": "60W", "Voltage": "24V", "IP Rating": "IP67", "AC Phase-Cut": "Triac", "Current Sinking": "0-10V", "Current Sourcing": "1-10V", "Duty Cycle": "PWM", "Variable Resistance": "Potentiometer", "Dimension": "300mm (W) x 32mm (H) x 20mm (L)"}</v>
      </c>
      <c r="Q21" s="16" t="s">
        <v>125</v>
      </c>
      <c r="R21" s="26"/>
      <c r="S21" s="27"/>
      <c r="T21" s="26"/>
      <c r="U21" s="28"/>
      <c r="V21" s="27"/>
      <c r="W21" s="27"/>
      <c r="X21" s="27"/>
      <c r="Y21" s="18" t="s">
        <v>41</v>
      </c>
      <c r="Z21" s="18" t="s">
        <v>126</v>
      </c>
      <c r="AA21" s="18" t="s">
        <v>43</v>
      </c>
      <c r="AB21" s="21"/>
      <c r="AC21" s="21"/>
      <c r="AD21" s="21"/>
    </row>
    <row r="22" ht="37.5" customHeight="1">
      <c r="A22" s="11"/>
      <c r="B22" s="24"/>
      <c r="C22" s="24"/>
      <c r="D22" s="25"/>
      <c r="E22" s="24"/>
      <c r="F22" s="25"/>
      <c r="G22" s="24"/>
      <c r="H22" s="25"/>
      <c r="I22" s="24"/>
      <c r="J22" s="24"/>
      <c r="K22" s="24"/>
      <c r="L22" s="14" t="s">
        <v>127</v>
      </c>
      <c r="M22" s="14" t="s">
        <v>128</v>
      </c>
      <c r="N2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""&amp;M22)"),"Power|Voltage|IP Rating|AC Phase-Cut|Current Sinking|Current Sourcing|Duty Cycle|Variable Resistance|Dimension")</f>
        <v>Power|Voltage|IP Rating|AC Phase-Cut|Current Sinking|Current Sourcing|Duty Cycle|Variable Resistance|Dimension</v>
      </c>
      <c r="O22" s="16" t="s">
        <v>109</v>
      </c>
      <c r="P22" s="15" t="str">
        <f>IFERROR(__xludf.DUMMYFUNCTION("AI(""Using the labels""&amp;N22&amp;"" and values ""&amp;M22&amp;"" separated by character '|' and Using ""&amp;L22&amp;"" and key as 'SKU', Create a JSON object"")"),"{""SKU"": ""ADR007D"", ""Power"": ""100W"", ""Voltage"": ""12V"", ""IP Rating"": ""IP67"", ""AC Phase-Cut"": ""Triac"", ""Current Sinking"": ""0-10V"", ""Current Sourcing"": ""1-10V"", ""Duty Cycle"": ""PWM"", ""Variable Resistance"": ""Potentiometer"", "&amp;"""Dimension"": ""330mm (W) x 33mm (H) x 24mm (L)""}")</f>
        <v>{"SKU": "ADR007D", "Power": "100W", "Voltage": "12V", "IP Rating": "IP67", "AC Phase-Cut": "Triac", "Current Sinking": "0-10V", "Current Sourcing": "1-10V", "Duty Cycle": "PWM", "Variable Resistance": "Potentiometer", "Dimension": "330mm (W) x 33mm (H) x 24mm (L)"}</v>
      </c>
      <c r="Q22" s="16" t="s">
        <v>129</v>
      </c>
      <c r="R22" s="26"/>
      <c r="S22" s="27"/>
      <c r="T22" s="26"/>
      <c r="U22" s="28"/>
      <c r="V22" s="27"/>
      <c r="W22" s="27"/>
      <c r="X22" s="27"/>
      <c r="Y22" s="18" t="s">
        <v>41</v>
      </c>
      <c r="Z22" s="18" t="s">
        <v>130</v>
      </c>
      <c r="AA22" s="18" t="s">
        <v>43</v>
      </c>
      <c r="AB22" s="21"/>
      <c r="AC22" s="21"/>
      <c r="AD22" s="21"/>
    </row>
    <row r="23" ht="37.5" customHeight="1">
      <c r="A23" s="11"/>
      <c r="B23" s="24"/>
      <c r="C23" s="24"/>
      <c r="D23" s="25"/>
      <c r="E23" s="24"/>
      <c r="F23" s="25"/>
      <c r="G23" s="24"/>
      <c r="H23" s="25"/>
      <c r="I23" s="24"/>
      <c r="J23" s="24"/>
      <c r="K23" s="24"/>
      <c r="L23" s="14" t="s">
        <v>131</v>
      </c>
      <c r="M23" s="14" t="s">
        <v>132</v>
      </c>
      <c r="N2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""&amp;M23)"),"Power|Voltage|IP Rating|AC Phase-Cut|Current Sinking|Current Sourcing|Duty Cycle|Variable Resistance|Dimension")</f>
        <v>Power|Voltage|IP Rating|AC Phase-Cut|Current Sinking|Current Sourcing|Duty Cycle|Variable Resistance|Dimension</v>
      </c>
      <c r="O23" s="16" t="s">
        <v>109</v>
      </c>
      <c r="P23" s="15" t="str">
        <f>IFERROR(__xludf.DUMMYFUNCTION("AI(""Using the labels""&amp;N23&amp;"" and values ""&amp;M23&amp;"" separated by character '|' and Using ""&amp;L23&amp;"" and key as 'SKU', Create a JSON object"")"),"{""SKU"": ""ADR008D"", ""Power"": ""100W"", ""Voltage"": ""24V"", ""IP Rating"": ""IP67"", ""AC Phase-Cut"": ""Triac"", ""Current Sinking"": ""0-10V"", ""Current Sourcing"": ""1-10V"", ""Duty Cycle"": ""PWM"", ""Variable Resistance"": ""Potentiometer"", "&amp;"""Dimension"": ""330mm (W) x 33mm (H) x 24mm (L)""}")</f>
        <v>{"SKU": "ADR008D", "Power": "100W", "Voltage": "24V", "IP Rating": "IP67", "AC Phase-Cut": "Triac", "Current Sinking": "0-10V", "Current Sourcing": "1-10V", "Duty Cycle": "PWM", "Variable Resistance": "Potentiometer", "Dimension": "330mm (W) x 33mm (H) x 24mm (L)"}</v>
      </c>
      <c r="Q23" s="16" t="s">
        <v>133</v>
      </c>
      <c r="R23" s="26"/>
      <c r="S23" s="27"/>
      <c r="T23" s="26"/>
      <c r="U23" s="28"/>
      <c r="V23" s="27"/>
      <c r="W23" s="27"/>
      <c r="X23" s="27"/>
      <c r="Y23" s="18" t="s">
        <v>41</v>
      </c>
      <c r="Z23" s="18" t="s">
        <v>134</v>
      </c>
      <c r="AA23" s="18" t="s">
        <v>43</v>
      </c>
      <c r="AB23" s="21"/>
      <c r="AC23" s="21"/>
      <c r="AD23" s="21"/>
    </row>
    <row r="24" ht="37.5" customHeight="1">
      <c r="A24" s="11"/>
      <c r="B24" s="24"/>
      <c r="C24" s="24"/>
      <c r="D24" s="25"/>
      <c r="E24" s="24"/>
      <c r="F24" s="25"/>
      <c r="G24" s="24"/>
      <c r="H24" s="25"/>
      <c r="I24" s="24"/>
      <c r="J24" s="24"/>
      <c r="K24" s="24"/>
      <c r="L24" s="14" t="s">
        <v>135</v>
      </c>
      <c r="M24" s="14" t="s">
        <v>136</v>
      </c>
      <c r="N2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""&amp;M24)"),"Power|Voltage|IP Rating|AC Phase-Cut|Current Sinking|Current Sourcing|Duty Cycle|Variable Resistance|Dimension")</f>
        <v>Power|Voltage|IP Rating|AC Phase-Cut|Current Sinking|Current Sourcing|Duty Cycle|Variable Resistance|Dimension</v>
      </c>
      <c r="O24" s="16" t="s">
        <v>109</v>
      </c>
      <c r="P24" s="15" t="str">
        <f>IFERROR(__xludf.DUMMYFUNCTION("AI(""Using the labels""&amp;N24&amp;"" and values ""&amp;M24&amp;"" separated by character '|' and Using ""&amp;L24&amp;"" and key as 'SKU', Create a JSON object"")"),"{""SKU"": ""ADR009D"", ""Power"": ""150W"", ""Voltage"": ""12V"", ""IP Rating"": ""IP67"", ""AC Phase-Cut"": ""Triac"", ""Current Sinking"": ""0-10V"", ""Current Sourcing"": ""1-10V"", ""Duty Cycle"": ""PWM"", ""Variable Resistance"": ""Potentiometer"", "&amp;"""Dimension"": ""368mm (W) x 33mm (H) x 24mm (L)""}")</f>
        <v>{"SKU": "ADR009D", "Power": "150W", "Voltage": "12V", "IP Rating": "IP67", "AC Phase-Cut": "Triac", "Current Sinking": "0-10V", "Current Sourcing": "1-10V", "Duty Cycle": "PWM", "Variable Resistance": "Potentiometer", "Dimension": "368mm (W) x 33mm (H) x 24mm (L)"}</v>
      </c>
      <c r="Q24" s="16" t="s">
        <v>137</v>
      </c>
      <c r="R24" s="26"/>
      <c r="S24" s="27"/>
      <c r="T24" s="26"/>
      <c r="U24" s="28"/>
      <c r="V24" s="27"/>
      <c r="W24" s="27"/>
      <c r="X24" s="27"/>
      <c r="Y24" s="18" t="s">
        <v>41</v>
      </c>
      <c r="Z24" s="18" t="s">
        <v>138</v>
      </c>
      <c r="AA24" s="18" t="s">
        <v>43</v>
      </c>
      <c r="AB24" s="21"/>
      <c r="AC24" s="21"/>
      <c r="AD24" s="21"/>
    </row>
    <row r="25" ht="37.5" customHeight="1">
      <c r="A25" s="11"/>
      <c r="B25" s="24"/>
      <c r="C25" s="24"/>
      <c r="D25" s="25"/>
      <c r="E25" s="24"/>
      <c r="F25" s="25"/>
      <c r="G25" s="24"/>
      <c r="H25" s="25"/>
      <c r="I25" s="24"/>
      <c r="J25" s="24"/>
      <c r="K25" s="24"/>
      <c r="L25" s="14" t="s">
        <v>139</v>
      </c>
      <c r="M25" s="14" t="s">
        <v>140</v>
      </c>
      <c r="N2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""&amp;M25)"),"Power|Voltage|IP Rating|AC Phase-Cut|Current Sinking|Current Sourcing|Duty Cycle|Variable Resistance|Dimension")</f>
        <v>Power|Voltage|IP Rating|AC Phase-Cut|Current Sinking|Current Sourcing|Duty Cycle|Variable Resistance|Dimension</v>
      </c>
      <c r="O25" s="16" t="s">
        <v>109</v>
      </c>
      <c r="P25" s="15" t="str">
        <f>IFERROR(__xludf.DUMMYFUNCTION("AI(""Using the labels""&amp;N25&amp;"" and values ""&amp;M25&amp;"" separated by character '|' and Using ""&amp;L25&amp;"" and key as 'SKU', Create a JSON object"")"),"{""SKU"": ""ADR010D"", ""Power"": ""150W"", ""Voltage"": ""24V"", ""IP Rating"": ""IP67"", ""AC Phase-Cut"": ""Triac"", ""Current Sinking"": ""0-10V"", ""Current Sourcing"": ""1-10V"", ""Duty Cycle"": ""PWM"", ""Variable Resistance"": ""Potentiometer"", "&amp;"""Dimension"": ""368mm (W) x 33mm (H) x 24mm (L)""}")</f>
        <v>{"SKU": "ADR010D", "Power": "150W", "Voltage": "24V", "IP Rating": "IP67", "AC Phase-Cut": "Triac", "Current Sinking": "0-10V", "Current Sourcing": "1-10V", "Duty Cycle": "PWM", "Variable Resistance": "Potentiometer", "Dimension": "368mm (W) x 33mm (H) x 24mm (L)"}</v>
      </c>
      <c r="Q25" s="16" t="s">
        <v>141</v>
      </c>
      <c r="R25" s="26"/>
      <c r="S25" s="27"/>
      <c r="T25" s="26"/>
      <c r="U25" s="28"/>
      <c r="V25" s="27"/>
      <c r="W25" s="27"/>
      <c r="X25" s="27"/>
      <c r="Y25" s="18" t="s">
        <v>41</v>
      </c>
      <c r="Z25" s="18" t="s">
        <v>142</v>
      </c>
      <c r="AA25" s="18" t="s">
        <v>43</v>
      </c>
      <c r="AB25" s="21"/>
      <c r="AC25" s="21"/>
      <c r="AD25" s="21"/>
    </row>
    <row r="26" ht="37.5" customHeight="1">
      <c r="A26" s="11"/>
      <c r="B26" s="24"/>
      <c r="C26" s="24"/>
      <c r="D26" s="25"/>
      <c r="E26" s="24"/>
      <c r="F26" s="25"/>
      <c r="G26" s="24"/>
      <c r="H26" s="25"/>
      <c r="I26" s="24"/>
      <c r="J26" s="24"/>
      <c r="K26" s="24"/>
      <c r="L26" s="14" t="s">
        <v>143</v>
      </c>
      <c r="M26" s="14" t="s">
        <v>144</v>
      </c>
      <c r="N2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""&amp;M26)"),"Power|Voltage|IP Rating|AC Phase-Cut|Current Sinking|Current Sourcing|Duty Cycle|Variable Resistance|Dimension")</f>
        <v>Power|Voltage|IP Rating|AC Phase-Cut|Current Sinking|Current Sourcing|Duty Cycle|Variable Resistance|Dimension</v>
      </c>
      <c r="O26" s="16" t="s">
        <v>109</v>
      </c>
      <c r="P26" s="15" t="str">
        <f>IFERROR(__xludf.DUMMYFUNCTION("AI(""Using the labels""&amp;N26&amp;"" and values ""&amp;M26&amp;"" separated by character '|' and Using ""&amp;L26&amp;"" and key as 'SKU', Create a JSON object"")"),"{""SKU"": ""ADR011D"", ""Power"": ""200W"", ""Voltage"": ""12V"", ""IP Rating"": ""IP67"", ""AC Phase-Cut"": ""Triac"", ""Current Sinking"": ""0-10V"", ""Current Sourcing"": ""1-10V"", ""Duty Cycle"": ""PWM"", ""Variable Resistance"": ""Potentiometer"", "&amp;"""Dimension"": ""256mm (W) x 78mm (H) x 47mm (L)""}")</f>
        <v>{"SKU": "ADR011D", "Power": "200W", "Voltage": "12V", "IP Rating": "IP67", "AC Phase-Cut": "Triac", "Current Sinking": "0-10V", "Current Sourcing": "1-10V", "Duty Cycle": "PWM", "Variable Resistance": "Potentiometer", "Dimension": "256mm (W) x 78mm (H) x 47mm (L)"}</v>
      </c>
      <c r="Q26" s="16" t="s">
        <v>145</v>
      </c>
      <c r="R26" s="26"/>
      <c r="S26" s="27"/>
      <c r="T26" s="26"/>
      <c r="U26" s="28"/>
      <c r="V26" s="27"/>
      <c r="W26" s="27"/>
      <c r="X26" s="27"/>
      <c r="Y26" s="18" t="s">
        <v>41</v>
      </c>
      <c r="Z26" s="18" t="s">
        <v>146</v>
      </c>
      <c r="AA26" s="18" t="s">
        <v>43</v>
      </c>
      <c r="AB26" s="21"/>
      <c r="AC26" s="21"/>
      <c r="AD26" s="21"/>
    </row>
    <row r="27" ht="37.5" customHeight="1">
      <c r="A27" s="11"/>
      <c r="B27" s="24"/>
      <c r="C27" s="24"/>
      <c r="D27" s="25"/>
      <c r="E27" s="24"/>
      <c r="F27" s="25"/>
      <c r="G27" s="24"/>
      <c r="H27" s="25"/>
      <c r="I27" s="24"/>
      <c r="J27" s="24"/>
      <c r="K27" s="24"/>
      <c r="L27" s="14" t="s">
        <v>147</v>
      </c>
      <c r="M27" s="14" t="s">
        <v>148</v>
      </c>
      <c r="N2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""&amp;M27)"),"Power|Voltage|IP Rating|AC Phase-Cut|Current Sinking|Current Sourcing|Duty Cycle|Variable Resistance|Dimension")</f>
        <v>Power|Voltage|IP Rating|AC Phase-Cut|Current Sinking|Current Sourcing|Duty Cycle|Variable Resistance|Dimension</v>
      </c>
      <c r="O27" s="16" t="s">
        <v>109</v>
      </c>
      <c r="P27" s="15" t="str">
        <f>IFERROR(__xludf.DUMMYFUNCTION("AI(""Using the labels""&amp;N27&amp;"" and values ""&amp;M27&amp;"" separated by character '|' and Using ""&amp;L27&amp;"" and key as 'SKU', Create a JSON object"")"),"{""SKU"": ""ADR012D"", ""Power"": ""200W"", ""Voltage"": ""24V"", ""IP Rating"": ""IP67"", ""AC Phase-Cut"": ""Triac"", ""Current Sinking"": ""0-10V"", ""Current Sourcing"": ""1-10V"", ""Duty Cycle"": ""PWM"", ""Variable Resistance"": ""Potentiometer"", "&amp;"""Dimension"": ""256mm (W) x 78mm (H) x 47mm (L)""}")</f>
        <v>{"SKU": "ADR012D", "Power": "200W", "Voltage": "24V", "IP Rating": "IP67", "AC Phase-Cut": "Triac", "Current Sinking": "0-10V", "Current Sourcing": "1-10V", "Duty Cycle": "PWM", "Variable Resistance": "Potentiometer", "Dimension": "256mm (W) x 78mm (H) x 47mm (L)"}</v>
      </c>
      <c r="Q27" s="16" t="s">
        <v>149</v>
      </c>
      <c r="R27" s="26"/>
      <c r="S27" s="27"/>
      <c r="T27" s="26"/>
      <c r="U27" s="28"/>
      <c r="V27" s="27"/>
      <c r="W27" s="27"/>
      <c r="X27" s="27"/>
      <c r="Y27" s="18" t="s">
        <v>41</v>
      </c>
      <c r="Z27" s="18" t="s">
        <v>150</v>
      </c>
      <c r="AA27" s="18" t="s">
        <v>43</v>
      </c>
      <c r="AB27" s="21"/>
      <c r="AC27" s="21"/>
      <c r="AD27" s="21"/>
    </row>
    <row r="28" ht="37.5" customHeight="1">
      <c r="A28" s="11"/>
      <c r="B28" s="24"/>
      <c r="C28" s="24"/>
      <c r="D28" s="25"/>
      <c r="E28" s="24"/>
      <c r="F28" s="25"/>
      <c r="G28" s="24"/>
      <c r="H28" s="25"/>
      <c r="I28" s="24"/>
      <c r="J28" s="24"/>
      <c r="K28" s="24"/>
      <c r="L28" s="14" t="s">
        <v>151</v>
      </c>
      <c r="M28" s="14" t="s">
        <v>152</v>
      </c>
      <c r="N2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""&amp;M28)"),"Power|Voltage|IP Rating|AC Phase-Cut|Current Sinking|Current Sourcing|Duty Cycle|Variable Resistance|Dimension")</f>
        <v>Power|Voltage|IP Rating|AC Phase-Cut|Current Sinking|Current Sourcing|Duty Cycle|Variable Resistance|Dimension</v>
      </c>
      <c r="O28" s="16" t="s">
        <v>109</v>
      </c>
      <c r="P28" s="15" t="str">
        <f>IFERROR(__xludf.DUMMYFUNCTION("AI(""Using the labels""&amp;N28&amp;"" and values ""&amp;M28&amp;"" separated by character '|' and Using ""&amp;L28&amp;"" and key as 'SKU', Create a JSON object"")"),"{""SKU"": ""ADR015D"", ""Power"": ""300W"", ""Voltage"": ""12V"", ""IP Rating"": ""IP67"", ""AC Phase-Cut"": ""Triac"", ""Current Sinking"": ""0-10V"", ""Current Sourcing"": ""1-10V"", ""Duty Cycle"": ""PWM"", ""Variable Resistance"": ""Potentiometer"", "&amp;"""Dimension"": ""276mm (W) x 78mm (H) x 48mm (L)""}")</f>
        <v>{"SKU": "ADR015D", "Power": "300W", "Voltage": "12V", "IP Rating": "IP67", "AC Phase-Cut": "Triac", "Current Sinking": "0-10V", "Current Sourcing": "1-10V", "Duty Cycle": "PWM", "Variable Resistance": "Potentiometer", "Dimension": "276mm (W) x 78mm (H) x 48mm (L)"}</v>
      </c>
      <c r="Q28" s="16" t="s">
        <v>153</v>
      </c>
      <c r="R28" s="26"/>
      <c r="S28" s="27"/>
      <c r="T28" s="26"/>
      <c r="U28" s="28"/>
      <c r="V28" s="27"/>
      <c r="W28" s="27"/>
      <c r="X28" s="27"/>
      <c r="Y28" s="18" t="s">
        <v>41</v>
      </c>
      <c r="Z28" s="18" t="s">
        <v>154</v>
      </c>
      <c r="AA28" s="18" t="s">
        <v>43</v>
      </c>
      <c r="AB28" s="21"/>
      <c r="AC28" s="21"/>
      <c r="AD28" s="21"/>
    </row>
    <row r="29" ht="37.5" customHeight="1">
      <c r="A29" s="11"/>
      <c r="B29" s="24"/>
      <c r="C29" s="24"/>
      <c r="D29" s="25"/>
      <c r="E29" s="24"/>
      <c r="F29" s="25"/>
      <c r="G29" s="24"/>
      <c r="H29" s="25"/>
      <c r="I29" s="24"/>
      <c r="J29" s="24"/>
      <c r="K29" s="24"/>
      <c r="L29" s="14" t="s">
        <v>155</v>
      </c>
      <c r="M29" s="14" t="s">
        <v>156</v>
      </c>
      <c r="N2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""&amp;M29)"),"Power|Voltage|IP Rating|AC Phase-Cut|Current Sinking|Current Sourcing|Duty Cycle|Variable Resistance|Dimension")</f>
        <v>Power|Voltage|IP Rating|AC Phase-Cut|Current Sinking|Current Sourcing|Duty Cycle|Variable Resistance|Dimension</v>
      </c>
      <c r="O29" s="16" t="s">
        <v>109</v>
      </c>
      <c r="P29" s="15" t="str">
        <f>IFERROR(__xludf.DUMMYFUNCTION("AI(""Using the labels""&amp;N29&amp;"" and values ""&amp;M29&amp;"" separated by character '|' and Using ""&amp;L29&amp;"" and key as 'SKU', Create a JSON object"")"),"{""SKU"": ""ADR016D"", ""Power"": ""300W"", ""Voltage"": ""24V"", ""IP Rating"": ""IP67"", ""AC Phase-Cut"": ""Triac"", ""Current Sinking"": ""0-10V"", ""Current Sourcing"": ""1-10V"", ""Duty Cycle"": ""PWM"", ""Variable Resistance"": ""Potentiometer"", "&amp;"""Dimension"": ""276mm (W) x 78mm (H) x 48mm (L)""}")</f>
        <v>{"SKU": "ADR016D", "Power": "300W", "Voltage": "24V", "IP Rating": "IP67", "AC Phase-Cut": "Triac", "Current Sinking": "0-10V", "Current Sourcing": "1-10V", "Duty Cycle": "PWM", "Variable Resistance": "Potentiometer", "Dimension": "276mm (W) x 78mm (H) x 48mm (L)"}</v>
      </c>
      <c r="Q29" s="16" t="s">
        <v>157</v>
      </c>
      <c r="R29" s="26"/>
      <c r="S29" s="27"/>
      <c r="T29" s="26"/>
      <c r="U29" s="28"/>
      <c r="V29" s="27"/>
      <c r="W29" s="27"/>
      <c r="X29" s="27"/>
      <c r="Y29" s="18" t="s">
        <v>41</v>
      </c>
      <c r="Z29" s="18" t="s">
        <v>158</v>
      </c>
      <c r="AA29" s="18" t="s">
        <v>43</v>
      </c>
      <c r="AB29" s="21"/>
      <c r="AC29" s="21"/>
      <c r="AD29" s="21"/>
    </row>
    <row r="30" ht="37.5" customHeight="1">
      <c r="A30" s="11" t="s">
        <v>159</v>
      </c>
      <c r="B30" s="12" t="s">
        <v>160</v>
      </c>
      <c r="C30" s="12" t="s">
        <v>32</v>
      </c>
      <c r="D30" s="13" t="s">
        <v>160</v>
      </c>
      <c r="E30" s="12" t="s">
        <v>33</v>
      </c>
      <c r="F30" s="13" t="str">
        <f>IFERROR(__xludf.DUMMYFUNCTION("AI(""Give me a paragraph marketing spiel for this product, no tech specs just marketing fluff "")"),"Elevate your spaces into a breathtaking visual journey of elegant design and discreet luxury with a sophisticated, seamless glow. This premium dimmable driver offers the perfect blend of modern innovation and refined elegance, effortlessly transforming yo"&amp;"ur environment into a warm, welcoming retreat. Designed for those who appreciate flawless execution and an unparalleled touch of ambiance, it beautifully highlights your architecture to create a captivating and serene atmosphere. Unwind in the stunning, s"&amp;"oft illumination that brings your vision to life and makes every evening feel truly magical.")</f>
        <v>Elevate your spaces into a breathtaking visual journey of elegant design and discreet luxury with a sophisticated, seamless glow. This premium dimmable driver offers the perfect blend of modern innovation and refined elegance, effortlessly transforming your environment into a warm, welcoming retreat. Designed for those who appreciate flawless execution and an unparalleled touch of ambiance, it beautifully highlights your architecture to create a captivating and serene atmosphere. Unwind in the stunning, soft illumination that brings your vision to life and makes every evening feel truly magical.</v>
      </c>
      <c r="G30" s="12" t="s">
        <v>161</v>
      </c>
      <c r="H30" s="13" t="str">
        <f>IFERROR(__xludf.DUMMYFUNCTION("AI(""Give me a paragraph marketing spiel for this product, no tech specs just marketing fluff under 180 characters "")"),"Transform your space with elegant design and discreet luxury. Enjoy a sophisticated, seamless glow that brings your vision to life and makes every moment feel truly magical.")</f>
        <v>Transform your space with elegant design and discreet luxury. Enjoy a sophisticated, seamless glow that brings your vision to life and makes every moment feel truly magical.</v>
      </c>
      <c r="I30" s="12" t="s">
        <v>162</v>
      </c>
      <c r="J30" s="24"/>
      <c r="K30" s="24"/>
      <c r="L30" s="14" t="s">
        <v>159</v>
      </c>
      <c r="M30" s="14" t="s">
        <v>163</v>
      </c>
      <c r="N3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""&amp;M30)"),"Power|Voltage|IP Rating|Dimension")</f>
        <v>Power|Voltage|IP Rating|Dimension</v>
      </c>
      <c r="O30" s="16" t="s">
        <v>37</v>
      </c>
      <c r="P30" s="15" t="str">
        <f>IFERROR(__xludf.DUMMYFUNCTION("AI(""Using the labels""&amp;N30&amp;"" and values ""&amp;M30&amp;"" separated by character '|' and Using ""&amp;L30&amp;"" and key as 'SKU', Create a JSON object"")"),"{""SKU"": ""ADR005DA"", ""Power"": ""60W"", ""Voltage"": ""12V"", ""IP Rating"": ""IP67"", ""Dimension"": ""78mm (W) x 25.1mm (H) x 200mm (L)""}")</f>
        <v>{"SKU": "ADR005DA", "Power": "60W", "Voltage": "12V", "IP Rating": "IP67", "Dimension": "78mm (W) x 25.1mm (H) x 200mm (L)"}</v>
      </c>
      <c r="Q30" s="16" t="s">
        <v>164</v>
      </c>
      <c r="R30"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Q30:Q40)"),"{""SKU"": [""ADR005DA"", ""ADR006DA"", ""ADR007DA"", ""ADR008DA"", ""ADR009DA"", ""ADR010DA"", ""ADR011DA"", ""ADR012DA"", ""ADR015DA"", ""ADR016DA"", ""ADR-360-24-DALI""], ""Power"": [""60W"", ""100W"", ""150W"", ""200W"", ""300W"", ""360W""], ""Voltage"&amp;""": [""12V"", ""24V""], ""IP Rating"": ""IP67"", ""Dimension"": [""78mm (W) x 25.1mm (H) x 200mm (L)"", ""78mm (W) x 25.1mm (H) x 231mm (L)"", ""78mm (W) x 25.1mm (H) x 278mm (L)"", ""78mm (W) x 25.1mm (H) x 301mm (L)""]}")</f>
        <v>{"SKU": ["ADR005DA", "ADR006DA", "ADR007DA", "ADR008DA", "ADR009DA", "ADR010DA", "ADR011DA", "ADR012DA", "ADR015DA", "ADR016DA", "ADR-360-24-DALI"], "Power": ["60W", "100W", "150W", "200W", "300W", "360W"], "Voltage": ["12V", "24V"], "IP Rating": "IP67", "Dimension": ["78mm (W) x 25.1mm (H) x 200mm (L)", "78mm (W) x 25.1mm (H) x 231mm (L)", "78mm (W) x 25.1mm (H) x 278mm (L)", "78mm (W) x 25.1mm (H) x 301mm (L)"]}</v>
      </c>
      <c r="S30" s="18" t="s">
        <v>165</v>
      </c>
      <c r="T30" s="17" t="str">
        <f>IFERROR(__xludf.DUMMYFUNCTION("AI(""You are a product catalog configuration expert. Your task is to analyze a list of valid product variant combinations (provided as JSON lines/objects) and generate two JSON structures: """"Options"""", """"Constraints"""" and """"sku_mappings"""".
##"&amp;"# Instructions:
1. **Extract Options:**
   - Group all unique values by their attribute keys (e.g., Power, Optics, CCT, IP Rating, Impact Strength).
   - Assign a unique sequential integer string ID to every attribute value, starting from """"101"""" and"&amp;" incrementing by 1 in the order they appear.
   - Format each attribute as an array of objects: `[{""""name"""": """"VALUE"""", """"id"""": """"ID""""}]`.
   - All attribute keys should be included. Do not miss any keys from the json.
2. **Determine Cons"&amp;"traints (Incompatibilities):**
   - Identify attribute pairs that are impossible or missing from the valid combinations.
   - Specifically, map an ID of an Option Value to an array of Option Value IDs that **cannot** be selected with it.
   - Output const"&amp;"raints in the format: `""""OPTION_ID"""": [INCOMPATIBLE_OPTION_ID]`.
   - Only list meaningful non-empty constraints. Express constraints using the primary driving factor (e.g., optic limitation over CCT).
3. **Determine sku_mappings:**
   - Identify the"&amp;" valid combination and create a array with sku and combination containing array of options ID
4. **Output Format:**
   - Return strictly valid JSON containing two root keys: """"Options"""", """"Constraints"""" and """"sku_mappings"""".
   - Do not wrap"&amp;" the JSON in conversational filler text.
---
### Example Input:
{""""SKU"""":""""HRS001"""", """"Power"""": """"1.2W"""", """"Optics"""": """"SYM30°"""", """"CCT"""": """"3000K"""", """"IP Rating"""": """"IP67"""", """"Impact Strength"""": """"IK10""""}"&amp;"
{""""SKU"""":""""HRS002"""", """"Power"""": """"1.2W"""", """"Optics"""": """"SYM30°"""", """"CCT"""": """"4000K"""", """"IP Rating"""": """"IP67"""", """"Impact Strength"""": """"IK10""""}
{""""SKU"""":""""HRS003"""", """"Power"""": """"1.2W"""", """"Op"&amp;"tics"""": """"SYM60°"""", """"CCT"""": """"3000K"""", """"IP Rating"""": """"IP67"""", """"Impact Strength"""": """"IK10""""}
{""""SKU"""":""""HRS004"""", """"Power"""": """"1.2W"""", """"Optics"""": """"SYM60°"""", """"CCT"""": """"4000K"""", """"IP Rati"&amp;"ng"""": """"IP67"""", """"Impact Strength"""": """"IK10""""}
{""""SKU"""":""""HRS005"""", """"Power"""": """"1.2W"""", """"Optics"""": """"ASYM50°"""", """"CCT"""": """"3000K"""", """"IP Rating"""": """"IP67"""", """"Impact Strength"""": """"IK10""""}
##"&amp;"# Example Output:
{
  """"Options"""": {
    """"Power"""": [
      {""""name"""": """"1.2W"""", """"id"""": """"101""""}
    ],
    """"Optics"""": [
      {""""name"""": """"SYM30°"""", """"id"""": """"102""""},
      {""""name"""": """"SYM60°"""", """""&amp;"id"""": """"103""""},
      {""""name"""": """"ASYM50°"""", """"id"""": """"104""""}
    ],
    """"CCT"""": [
      {""""name"""": """"3000K"""", """"id"""": """"105""""},
      {""""name"""": """"4000K"""", """"id"""": """"106""""}
    ],
    """"IP Rat"&amp;"ing"""": [
      {""""name"""": """"IP67"""", """"id"""": """"107""""}
    ],
    """"Impact Strength"""": [
      {""""name"""": """"IK10"""", """"id"""": """"108""""}
    ]
  },
  """"Constraints"""": {
    """"104"""": [106]
  },
""""sku_mappings"""": "&amp;"[
      { """"sku"""": """"HRS001"""", """"combination"""": [""""101"""", """"102"""", """"105"""", """"107"""", """"108""""] },
      { """"sku"""": """"HRS002"""", """"combination"""": [""""101"""", """"102"""", """"106"""", """"107"""", """"108""""] },"&amp;"
      { """"sku"""": """"HRS003"""", """"combination"""": [""""101"""", """"103"""", """"105"""", """"107"""", """"108""""] },
      { """"sku"""": """"HRS004"""", """"combination"""": [""""101"""", """"103"""", """"106"""", """"107"""", """"108""""] },
"&amp;"      { """"sku"""": """"HRS005"""", """"combination"""": [""""101"""", """"104"""", """"105"""", """"107"""", """"108""""] },
      { """"sku"""": """"HRS006"""", """"combination"""": [""""101"""", """"104"""", """"106"""", """"107"""", """"108""""] }
  "&amp;"  ]
}
Process the following product variant combinations and output the """"Options"""", """"Constraints"""" and """"sku_mappings"""" JSON:"", Q30:Q45)"),"{
""Options"": {
""Power"": [
{""name"": ""60W"", ""id"": ""101""},
{""name"": ""100W"", ""id"": ""102""},
{""name"": ""150W"", ""id"": ""103""},
{""name"": ""200W"", ""id"": ""104""},
{""name"": ""300W"", ""id"": ""105""},
{""name"": ""360W"", ""id"": """&amp;"106""},
{""name"": ""20W"", ""id"": ""107""},
{""name"": ""40W"", ""id"": ""108""},
{""name"": ""80W"", ""id"": ""109""}
],
""Voltage"": [
{""name"": ""12V"", ""id"": ""110""},
{""name"": ""24V"", ""id"": ""111""},
{""name"": ""12V/24V"", ""id"": ""112""}"&amp;"
],
""IP Rating"": [
{""name"": ""IP67"", ""id"": ""113""},
{""name"": ""IP20"", ""id"": ""114""}
],
""Dimension"": [
{""name"": ""78mm (W) x 25.1mm (H) x 200mm (L)"", ""id"": ""115""},
{""name"": ""78mm (W) x 25.1mm (H) x 231mm (L)"", ""id"": ""116""},
{"&amp;"""name"": ""78mm (W) x 25.1mm (H) x 278mm (L)"", ""id"": ""117""},
{""name"": ""78mm (W) x 25.1mm (H) x 301mm (L)"", ""id"": ""118""},
{""name"": ""70mm (W) x 43mm (H) x 180mm (L)"", ""id"": ""119""},
{""name"": ""85mm (W) x 45mm (H) x 230mm (L)"", ""id"""&amp;": ""120""}
]
},
""Constraints"": {
""106"": [""110""]
},
""sku_mappings"": [
{ ""sku"": ""ADR005DA"", ""combination"": [""101"", ""110"", ""113"", ""115""] },
{ ""sku"": ""ADR006DA"", ""combination"": [""101"", ""111"", ""113"", ""115""] },
{ ""sku"": ""A"&amp;"DR007DA"", ""combination"": [""102"", ""110"", ""113"", ""116""] },
{ ""sku"": ""ADR008DA"", ""combination"": [""102"", ""111"", ""113"", ""116""] },
{ ""sku"": ""ADR009DA"", ""combination"": [""103"", ""110"", ""113"", ""117""] },
{ ""sku"": ""ADR010DA"""&amp;", ""combination"": [""103"", ""111"", ""113"", ""117""] },
{ ""sku"": ""ADR011DA"", ""combination"": [""104"", ""110"", ""113"", ""117""] },
{ ""sku"": ""ADR012DA"", ""combination"": [""104"", ""111"", ""113"", ""117""] },
{ ""sku"": ""ADR015DA"", ""combi"&amp;"nation"": [""105"", ""110"", ""113"", ""118""] },
{ ""sku"": ""ADR016DA"", ""combination"": [""105"", ""111"", ""113"", ""118""] },
{ ""sku"": ""ADR-360-24-DALI"", ""combination"": [""106"", ""111"", ""113"", ""118""] },
{ ""sku"": ""ADR-S12V24V-20W"", """&amp;"combination"": [""107"", ""112"", ""114"", ""119""] },
{ ""sku"": ""ADR-S12V24V-40W"", ""combination"": [""108"", ""112"", ""114"", ""120""] },
{ ""sku"": ""ADR-S12V24V-60W"", ""combination"": [""101"", ""112"", ""114"", ""120""] },
{ ""sku"": ""ADR-S12V2"&amp;"4V-80W"", ""combination"": [""109"", ""112"", ""114"", ""120""] },
{ ""sku"": ""ADR-S12V24V-100W"", ""combination"": [""102"", ""112"", ""114"", ""120""] }
]
}")</f>
        <v>{
"Options": {
"Power": [
{"name": "60W", "id": "101"},
{"name": "100W", "id": "102"},
{"name": "150W", "id": "103"},
{"name": "200W", "id": "104"},
{"name": "300W", "id": "105"},
{"name": "360W", "id": "106"},
{"name": "20W", "id": "107"},
{"name": "40W", "id": "108"},
{"name": "80W", "id": "109"}
],
"Voltage": [
{"name": "12V", "id": "110"},
{"name": "24V", "id": "111"},
{"name": "12V/24V", "id": "112"}
],
"IP Rating": [
{"name": "IP67", "id": "113"},
{"name": "IP20", "id": "114"}
],
"Dimension": [
{"name": "78mm (W) x 25.1mm (H) x 200mm (L)", "id": "115"},
{"name": "78mm (W) x 25.1mm (H) x 231mm (L)", "id": "116"},
{"name": "78mm (W) x 25.1mm (H) x 278mm (L)", "id": "117"},
{"name": "78mm (W) x 25.1mm (H) x 301mm (L)", "id": "118"},
{"name": "70mm (W) x 43mm (H) x 180mm (L)", "id": "119"},
{"name": "85mm (W) x 45mm (H) x 230mm (L)", "id": "120"}
]
},
"Constraints": {
"106": ["110"]
},
"sku_mappings": [
{ "sku": "ADR005DA", "combination": ["101", "110", "113", "115"] },
{ "sku": "ADR006DA", "combination": ["101", "111", "113", "115"] },
{ "sku": "ADR007DA", "combination": ["102", "110", "113", "116"] },
{ "sku": "ADR008DA", "combination": ["102", "111", "113", "116"] },
{ "sku": "ADR009DA", "combination": ["103", "110", "113", "117"] },
{ "sku": "ADR010DA", "combination": ["103", "111", "113", "117"] },
{ "sku": "ADR011DA", "combination": ["104", "110", "113", "117"] },
{ "sku": "ADR012DA", "combination": ["104", "111", "113", "117"] },
{ "sku": "ADR015DA", "combination": ["105", "110", "113", "118"] },
{ "sku": "ADR016DA", "combination": ["105", "111", "113", "118"] },
{ "sku": "ADR-360-24-DALI", "combination": ["106", "111", "113", "118"] },
{ "sku": "ADR-S12V24V-20W", "combination": ["107", "112", "114", "119"] },
{ "sku": "ADR-S12V24V-40W", "combination": ["108", "112", "114", "120"] },
{ "sku": "ADR-S12V24V-60W", "combination": ["101", "112", "114", "120"] },
{ "sku": "ADR-S12V24V-80W", "combination": ["109", "112", "114", "120"] },
{ "sku": "ADR-S12V24V-100W", "combination": ["102", "112", "114", "120"] }
]
}</v>
      </c>
      <c r="U30" s="19" t="s">
        <v>166</v>
      </c>
      <c r="V30" s="20" t="str">
        <f>IFERROR(__xludf.DUMMYFUNCTION("AI(""Extract options object from the json"", U30)"),"{""Power"": [{""name"": ""60W"", ""id"": ""101""}, {""name"": ""100W"", ""id"": ""102""}, {""name"": ""150W"", ""id"": ""103""}, {""name"": ""200W"", ""id"": ""104""}, {""name"": ""300W"", ""id"": ""105""}, {""name"": ""360W"", ""id"": ""106""}, {""name"""&amp;": ""20W"", ""id"": ""107""}, {""name"": ""40W"", ""id"": ""108""}, {""name"": ""80W"", ""id"": ""109""}], ""Voltage"": [{""name"": ""12V"", ""id"": ""110""}, {""name"": ""24V"", ""id"": ""111""}, {""name"": ""12V/24V"", ""id"": ""112""}], ""IP Rating"": ["&amp;"{""name"": ""IP67"", ""id"": ""113""}, {""name"": ""IP20"", ""id"": ""114""}], ""Dimension"": [{""name"": ""78mm (W) x 25.1mm (H) x 200mm (L)"", ""id"": ""115""}, {""name"": ""78mm (W) x 25.1mm (H) x 231mm (L)"", ""id"": ""116""}, {""name"": ""78mm (W) x "&amp;"25.1mm (H) x 278mm (L)"", ""id"": ""117""}, {""name"": ""78mm (W) x 25.1mm (H) x 301mm (L)"", ""id"": ""118""}, {""name"": ""70mm (W) x 43mm (H) x 180mm (L)"", ""id"": ""119""}, {""name"": ""85mm (W) x 45mm (H) x 230mm (L)"", ""id"": ""120""}]}")</f>
        <v>{"Power": [{"name": "60W", "id": "101"}, {"name": "100W", "id": "102"}, {"name": "150W", "id": "103"}, {"name": "200W", "id": "104"}, {"name": "300W", "id": "105"}, {"name": "360W", "id": "106"}, {"name": "20W", "id": "107"}, {"name": "40W", "id": "108"}, {"name": "80W", "id": "109"}], "Voltage": [{"name": "12V", "id": "110"}, {"name": "24V", "id": "111"}, {"name": "12V/24V", "id": "112"}], "IP Rating": [{"name": "IP67", "id": "113"}, {"name": "IP20", "id": "114"}], "Dimension": [{"name": "78mm (W) x 25.1mm (H) x 200mm (L)", "id": "115"}, {"name": "78mm (W) x 25.1mm (H) x 231mm (L)", "id": "116"}, {"name": "78mm (W) x 25.1mm (H) x 278mm (L)", "id": "117"}, {"name": "78mm (W) x 25.1mm (H) x 301mm (L)", "id": "118"}, {"name": "70mm (W) x 43mm (H) x 180mm (L)", "id": "119"}, {"name": "85mm (W) x 45mm (H) x 230mm (L)", "id": "120"}]}</v>
      </c>
      <c r="W30" s="20" t="str">
        <f>IFERROR(__xludf.DUMMYFUNCTION("AI(""Extract constraints object from the json"", U30)"),"{ ""106"": [""110""] }")</f>
        <v>{ "106": ["110"] }</v>
      </c>
      <c r="X30" s="20" t="str">
        <f>IFERROR(__xludf.DUMMYFUNCTION("AI(""Extract sku_mappings object from the json"", U30)"),"[ { ""sku"": ""ADR005DA"", ""combination"": [""101"", ""110"", ""113"", ""115""] }, { ""sku"": ""ADR006DA"", ""combination"": [""101"", ""111"", ""113"", ""115""] }, { ""sku"": ""ADR007DA"", ""combination"": [""102"", ""110"", ""113"", ""116""] }, { ""sku"&amp;""": ""ADR008DA"", ""combination"": [""102"", ""111"", ""113"", ""116""] }, { ""sku"": ""ADR009DA"", ""combination"": [""103"", ""110"", ""113"", ""117""] }, { ""sku"": ""ADR010DA"", ""combination"": [""103"", ""111"", ""113"", ""117""] }, { ""sku"": ""ADR"&amp;"011DA"", ""combination"": [""104"", ""110"", ""113"", ""117""] }, { ""sku"": ""ADR012DA"", ""combination"": [""104"", ""111"", ""113"", ""117""] }, { ""sku"": ""ADR015DA"", ""combination"": [""105"", ""110"", ""113"", ""118""] }, { ""sku"": ""ADR016DA"", "&amp;"""combination"": [""105"", ""111"", ""113"", ""118""] }, { ""sku"": ""ADR-360-24-DALI"", ""combination"": [""106"", ""111"", ""113"", ""118""] }, { ""sku"": ""ADR-S12V24V-20W"", ""combination"": [""107"", ""112"", ""114"", ""119""] }, { ""sku"": ""ADR-S12"&amp;"V24V-40W"", ""combination"": [""108"", ""112"", ""114"", ""120""] }, { ""sku"": ""ADR-S12V24V-60W"", ""combination"": [""101"", ""112"", ""114"", ""120""] }, { ""sku"": ""ADR-S12V24V-80W"", ""combination"": [""109"", ""112"", ""114"", ""120""] }, { ""sku"&amp;""": ""ADR-S12V24V-100W"", ""combination"": [""102"", ""112"", ""114"", ""120""] } ]")</f>
        <v>[ { "sku": "ADR005DA", "combination": ["101", "110", "113", "115"] }, { "sku": "ADR006DA", "combination": ["101", "111", "113", "115"] }, { "sku": "ADR007DA", "combination": ["102", "110", "113", "116"] }, { "sku": "ADR008DA", "combination": ["102", "111", "113", "116"] }, { "sku": "ADR009DA", "combination": ["103", "110", "113", "117"] }, { "sku": "ADR010DA", "combination": ["103", "111", "113", "117"] }, { "sku": "ADR011DA", "combination": ["104", "110", "113", "117"] }, { "sku": "ADR012DA", "combination": ["104", "111", "113", "117"] }, { "sku": "ADR015DA", "combination": ["105", "110", "113", "118"] }, { "sku": "ADR016DA", "combination": ["105", "111", "113", "118"] }, { "sku": "ADR-360-24-DALI", "combination": ["106", "111", "113", "118"] }, { "sku": "ADR-S12V24V-20W", "combination": ["107", "112", "114", "119"] }, { "sku": "ADR-S12V24V-40W", "combination": ["108", "112", "114", "120"] }, { "sku": "ADR-S12V24V-60W", "combination": ["101", "112", "114", "120"] }, { "sku": "ADR-S12V24V-80W", "combination": ["109", "112", "114", "120"] }, { "sku": "ADR-S12V24V-100W", "combination": ["102", "112", "114", "120"] } ]</v>
      </c>
      <c r="Y30" s="18" t="s">
        <v>41</v>
      </c>
      <c r="Z30" s="18" t="s">
        <v>167</v>
      </c>
      <c r="AA30" s="18" t="s">
        <v>43</v>
      </c>
      <c r="AB30" s="21"/>
      <c r="AC30" s="22" t="str">
        <f>IFERROR(__xludf.DUMMYFUNCTION("AI(""Generate 6 powerful unique keywords for the product in this row"")"),"DALI-2 dimmable driver, PUSH dimmable driver, 60W LED driver, 12V power supply, IP67 waterproof driver, 2-in-1 LED driver")</f>
        <v>DALI-2 dimmable driver, PUSH dimmable driver, 60W LED driver, 12V power supply, IP67 waterproof driver, 2-in-1 LED driver</v>
      </c>
      <c r="AD30" s="21" t="s">
        <v>168</v>
      </c>
    </row>
    <row r="31" ht="37.5" customHeight="1">
      <c r="A31" s="11"/>
      <c r="B31" s="24"/>
      <c r="C31" s="24"/>
      <c r="D31" s="25"/>
      <c r="E31" s="24"/>
      <c r="F31" s="25"/>
      <c r="G31" s="24"/>
      <c r="H31" s="25"/>
      <c r="I31" s="24"/>
      <c r="J31" s="24"/>
      <c r="K31" s="24"/>
      <c r="L31" s="14" t="s">
        <v>169</v>
      </c>
      <c r="M31" s="14" t="s">
        <v>170</v>
      </c>
      <c r="N3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""&amp;M31)"),"Power|Voltage|IP Rating|Dimension")</f>
        <v>Power|Voltage|IP Rating|Dimension</v>
      </c>
      <c r="O31" s="16" t="s">
        <v>37</v>
      </c>
      <c r="P31" s="15" t="str">
        <f>IFERROR(__xludf.DUMMYFUNCTION("AI(""Using the labels""&amp;N31&amp;"" and values ""&amp;M31&amp;"" separated by character '|' and Using ""&amp;L31&amp;"" and key as 'SKU', Create a JSON object"")"),"{""SKU"": ""ADR006DA"", ""Power"": ""60W"", ""Voltage"": ""24V"", ""IP Rating"": ""IP67"", ""Dimension"": ""78mm (W) x 25.1mm (H) x 200mm (L)""}")</f>
        <v>{"SKU": "ADR006DA", "Power": "60W", "Voltage": "24V", "IP Rating": "IP67", "Dimension": "78mm (W) x 25.1mm (H) x 200mm (L)"}</v>
      </c>
      <c r="Q31" s="16" t="s">
        <v>171</v>
      </c>
      <c r="R31" s="26"/>
      <c r="S31" s="27"/>
      <c r="T31" s="26"/>
      <c r="U31" s="28"/>
      <c r="V31" s="27"/>
      <c r="W31" s="27"/>
      <c r="X31" s="27"/>
      <c r="Y31" s="18" t="s">
        <v>41</v>
      </c>
      <c r="Z31" s="18" t="s">
        <v>172</v>
      </c>
      <c r="AA31" s="18" t="s">
        <v>43</v>
      </c>
      <c r="AB31" s="21"/>
      <c r="AC31" s="21"/>
      <c r="AD31" s="21"/>
    </row>
    <row r="32" ht="37.5" customHeight="1">
      <c r="A32" s="11"/>
      <c r="B32" s="24"/>
      <c r="C32" s="24"/>
      <c r="D32" s="25"/>
      <c r="E32" s="24"/>
      <c r="F32" s="25"/>
      <c r="G32" s="24"/>
      <c r="H32" s="25"/>
      <c r="I32" s="24"/>
      <c r="J32" s="24"/>
      <c r="K32" s="24"/>
      <c r="L32" s="14" t="s">
        <v>173</v>
      </c>
      <c r="M32" s="14" t="s">
        <v>174</v>
      </c>
      <c r="N3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""&amp;M32)"),"Power|Voltage|IP Rating|Dimension")</f>
        <v>Power|Voltage|IP Rating|Dimension</v>
      </c>
      <c r="O32" s="16" t="s">
        <v>37</v>
      </c>
      <c r="P32" s="15" t="str">
        <f>IFERROR(__xludf.DUMMYFUNCTION("AI(""Using the labels""&amp;N32&amp;"" and values ""&amp;M32&amp;"" separated by character '|' and Using ""&amp;L32&amp;"" and key as 'SKU', Create a JSON object"")"),"{""SKU"": ""ADR007DA"", ""Power"": ""100W"", ""Voltage"": ""12V"", ""IP Rating"": ""IP67"", ""Dimension"": ""78mm (W) x 25.1mm (H) x 231mm (L)""}")</f>
        <v>{"SKU": "ADR007DA", "Power": "100W", "Voltage": "12V", "IP Rating": "IP67", "Dimension": "78mm (W) x 25.1mm (H) x 231mm (L)"}</v>
      </c>
      <c r="Q32" s="16" t="s">
        <v>175</v>
      </c>
      <c r="R32" s="26"/>
      <c r="S32" s="27"/>
      <c r="T32" s="26"/>
      <c r="U32" s="28"/>
      <c r="V32" s="27"/>
      <c r="W32" s="27"/>
      <c r="X32" s="27"/>
      <c r="Y32" s="18" t="s">
        <v>41</v>
      </c>
      <c r="Z32" s="18" t="s">
        <v>176</v>
      </c>
      <c r="AA32" s="18" t="s">
        <v>43</v>
      </c>
      <c r="AB32" s="21"/>
      <c r="AC32" s="21"/>
      <c r="AD32" s="21"/>
    </row>
    <row r="33" ht="37.5" customHeight="1">
      <c r="A33" s="11"/>
      <c r="B33" s="24"/>
      <c r="C33" s="24"/>
      <c r="D33" s="25"/>
      <c r="E33" s="24"/>
      <c r="F33" s="25"/>
      <c r="G33" s="24"/>
      <c r="H33" s="25"/>
      <c r="I33" s="24"/>
      <c r="J33" s="24"/>
      <c r="K33" s="24"/>
      <c r="L33" s="14" t="s">
        <v>177</v>
      </c>
      <c r="M33" s="14" t="s">
        <v>178</v>
      </c>
      <c r="N3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""&amp;M33)"),"Power|Voltage|IP Rating|Dimension")</f>
        <v>Power|Voltage|IP Rating|Dimension</v>
      </c>
      <c r="O33" s="16" t="s">
        <v>37</v>
      </c>
      <c r="P33" s="15" t="str">
        <f>IFERROR(__xludf.DUMMYFUNCTION("AI(""Using the labels""&amp;N33&amp;"" and values ""&amp;M33&amp;"" separated by character '|' and Using ""&amp;L33&amp;"" and key as 'SKU', Create a JSON object"")"),"{""SKU"": ""ADR008DA"", ""Power"": ""100W"", ""Voltage"": ""24V"", ""IP Rating"": ""IP67"", ""Dimension"": ""78mm (W) x 25.1mm (H) x 231mm (L)""}")</f>
        <v>{"SKU": "ADR008DA", "Power": "100W", "Voltage": "24V", "IP Rating": "IP67", "Dimension": "78mm (W) x 25.1mm (H) x 231mm (L)"}</v>
      </c>
      <c r="Q33" s="16" t="s">
        <v>179</v>
      </c>
      <c r="R33" s="26"/>
      <c r="S33" s="27"/>
      <c r="T33" s="26"/>
      <c r="U33" s="28"/>
      <c r="V33" s="27"/>
      <c r="W33" s="27"/>
      <c r="X33" s="27"/>
      <c r="Y33" s="18" t="s">
        <v>41</v>
      </c>
      <c r="Z33" s="18" t="s">
        <v>180</v>
      </c>
      <c r="AA33" s="18" t="s">
        <v>43</v>
      </c>
      <c r="AB33" s="21"/>
      <c r="AC33" s="21"/>
      <c r="AD33" s="21"/>
    </row>
    <row r="34" ht="37.5" customHeight="1">
      <c r="A34" s="11"/>
      <c r="B34" s="24"/>
      <c r="C34" s="24"/>
      <c r="D34" s="25"/>
      <c r="E34" s="24"/>
      <c r="F34" s="25"/>
      <c r="G34" s="24"/>
      <c r="H34" s="25"/>
      <c r="I34" s="24"/>
      <c r="J34" s="24"/>
      <c r="K34" s="24"/>
      <c r="L34" s="14" t="s">
        <v>181</v>
      </c>
      <c r="M34" s="14" t="s">
        <v>182</v>
      </c>
      <c r="N3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""&amp;M34)"),"Power|Voltage|IP Rating|Dimension")</f>
        <v>Power|Voltage|IP Rating|Dimension</v>
      </c>
      <c r="O34" s="16" t="s">
        <v>37</v>
      </c>
      <c r="P34" s="15" t="str">
        <f>IFERROR(__xludf.DUMMYFUNCTION("AI(""Using the labels""&amp;N34&amp;"" and values ""&amp;M34&amp;"" separated by character '|' and Using ""&amp;L34&amp;"" and key as 'SKU', Create a JSON object"")"),"{""SKU"": ""ADR009DA"", ""Power"": ""150W"", ""Voltage"": ""12V"", ""IP Rating"": ""IP67"", ""Dimension"": ""78mm (W) x 25.1mm (H) x 278mm (L)""}")</f>
        <v>{"SKU": "ADR009DA", "Power": "150W", "Voltage": "12V", "IP Rating": "IP67", "Dimension": "78mm (W) x 25.1mm (H) x 278mm (L)"}</v>
      </c>
      <c r="Q34" s="16" t="s">
        <v>183</v>
      </c>
      <c r="R34" s="26"/>
      <c r="S34" s="27"/>
      <c r="T34" s="26"/>
      <c r="U34" s="28"/>
      <c r="V34" s="27"/>
      <c r="W34" s="27"/>
      <c r="X34" s="27"/>
      <c r="Y34" s="18" t="s">
        <v>41</v>
      </c>
      <c r="Z34" s="18" t="s">
        <v>184</v>
      </c>
      <c r="AA34" s="18" t="s">
        <v>43</v>
      </c>
      <c r="AB34" s="21"/>
      <c r="AC34" s="21"/>
      <c r="AD34" s="21"/>
    </row>
    <row r="35" ht="37.5" customHeight="1">
      <c r="A35" s="11"/>
      <c r="B35" s="24"/>
      <c r="C35" s="24"/>
      <c r="D35" s="25"/>
      <c r="E35" s="24"/>
      <c r="F35" s="25"/>
      <c r="G35" s="24"/>
      <c r="H35" s="25"/>
      <c r="I35" s="24"/>
      <c r="J35" s="24"/>
      <c r="K35" s="24"/>
      <c r="L35" s="14" t="s">
        <v>185</v>
      </c>
      <c r="M35" s="14" t="s">
        <v>186</v>
      </c>
      <c r="N3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""&amp;M35)"),"Power|Voltage|IP Rating|Dimension")</f>
        <v>Power|Voltage|IP Rating|Dimension</v>
      </c>
      <c r="O35" s="16" t="s">
        <v>37</v>
      </c>
      <c r="P35" s="15" t="str">
        <f>IFERROR(__xludf.DUMMYFUNCTION("AI(""Using the labels""&amp;N35&amp;"" and values ""&amp;M35&amp;"" separated by character '|' and Using ""&amp;L35&amp;"" and key as 'SKU', Create a JSON object"")"),"{""SKU"": ""ADR010DA"", ""Power"": ""150W"", ""Voltage"": ""24V"", ""IP Rating"": ""IP67"", ""Dimension"": ""78mm (W) x 25.1mm (H) x 278mm (L)""}")</f>
        <v>{"SKU": "ADR010DA", "Power": "150W", "Voltage": "24V", "IP Rating": "IP67", "Dimension": "78mm (W) x 25.1mm (H) x 278mm (L)"}</v>
      </c>
      <c r="Q35" s="16" t="s">
        <v>187</v>
      </c>
      <c r="R35" s="26"/>
      <c r="S35" s="27"/>
      <c r="T35" s="26"/>
      <c r="U35" s="28"/>
      <c r="V35" s="27"/>
      <c r="W35" s="27"/>
      <c r="X35" s="27"/>
      <c r="Y35" s="18" t="s">
        <v>41</v>
      </c>
      <c r="Z35" s="18" t="s">
        <v>188</v>
      </c>
      <c r="AA35" s="18" t="s">
        <v>43</v>
      </c>
      <c r="AB35" s="21"/>
      <c r="AC35" s="21"/>
      <c r="AD35" s="21"/>
    </row>
    <row r="36" ht="37.5" customHeight="1">
      <c r="A36" s="11"/>
      <c r="B36" s="24"/>
      <c r="C36" s="24"/>
      <c r="D36" s="25"/>
      <c r="E36" s="24"/>
      <c r="F36" s="25"/>
      <c r="G36" s="24"/>
      <c r="H36" s="25"/>
      <c r="I36" s="24"/>
      <c r="J36" s="24"/>
      <c r="K36" s="24"/>
      <c r="L36" s="14" t="s">
        <v>189</v>
      </c>
      <c r="M36" s="14" t="s">
        <v>190</v>
      </c>
      <c r="N3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""&amp;M36)"),"Power|Voltage|IP Rating|Dimension")</f>
        <v>Power|Voltage|IP Rating|Dimension</v>
      </c>
      <c r="O36" s="16" t="s">
        <v>37</v>
      </c>
      <c r="P36" s="15" t="str">
        <f>IFERROR(__xludf.DUMMYFUNCTION("AI(""Using the labels""&amp;N36&amp;"" and values ""&amp;M36&amp;"" separated by character '|' and Using ""&amp;L36&amp;"" and key as 'SKU', Create a JSON object"")"),"{""SKU"": ""ADR011DA"", ""Power"": ""200W"", ""Voltage"": ""12V"", ""IP Rating"": ""IP67"", ""Dimension"": ""78mm (W) x 25.1mm (H) x 278mm (L)""}")</f>
        <v>{"SKU": "ADR011DA", "Power": "200W", "Voltage": "12V", "IP Rating": "IP67", "Dimension": "78mm (W) x 25.1mm (H) x 278mm (L)"}</v>
      </c>
      <c r="Q36" s="16" t="s">
        <v>191</v>
      </c>
      <c r="R36" s="26"/>
      <c r="S36" s="27"/>
      <c r="T36" s="26"/>
      <c r="U36" s="28"/>
      <c r="V36" s="27"/>
      <c r="W36" s="27"/>
      <c r="X36" s="27"/>
      <c r="Y36" s="18" t="s">
        <v>41</v>
      </c>
      <c r="Z36" s="18" t="s">
        <v>192</v>
      </c>
      <c r="AA36" s="18" t="s">
        <v>43</v>
      </c>
      <c r="AB36" s="21"/>
      <c r="AC36" s="21"/>
      <c r="AD36" s="21"/>
    </row>
    <row r="37" ht="37.5" customHeight="1">
      <c r="A37" s="11"/>
      <c r="B37" s="24"/>
      <c r="C37" s="24"/>
      <c r="D37" s="25"/>
      <c r="E37" s="24"/>
      <c r="F37" s="25"/>
      <c r="G37" s="24"/>
      <c r="H37" s="25"/>
      <c r="I37" s="24"/>
      <c r="J37" s="24"/>
      <c r="K37" s="24"/>
      <c r="L37" s="14" t="s">
        <v>193</v>
      </c>
      <c r="M37" s="14" t="s">
        <v>194</v>
      </c>
      <c r="N3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""&amp;M37)"),"Power|Voltage|IP Rating|Dimension")</f>
        <v>Power|Voltage|IP Rating|Dimension</v>
      </c>
      <c r="O37" s="16" t="s">
        <v>37</v>
      </c>
      <c r="P37" s="15" t="str">
        <f>IFERROR(__xludf.DUMMYFUNCTION("AI(""Using the labels""&amp;N37&amp;"" and values ""&amp;M37&amp;"" separated by character '|' and Using ""&amp;L37&amp;"" and key as 'SKU', Create a JSON object"")"),"{""SKU"": ""ADR012DA"", ""Power"": ""200W"", ""Voltage"": ""24V"", ""IP Rating"": ""IP67"", ""Dimension"": ""78mm (W) x 25.1mm (H) x 278mm (L)""}")</f>
        <v>{"SKU": "ADR012DA", "Power": "200W", "Voltage": "24V", "IP Rating": "IP67", "Dimension": "78mm (W) x 25.1mm (H) x 278mm (L)"}</v>
      </c>
      <c r="Q37" s="16" t="s">
        <v>195</v>
      </c>
      <c r="R37" s="26"/>
      <c r="S37" s="27"/>
      <c r="T37" s="26"/>
      <c r="U37" s="28"/>
      <c r="V37" s="27"/>
      <c r="W37" s="27"/>
      <c r="X37" s="27"/>
      <c r="Y37" s="18" t="s">
        <v>41</v>
      </c>
      <c r="Z37" s="18" t="s">
        <v>196</v>
      </c>
      <c r="AA37" s="18" t="s">
        <v>43</v>
      </c>
      <c r="AB37" s="21"/>
      <c r="AC37" s="21"/>
      <c r="AD37" s="21"/>
    </row>
    <row r="38" ht="37.5" customHeight="1">
      <c r="A38" s="11"/>
      <c r="B38" s="24"/>
      <c r="C38" s="24"/>
      <c r="D38" s="25"/>
      <c r="E38" s="24"/>
      <c r="F38" s="25"/>
      <c r="G38" s="24"/>
      <c r="H38" s="25"/>
      <c r="I38" s="24"/>
      <c r="J38" s="24"/>
      <c r="K38" s="24"/>
      <c r="L38" s="14" t="s">
        <v>197</v>
      </c>
      <c r="M38" s="14" t="s">
        <v>198</v>
      </c>
      <c r="N3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""&amp;M38)"),"Power|Voltage|IP Rating|Dimension")</f>
        <v>Power|Voltage|IP Rating|Dimension</v>
      </c>
      <c r="O38" s="16" t="s">
        <v>37</v>
      </c>
      <c r="P38" s="15" t="str">
        <f>IFERROR(__xludf.DUMMYFUNCTION("AI(""Using the labels""&amp;N38&amp;"" and values ""&amp;M38&amp;"" separated by character '|' and Using ""&amp;L38&amp;"" and key as 'SKU', Create a JSON object"")"),"{""SKU"": ""ADR015DA"", ""Power"": ""300W"", ""Voltage"": ""12V"", ""IP Rating"": ""IP67"", ""Dimension"": ""78mm (W) x 25.1mm (H) x 301mm (L)""}")</f>
        <v>{"SKU": "ADR015DA", "Power": "300W", "Voltage": "12V", "IP Rating": "IP67", "Dimension": "78mm (W) x 25.1mm (H) x 301mm (L)"}</v>
      </c>
      <c r="Q38" s="16" t="s">
        <v>199</v>
      </c>
      <c r="R38" s="26"/>
      <c r="S38" s="27"/>
      <c r="T38" s="26"/>
      <c r="U38" s="28"/>
      <c r="V38" s="27"/>
      <c r="W38" s="27"/>
      <c r="X38" s="27"/>
      <c r="Y38" s="18" t="s">
        <v>41</v>
      </c>
      <c r="Z38" s="18" t="s">
        <v>200</v>
      </c>
      <c r="AA38" s="18" t="s">
        <v>43</v>
      </c>
      <c r="AB38" s="21"/>
      <c r="AC38" s="21"/>
      <c r="AD38" s="21"/>
    </row>
    <row r="39" ht="37.5" customHeight="1">
      <c r="A39" s="11"/>
      <c r="B39" s="24"/>
      <c r="C39" s="24"/>
      <c r="D39" s="25"/>
      <c r="E39" s="24"/>
      <c r="F39" s="25"/>
      <c r="G39" s="24"/>
      <c r="H39" s="25"/>
      <c r="I39" s="24"/>
      <c r="J39" s="24"/>
      <c r="K39" s="24"/>
      <c r="L39" s="14" t="s">
        <v>201</v>
      </c>
      <c r="M39" s="14" t="s">
        <v>202</v>
      </c>
      <c r="N3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""&amp;M39)"),"Power|Voltage|IP Rating|Dimension")</f>
        <v>Power|Voltage|IP Rating|Dimension</v>
      </c>
      <c r="O39" s="16" t="s">
        <v>37</v>
      </c>
      <c r="P39" s="15" t="str">
        <f>IFERROR(__xludf.DUMMYFUNCTION("AI(""Using the labels""&amp;N39&amp;"" and values ""&amp;M39&amp;"" separated by character '|' and Using ""&amp;L39&amp;"" and key as 'SKU', Create a JSON object"")"),"{""SKU"": ""ADR016DA"", ""Power"": ""300W"", ""Voltage"": ""24V"", ""IP Rating"": ""IP67"", ""Dimension"": ""78mm (W) x 25.1mm (H) x 301mm (L)""}")</f>
        <v>{"SKU": "ADR016DA", "Power": "300W", "Voltage": "24V", "IP Rating": "IP67", "Dimension": "78mm (W) x 25.1mm (H) x 301mm (L)"}</v>
      </c>
      <c r="Q39" s="16" t="s">
        <v>203</v>
      </c>
      <c r="R39" s="26"/>
      <c r="S39" s="27"/>
      <c r="T39" s="26"/>
      <c r="U39" s="28"/>
      <c r="V39" s="27"/>
      <c r="W39" s="27"/>
      <c r="X39" s="27"/>
      <c r="Y39" s="18" t="s">
        <v>41</v>
      </c>
      <c r="Z39" s="18" t="s">
        <v>204</v>
      </c>
      <c r="AA39" s="18" t="s">
        <v>43</v>
      </c>
      <c r="AB39" s="21"/>
      <c r="AC39" s="21"/>
      <c r="AD39" s="21"/>
    </row>
    <row r="40" ht="37.5" customHeight="1">
      <c r="A40" s="11"/>
      <c r="B40" s="24"/>
      <c r="C40" s="24"/>
      <c r="D40" s="25"/>
      <c r="E40" s="24"/>
      <c r="F40" s="25"/>
      <c r="G40" s="24"/>
      <c r="H40" s="25"/>
      <c r="I40" s="24"/>
      <c r="J40" s="24"/>
      <c r="K40" s="24"/>
      <c r="L40" s="14" t="s">
        <v>205</v>
      </c>
      <c r="M40" s="14" t="s">
        <v>206</v>
      </c>
      <c r="N4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""&amp;M40)"),"Power|Voltage|IP Rating|Dimension")</f>
        <v>Power|Voltage|IP Rating|Dimension</v>
      </c>
      <c r="O40" s="16" t="s">
        <v>37</v>
      </c>
      <c r="P40" s="15" t="str">
        <f>IFERROR(__xludf.DUMMYFUNCTION("AI(""Using the labels""&amp;N40&amp;"" and values ""&amp;M40&amp;"" separated by character '|' and Using ""&amp;L40&amp;"" and key as 'SKU', Create a JSON object"")"),"{""SKU"": ""ADR-360-24-DALI"", ""Power"": ""360W"", ""Voltage"": ""24V"", ""IP Rating"": ""IP67"", ""Dimension"": ""78mm (W) x 25.1mm (H) x 301mm (L)""}")</f>
        <v>{"SKU": "ADR-360-24-DALI", "Power": "360W", "Voltage": "24V", "IP Rating": "IP67", "Dimension": "78mm (W) x 25.1mm (H) x 301mm (L)"}</v>
      </c>
      <c r="Q40" s="16" t="s">
        <v>207</v>
      </c>
      <c r="R40" s="26"/>
      <c r="S40" s="27"/>
      <c r="T40" s="26"/>
      <c r="U40" s="28"/>
      <c r="V40" s="27"/>
      <c r="W40" s="27"/>
      <c r="X40" s="27"/>
      <c r="Y40" s="18" t="s">
        <v>41</v>
      </c>
      <c r="Z40" s="18" t="s">
        <v>208</v>
      </c>
      <c r="AA40" s="18" t="s">
        <v>43</v>
      </c>
      <c r="AB40" s="21"/>
      <c r="AC40" s="21"/>
      <c r="AD40" s="21"/>
    </row>
    <row r="41" ht="37.5" customHeight="1">
      <c r="A41" s="11" t="s">
        <v>209</v>
      </c>
      <c r="B41" s="12" t="s">
        <v>210</v>
      </c>
      <c r="C41" s="12" t="s">
        <v>32</v>
      </c>
      <c r="D41" s="13" t="s">
        <v>210</v>
      </c>
      <c r="E41" s="12" t="s">
        <v>33</v>
      </c>
      <c r="F41" s="13" t="str">
        <f>IFERROR(__xludf.DUMMYFUNCTION("AI(""Give me a paragraph marketing spiel for this product, no tech specs just marketing fluff "")"),"Transform your spaces into a breathtaking visual journey with a perfect blend of elegance and modern design. This premium lighting solution offers seamless integration into your environment, casting a warm, sophisticated glow that effortlessly enhances th"&amp;"e natural beauty of your architecture. Crafted for those who appreciate refined detail and discreet luxury, it adds an unparalleled touch of ambiance, warmth, and style to any setting, making it the ultimate choice for elevated architectural illumination.")</f>
        <v>Transform your spaces into a breathtaking visual journey with a perfect blend of elegance and modern design. This premium lighting solution offers seamless integration into your environment, casting a warm, sophisticated glow that effortlessly enhances the natural beauty of your architecture. Crafted for those who appreciate refined detail and discreet luxury, it adds an unparalleled touch of ambiance, warmth, and style to any setting, making it the ultimate choice for elevated architectural illumination.</v>
      </c>
      <c r="G41" s="12" t="s">
        <v>211</v>
      </c>
      <c r="H41" s="13" t="str">
        <f>IFERROR(__xludf.DUMMYFUNCTION("AI(""Give me a paragraph marketing spiel for this product, no tech specs just marketing fluff under 180 characters "")"),"Elevate your environment with a perfect blend of elegance and modern design, casting a warm, sophisticated glow that adds an unparalleled touch of ambiance and luxury.")</f>
        <v>Elevate your environment with a perfect blend of elegance and modern design, casting a warm, sophisticated glow that adds an unparalleled touch of ambiance and luxury.</v>
      </c>
      <c r="I41" s="12" t="s">
        <v>212</v>
      </c>
      <c r="J41" s="24"/>
      <c r="K41" s="24"/>
      <c r="L41" s="14" t="s">
        <v>209</v>
      </c>
      <c r="M41" s="14" t="s">
        <v>213</v>
      </c>
      <c r="N4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""&amp;M41)"),"Voltage|Power|IP Rating|Dimension")</f>
        <v>Voltage|Power|IP Rating|Dimension</v>
      </c>
      <c r="O41" s="16" t="s">
        <v>214</v>
      </c>
      <c r="P41" s="15" t="str">
        <f>IFERROR(__xludf.DUMMYFUNCTION("AI(""Using the labels""&amp;N41&amp;"" and values ""&amp;M41&amp;"" separated by character '|' and Using ""&amp;L41&amp;"" and key as 'SKU', Create a JSON object"")"),"{""SKU"": ""ADR-S12V24V-20W"", ""Voltage"": ""12V/24V"", ""Power"": ""20W"", ""IP Rating"": ""IP20"", ""Dimension"": ""70mm (W) x 43mm (H) x 180mm (L)""}")</f>
        <v>{"SKU": "ADR-S12V24V-20W", "Voltage": "12V/24V", "Power": "20W", "IP Rating": "IP20", "Dimension": "70mm (W) x 43mm (H) x 180mm (L)"}</v>
      </c>
      <c r="Q41" s="16" t="s">
        <v>215</v>
      </c>
      <c r="R41"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Q41:Q45)"),"{""SKU"": [""ADR-S12V24V-20W"", ""ADR-S12V24V-40W"", ""ADR-S12V24V-60W"", ""ADR-S12V24V-80W"", ""ADR-S12V24V-100W""], ""Voltage"": ""12V/24V"", ""Power"": [""20W"", ""40W"", ""60W"", ""80W"", ""100W""], ""IP Rating"": ""IP20"", ""Dimension"": [""70mm (W) "&amp;"x 43mm (H) x 180mm (L)"", ""85mm (W) x 45mm (H) x 230mm (L)""]}")</f>
        <v>{"SKU": ["ADR-S12V24V-20W", "ADR-S12V24V-40W", "ADR-S12V24V-60W", "ADR-S12V24V-80W", "ADR-S12V24V-100W"], "Voltage": "12V/24V", "Power": ["20W", "40W", "60W", "80W", "100W"], "IP Rating": "IP20", "Dimension": ["70mm (W) x 43mm (H) x 180mm (L)", "85mm (W) x 45mm (H) x 230mm (L)"]}</v>
      </c>
      <c r="S41" s="18" t="s">
        <v>216</v>
      </c>
      <c r="T41" s="17" t="str">
        <f>IFERROR(__xludf.DUMMYFUNCTION("AI(""You are a product catalog configuration expert. Your task is to analyze a list of valid product variant combinations (provided as JSON lines/objects) and generate two JSON structures: """"Options"""", """"Constraints"""" and """"sku_mappings"""".
##"&amp;"# Instructions:
1. **Extract Options:**
   - Group all unique values by their attribute keys (e.g., Power, Optics, CCT, IP Rating, Impact Strength).
   - Assign a unique sequential integer string ID to every attribute value, starting from """"101"""" and"&amp;" incrementing by 1 in the order they appear.
   - Format each attribute as an array of objects: `[{""""name"""": """"VALUE"""", """"id"""": """"ID""""}]`.
   - All attribute keys should be included. Do not miss any keys from the json.
2. **Determine Cons"&amp;"traints (Incompatibilities):**
   - Identify attribute pairs that are impossible or missing from the valid combinations.
   - Specifically, map an ID of an Option Value to an array of Option Value IDs that **cannot** be selected with it.
   - Output const"&amp;"raints in the format: `""""OPTION_ID"""": [INCOMPATIBLE_OPTION_ID]`.
   - Only list meaningful non-empty constraints. Express constraints using the primary driving factor (e.g., optic limitation over CCT).
3. **Determine sku_mappings:**
   - Identify the"&amp;" valid combination and create a array with sku and combination containing array of options ID
4. **Output Format:**
   - Return strictly valid JSON containing two root keys: """"Options"""", """"Constraints"""" and """"sku_mappings"""".
   - Do not wrap"&amp;" the JSON in conversational filler text.
---
### Example Input:
{""""SKU"""":""""HRS001"""", """"Power"""": """"1.2W"""", """"Optics"""": """"SYM30°"""", """"CCT"""": """"3000K"""", """"IP Rating"""": """"IP67"""", """"Impact Strength"""": """"IK10""""}"&amp;"
{""""SKU"""":""""HRS002"""", """"Power"""": """"1.2W"""", """"Optics"""": """"SYM30°"""", """"CCT"""": """"4000K"""", """"IP Rating"""": """"IP67"""", """"Impact Strength"""": """"IK10""""}
{""""SKU"""":""""HRS003"""", """"Power"""": """"1.2W"""", """"Op"&amp;"tics"""": """"SYM60°"""", """"CCT"""": """"3000K"""", """"IP Rating"""": """"IP67"""", """"Impact Strength"""": """"IK10""""}
{""""SKU"""":""""HRS004"""", """"Power"""": """"1.2W"""", """"Optics"""": """"SYM60°"""", """"CCT"""": """"4000K"""", """"IP Rati"&amp;"ng"""": """"IP67"""", """"Impact Strength"""": """"IK10""""}
{""""SKU"""":""""HRS005"""", """"Power"""": """"1.2W"""", """"Optics"""": """"ASYM50°"""", """"CCT"""": """"3000K"""", """"IP Rating"""": """"IP67"""", """"Impact Strength"""": """"IK10""""}
##"&amp;"# Example Output:
{
  """"Options"""": {
    """"Power"""": [
      {""""name"""": """"1.2W"""", """"id"""": """"101""""}
    ],
    """"Optics"""": [
      {""""name"""": """"SYM30°"""", """"id"""": """"102""""},
      {""""name"""": """"SYM60°"""", """""&amp;"id"""": """"103""""},
      {""""name"""": """"ASYM50°"""", """"id"""": """"104""""}
    ],
    """"CCT"""": [
      {""""name"""": """"3000K"""", """"id"""": """"105""""},
      {""""name"""": """"4000K"""", """"id"""": """"106""""}
    ],
    """"IP Rat"&amp;"ing"""": [
      {""""name"""": """"IP67"""", """"id"""": """"107""""}
    ],
    """"Impact Strength"""": [
      {""""name"""": """"IK10"""", """"id"""": """"108""""}
    ]
  },
  """"Constraints"""": {
    """"104"""": [106]
  },
""""sku_mappings"""": "&amp;"[
      { """"sku"""": """"HRS001"""", """"combination"""": [""""101"""", """"102"""", """"105"""", """"107"""", """"108""""] },
      { """"sku"""": """"HRS002"""", """"combination"""": [""""101"""", """"102"""", """"106"""", """"107"""", """"108""""] },"&amp;"
      { """"sku"""": """"HRS003"""", """"combination"""": [""""101"""", """"103"""", """"105"""", """"107"""", """"108""""] },
      { """"sku"""": """"HRS004"""", """"combination"""": [""""101"""", """"103"""", """"106"""", """"107"""", """"108""""] },
"&amp;"      { """"sku"""": """"HRS005"""", """"combination"""": [""""101"""", """"104"""", """"105"""", """"107"""", """"108""""] },
      { """"sku"""": """"HRS006"""", """"combination"""": [""""101"""", """"104"""", """"106"""", """"107"""", """"108""""] }
  "&amp;"  ]
}
Process the following product variant combinations and output the """"Options"""", """"Constraints"""" and """"sku_mappings"""" JSON:"", Q41:Q56)"),"{ ""Options"": { ""Voltage"": [ {""name"": ""12V/24V"", ""id"": ""101""} ], ""Power"": [ {""name"": ""20W"", ""id"": ""102""}, {""name"": ""40W"", ""id"": ""103""}, {""name"": ""60W"", ""id"": ""104""}, {""name"": ""80W"", ""id"": ""105""}, {""name"": ""1"&amp;"00W"", ""id"": ""106""} ], ""IP Rating"": [ {""name"": ""IP20"", ""id"": ""107""} ], ""Dimension"": [ {""name"": ""70mm (W) x 43mm (H) x 180mm (L)"", ""id"": ""108""}, {""name"": ""85mm (W) x 45mm (H) x 230mm (L)"", ""id"": ""109""} ] }, ""Constraints"": "&amp;"{ ""102"": [""109""], ""103"": [""108""], ""104"": [""108""], ""105"": [""108""], ""106"": [""108""] }, ""sku_mappings"": [ { ""sku"": ""ADR-S12V24V-20W"", ""combination"": [""101"", ""102"", ""107"", ""108""] }, { ""sku"": ""ADR-S12V24V-40W"", ""combinat"&amp;"ion"": [""101"", ""103"", ""107"", ""109""] }, { ""sku"": ""ADR-S12V24V-60W"", ""combination"": [""101"", ""104"", ""107"", ""109""] }, { ""sku"": ""ADR-S12V24V-80W"", ""combination"": [""101"", ""105"", ""107"", ""109""] }, { ""sku"": ""ADR-S12V24V-100W"&amp;""", ""combination"": [""101"", ""106"", ""107"", ""109""] } ] }")</f>
        <v>{ "Options": { "Voltage": [ {"name": "12V/24V", "id": "101"} ], "Power": [ {"name": "20W", "id": "102"}, {"name": "40W", "id": "103"}, {"name": "60W", "id": "104"}, {"name": "80W", "id": "105"}, {"name": "100W", "id": "106"} ], "IP Rating": [ {"name": "IP20", "id": "107"} ], "Dimension": [ {"name": "70mm (W) x 43mm (H) x 180mm (L)", "id": "108"}, {"name": "85mm (W) x 45mm (H) x 230mm (L)", "id": "109"} ] }, "Constraints": { "102": ["109"], "103": ["108"], "104": ["108"], "105": ["108"], "106": ["108"] }, "sku_mappings": [ { "sku": "ADR-S12V24V-20W", "combination": ["101", "102", "107", "108"] }, { "sku": "ADR-S12V24V-40W", "combination": ["101", "103", "107", "109"] }, { "sku": "ADR-S12V24V-60W", "combination": ["101", "104", "107", "109"] }, { "sku": "ADR-S12V24V-80W", "combination": ["101", "105", "107", "109"] }, { "sku": "ADR-S12V24V-100W", "combination": ["101", "106", "107", "109"] } ] }</v>
      </c>
      <c r="U41" s="19" t="s">
        <v>217</v>
      </c>
      <c r="V41" s="20" t="str">
        <f>IFERROR(__xludf.DUMMYFUNCTION("AI(""Extract options object from the json"", U41)"),"{""Voltage"": [{""name"": ""12V/24V"", ""id"": ""101""}], ""Power"": [{""name"": ""20W"", ""id"": ""102""}, {""name"": ""40W"", ""id"": ""103""}, {""name"": ""60W"", ""id"": ""104""}, {""name"": ""80W"", ""id"": ""105""}, {""name"": ""100W"", ""id"": ""10"&amp;"6""}], ""IP Rating"": [{""name"": ""IP20"", ""id"": ""107""}], ""Dimension"": [{""name"": ""70mm (W) x 43mm (H) x 180mm (L)"", ""id"": ""108""}, {""name"": ""85mm (W) x 45mm (H) x 230mm (L)"", ""id"": ""109""}]}")</f>
        <v>{"Voltage": [{"name": "12V/24V", "id": "101"}], "Power": [{"name": "20W", "id": "102"}, {"name": "40W", "id": "103"}, {"name": "60W", "id": "104"}, {"name": "80W", "id": "105"}, {"name": "100W", "id": "106"}], "IP Rating": [{"name": "IP20", "id": "107"}], "Dimension": [{"name": "70mm (W) x 43mm (H) x 180mm (L)", "id": "108"}, {"name": "85mm (W) x 45mm (H) x 230mm (L)", "id": "109"}]}</v>
      </c>
      <c r="W41" s="20" t="str">
        <f>IFERROR(__xludf.DUMMYFUNCTION("AI(""Extract constraints object from the json"", U41)"),"{ ""102"": [""109""], ""103"": [""108""], ""104"": [""108""], ""105"": [""108""], ""106"": [""108""] }")</f>
        <v>{ "102": ["109"], "103": ["108"], "104": ["108"], "105": ["108"], "106": ["108"] }</v>
      </c>
      <c r="X41" s="20" t="str">
        <f>IFERROR(__xludf.DUMMYFUNCTION("AI(""Extract sku_mappings object from the json"", U41)"),"[ { ""sku"": ""ADR-S12V24V-20W"", ""combination"": [""101"", ""102"", ""107"", ""108""] }, { ""sku"": ""ADR-S12V24V-40W"", ""combination"": [""101"", ""103"", ""107"", ""109""] }, { ""sku"": ""ADR-S12V24V-60W"", ""combination"": [""101"", ""104"", ""107"""&amp;", ""109""] }, { ""sku"": ""ADR-S12V24V-80W"", ""combination"": [""101"", ""105"", ""107"", ""109""] }, { ""sku"": ""ADR-S12V24V-100W"", ""combination"": [""101"", ""106"", ""107"", ""109""] } ]")</f>
        <v>[ { "sku": "ADR-S12V24V-20W", "combination": ["101", "102", "107", "108"] }, { "sku": "ADR-S12V24V-40W", "combination": ["101", "103", "107", "109"] }, { "sku": "ADR-S12V24V-60W", "combination": ["101", "104", "107", "109"] }, { "sku": "ADR-S12V24V-80W", "combination": ["101", "105", "107", "109"] }, { "sku": "ADR-S12V24V-100W", "combination": ["101", "106", "107", "109"] } ]</v>
      </c>
      <c r="Y41" s="18" t="s">
        <v>41</v>
      </c>
      <c r="Z41" s="18" t="s">
        <v>218</v>
      </c>
      <c r="AA41" s="18" t="s">
        <v>43</v>
      </c>
      <c r="AB41" s="21"/>
      <c r="AC41" s="22" t="str">
        <f>IFERROR(__xludf.DUMMYFUNCTION("AI(""Generate 6 powerful unique keywords for the product in this row"")"),"switchable driver, 20W LED driver, 12V 24V power supply, IP20 LED driver, dual voltage power supply, architectural LED driver")</f>
        <v>switchable driver, 20W LED driver, 12V 24V power supply, IP20 LED driver, dual voltage power supply, architectural LED driver</v>
      </c>
      <c r="AD41" s="21" t="s">
        <v>219</v>
      </c>
    </row>
    <row r="42" ht="37.5" customHeight="1">
      <c r="A42" s="11"/>
      <c r="B42" s="24"/>
      <c r="C42" s="24"/>
      <c r="D42" s="25"/>
      <c r="E42" s="24"/>
      <c r="F42" s="25"/>
      <c r="G42" s="24"/>
      <c r="H42" s="25"/>
      <c r="I42" s="24"/>
      <c r="J42" s="24"/>
      <c r="K42" s="24"/>
      <c r="L42" s="14" t="s">
        <v>220</v>
      </c>
      <c r="M42" s="14" t="s">
        <v>221</v>
      </c>
      <c r="N4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""&amp;M42)"),"Voltage|Power|IP Rating|Dimension")</f>
        <v>Voltage|Power|IP Rating|Dimension</v>
      </c>
      <c r="O42" s="16" t="s">
        <v>214</v>
      </c>
      <c r="P42" s="15" t="str">
        <f>IFERROR(__xludf.DUMMYFUNCTION("AI(""Using the labels""&amp;N42&amp;"" and values ""&amp;M42&amp;"" separated by character '|' and Using ""&amp;L42&amp;"" and key as 'SKU', Create a JSON object"")"),"{""SKU"": ""ADR-S12V24V-40W"", ""Voltage"": ""12V/24V"", ""Power"": ""40W"", ""IP Rating"": ""IP20"", ""Dimension"": ""85mm (W) x 45mm (H) x 230mm (L)""}")</f>
        <v>{"SKU": "ADR-S12V24V-40W", "Voltage": "12V/24V", "Power": "40W", "IP Rating": "IP20", "Dimension": "85mm (W) x 45mm (H) x 230mm (L)"}</v>
      </c>
      <c r="Q42" s="16" t="s">
        <v>222</v>
      </c>
      <c r="R42" s="26"/>
      <c r="S42" s="27"/>
      <c r="T42" s="26"/>
      <c r="U42" s="28"/>
      <c r="V42" s="27"/>
      <c r="W42" s="27"/>
      <c r="X42" s="27"/>
      <c r="Y42" s="18" t="s">
        <v>41</v>
      </c>
      <c r="Z42" s="18" t="s">
        <v>223</v>
      </c>
      <c r="AA42" s="18" t="s">
        <v>43</v>
      </c>
      <c r="AB42" s="21"/>
      <c r="AC42" s="21"/>
      <c r="AD42" s="21"/>
    </row>
    <row r="43" ht="37.5" customHeight="1">
      <c r="A43" s="11"/>
      <c r="B43" s="24"/>
      <c r="C43" s="24"/>
      <c r="D43" s="25"/>
      <c r="E43" s="24"/>
      <c r="F43" s="25"/>
      <c r="G43" s="24"/>
      <c r="H43" s="25"/>
      <c r="I43" s="24"/>
      <c r="J43" s="24"/>
      <c r="K43" s="24"/>
      <c r="L43" s="14" t="s">
        <v>224</v>
      </c>
      <c r="M43" s="14" t="s">
        <v>225</v>
      </c>
      <c r="N4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""&amp;M43)"),"Voltage|Power|IP Rating|Dimension")</f>
        <v>Voltage|Power|IP Rating|Dimension</v>
      </c>
      <c r="O43" s="16" t="s">
        <v>214</v>
      </c>
      <c r="P43" s="15" t="str">
        <f>IFERROR(__xludf.DUMMYFUNCTION("AI(""Using the labels""&amp;N43&amp;"" and values ""&amp;M43&amp;"" separated by character '|' and Using ""&amp;L43&amp;"" and key as 'SKU', Create a JSON object"")"),"{""SKU"": ""ADR-S12V24V-60W"", ""Voltage"": ""12V/24V"", ""Power"": ""60W"", ""IP Rating"": ""IP20"", ""Dimension"": ""85mm (W) x 45mm (H) x 230mm (L)""}")</f>
        <v>{"SKU": "ADR-S12V24V-60W", "Voltage": "12V/24V", "Power": "60W", "IP Rating": "IP20", "Dimension": "85mm (W) x 45mm (H) x 230mm (L)"}</v>
      </c>
      <c r="Q43" s="16" t="s">
        <v>226</v>
      </c>
      <c r="R43" s="26"/>
      <c r="S43" s="27"/>
      <c r="T43" s="26"/>
      <c r="U43" s="28"/>
      <c r="V43" s="27"/>
      <c r="W43" s="27"/>
      <c r="X43" s="27"/>
      <c r="Y43" s="18" t="s">
        <v>41</v>
      </c>
      <c r="Z43" s="18" t="s">
        <v>227</v>
      </c>
      <c r="AA43" s="18" t="s">
        <v>43</v>
      </c>
      <c r="AB43" s="21"/>
      <c r="AC43" s="21"/>
      <c r="AD43" s="21"/>
    </row>
    <row r="44" ht="37.5" customHeight="1">
      <c r="A44" s="11"/>
      <c r="B44" s="24"/>
      <c r="C44" s="24"/>
      <c r="D44" s="25"/>
      <c r="E44" s="24"/>
      <c r="F44" s="25"/>
      <c r="G44" s="24"/>
      <c r="H44" s="25"/>
      <c r="I44" s="24"/>
      <c r="J44" s="24"/>
      <c r="K44" s="24"/>
      <c r="L44" s="14" t="s">
        <v>228</v>
      </c>
      <c r="M44" s="14" t="s">
        <v>229</v>
      </c>
      <c r="N4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""&amp;M44)"),"Voltage|Power|IP Rating|Dimension")</f>
        <v>Voltage|Power|IP Rating|Dimension</v>
      </c>
      <c r="O44" s="16" t="s">
        <v>214</v>
      </c>
      <c r="P44" s="15" t="str">
        <f>IFERROR(__xludf.DUMMYFUNCTION("AI(""Using the labels""&amp;N44&amp;"" and values ""&amp;M44&amp;"" separated by character '|' and Using ""&amp;L44&amp;"" and key as 'SKU', Create a JSON object"")"),"{""SKU"": ""ADR-S12V24V-80W"", ""Voltage"": ""12V/24V"", ""Power"": ""80W"", ""IP Rating"": ""IP20"", ""Dimension"": ""85mm (W) x 45mm (H) x 230mm (L)""}")</f>
        <v>{"SKU": "ADR-S12V24V-80W", "Voltage": "12V/24V", "Power": "80W", "IP Rating": "IP20", "Dimension": "85mm (W) x 45mm (H) x 230mm (L)"}</v>
      </c>
      <c r="Q44" s="16" t="s">
        <v>230</v>
      </c>
      <c r="R44" s="26"/>
      <c r="S44" s="27"/>
      <c r="T44" s="26"/>
      <c r="U44" s="28"/>
      <c r="V44" s="27"/>
      <c r="W44" s="27"/>
      <c r="X44" s="27"/>
      <c r="Y44" s="18" t="s">
        <v>41</v>
      </c>
      <c r="Z44" s="18" t="s">
        <v>231</v>
      </c>
      <c r="AA44" s="18" t="s">
        <v>43</v>
      </c>
      <c r="AB44" s="21"/>
      <c r="AC44" s="21"/>
      <c r="AD44" s="21"/>
    </row>
    <row r="45" ht="37.5" customHeight="1">
      <c r="A45" s="11"/>
      <c r="B45" s="24"/>
      <c r="C45" s="24"/>
      <c r="D45" s="25"/>
      <c r="E45" s="24"/>
      <c r="F45" s="25"/>
      <c r="G45" s="24"/>
      <c r="H45" s="25"/>
      <c r="I45" s="24"/>
      <c r="J45" s="24"/>
      <c r="K45" s="24"/>
      <c r="L45" s="14" t="s">
        <v>232</v>
      </c>
      <c r="M45" s="14" t="s">
        <v>233</v>
      </c>
      <c r="N4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30mm (W) x 20mm ("&amp;"H) x 220mm (L))
- Strip Width (Example 8mm, 12mm)
- Power Consumption Rate (Example 8W/m, 5W/m)
- Profile Length (Example 1,000mm)
- AC Phase-Cut (Example Triac)
- Current Sinking (Example 0-10V)
- Current Sourcing (Example 1-10V)
- Duty Cycle (Example PW"&amp;"M)
- Variable Resistance (Example Potentiometer)
### STRICT OUTPUT RULES
1. Output ONLY the corresponding labels mentioned above separated by pipes ('|'). 
2. Do not include the values in your output.
3. Do not include any conversational text, introducto"&amp;"ry remarks, or markdown formatting blocks.
4. The number of labels in your output must exactly match the number of values provided in the input.
---
### FEW-SHOT EXAMPLES
#### Example 1 (Standard Neon Strip)
Input: 1.2W | SYM30° | 3000K | IP67 | IK10
O"&amp;"utput: Power|Optics|CCT|IP Rating|Impact Strength
Input: 7W | Warm White | 12V/24V | AC/DC | IP67 | Black finish
Output: Power | Light Color | Current Type | IP Rating | Finish
---
### YOUR TASK
Generate output for the values text ""&amp;M45)"),"Voltage|Power|IP Rating|Dimension")</f>
        <v>Voltage|Power|IP Rating|Dimension</v>
      </c>
      <c r="O45" s="16" t="s">
        <v>214</v>
      </c>
      <c r="P45" s="15" t="str">
        <f>IFERROR(__xludf.DUMMYFUNCTION("AI(""Using the labels""&amp;N45&amp;"" and values ""&amp;M45&amp;"" separated by character '|' and Using ""&amp;L45&amp;"" and key as 'SKU', Create a JSON object"")"),"{""SKU"": ""ADR-S12V24V-100W"", ""Voltage"": ""12V/24V"", ""Power"": ""100W"", ""IP Rating"": ""IP20"", ""Dimension"": ""85mm (W) x 45mm (H) x 230mm (L)""}")</f>
        <v>{"SKU": "ADR-S12V24V-100W", "Voltage": "12V/24V", "Power": "100W", "IP Rating": "IP20", "Dimension": "85mm (W) x 45mm (H) x 230mm (L)"}</v>
      </c>
      <c r="Q45" s="16" t="s">
        <v>234</v>
      </c>
      <c r="R45" s="26"/>
      <c r="S45" s="27"/>
      <c r="T45" s="26"/>
      <c r="U45" s="28"/>
      <c r="V45" s="27"/>
      <c r="W45" s="27"/>
      <c r="X45" s="27"/>
      <c r="Y45" s="18" t="s">
        <v>41</v>
      </c>
      <c r="Z45" s="18" t="s">
        <v>235</v>
      </c>
      <c r="AA45" s="18" t="s">
        <v>43</v>
      </c>
      <c r="AB45" s="21"/>
      <c r="AC45" s="21"/>
      <c r="AD45" s="21"/>
    </row>
    <row r="46">
      <c r="A46" s="21"/>
      <c r="B46" s="21"/>
      <c r="C46" s="21"/>
      <c r="D46" s="29"/>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c r="A47" s="21"/>
      <c r="B47" s="21"/>
      <c r="C47" s="21"/>
      <c r="D47" s="29"/>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c r="A48" s="21"/>
      <c r="B48" s="21"/>
      <c r="C48" s="21"/>
      <c r="D48" s="29"/>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c r="A49" s="21"/>
      <c r="B49" s="21"/>
      <c r="C49" s="21"/>
      <c r="D49" s="29"/>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c r="A50" s="21"/>
      <c r="B50" s="21"/>
      <c r="C50" s="21"/>
      <c r="D50" s="29"/>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c r="A51" s="21"/>
      <c r="B51" s="21"/>
      <c r="C51" s="21"/>
      <c r="D51" s="29"/>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c r="A52" s="21"/>
      <c r="B52" s="21"/>
      <c r="C52" s="21"/>
      <c r="D52" s="29"/>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c r="A53" s="21"/>
      <c r="B53" s="21"/>
      <c r="C53" s="21"/>
      <c r="D53" s="29"/>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c r="A54" s="21"/>
      <c r="B54" s="21"/>
      <c r="C54" s="21"/>
      <c r="D54" s="29"/>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c r="A55" s="21"/>
      <c r="B55" s="21"/>
      <c r="C55" s="21"/>
      <c r="D55" s="29"/>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c r="A56" s="21"/>
      <c r="B56" s="21"/>
      <c r="C56" s="21"/>
      <c r="D56" s="29"/>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c r="A57" s="21"/>
      <c r="B57" s="21"/>
      <c r="C57" s="21"/>
      <c r="D57" s="29"/>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c r="A58" s="21"/>
      <c r="B58" s="21"/>
      <c r="C58" s="21"/>
      <c r="D58" s="29"/>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c r="A59" s="21"/>
      <c r="B59" s="21"/>
      <c r="C59" s="21"/>
      <c r="D59" s="29"/>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c r="A60" s="21"/>
      <c r="B60" s="21"/>
      <c r="C60" s="21"/>
      <c r="D60" s="29"/>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c r="A61" s="21"/>
      <c r="B61" s="21"/>
      <c r="C61" s="21"/>
      <c r="D61" s="29"/>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c r="A62" s="21"/>
      <c r="B62" s="21"/>
      <c r="C62" s="21"/>
      <c r="D62" s="29"/>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c r="A63" s="21"/>
      <c r="B63" s="21"/>
      <c r="C63" s="21"/>
      <c r="D63" s="29"/>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c r="A64" s="21"/>
      <c r="B64" s="21"/>
      <c r="C64" s="21"/>
      <c r="D64" s="29"/>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c r="A65" s="21"/>
      <c r="B65" s="21"/>
      <c r="C65" s="21"/>
      <c r="D65" s="29"/>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c r="A66" s="21"/>
      <c r="B66" s="21"/>
      <c r="C66" s="21"/>
      <c r="D66" s="29"/>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c r="A67" s="21"/>
      <c r="B67" s="21"/>
      <c r="C67" s="21"/>
      <c r="D67" s="29"/>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c r="A68" s="21"/>
      <c r="B68" s="21"/>
      <c r="C68" s="21"/>
      <c r="D68" s="29"/>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c r="A69" s="21"/>
      <c r="B69" s="21"/>
      <c r="C69" s="21"/>
      <c r="D69" s="29"/>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c r="A70" s="21"/>
      <c r="B70" s="21"/>
      <c r="C70" s="21"/>
      <c r="D70" s="29"/>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c r="A71" s="21"/>
      <c r="B71" s="21"/>
      <c r="C71" s="21"/>
      <c r="D71" s="29"/>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c r="A72" s="21"/>
      <c r="B72" s="21"/>
      <c r="C72" s="21"/>
      <c r="D72" s="29"/>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c r="A73" s="21"/>
      <c r="B73" s="21"/>
      <c r="C73" s="21"/>
      <c r="D73" s="29"/>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c r="A74" s="21"/>
      <c r="B74" s="21"/>
      <c r="C74" s="21"/>
      <c r="D74" s="29"/>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c r="A75" s="21"/>
      <c r="B75" s="21"/>
      <c r="C75" s="21"/>
      <c r="D75" s="29"/>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c r="A76" s="21"/>
      <c r="B76" s="21"/>
      <c r="C76" s="21"/>
      <c r="D76" s="29"/>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c r="A77" s="21"/>
      <c r="B77" s="21"/>
      <c r="C77" s="21"/>
      <c r="D77" s="29"/>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c r="A78" s="21"/>
      <c r="B78" s="21"/>
      <c r="C78" s="21"/>
      <c r="D78" s="29"/>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c r="A79" s="21"/>
      <c r="B79" s="21"/>
      <c r="C79" s="21"/>
      <c r="D79" s="29"/>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c r="A80" s="21"/>
      <c r="B80" s="21"/>
      <c r="C80" s="21"/>
      <c r="D80" s="29"/>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c r="A81" s="21"/>
      <c r="B81" s="21"/>
      <c r="C81" s="21"/>
      <c r="D81" s="29"/>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c r="A82" s="21"/>
      <c r="B82" s="21"/>
      <c r="C82" s="21"/>
      <c r="D82" s="29"/>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c r="A83" s="21"/>
      <c r="B83" s="21"/>
      <c r="C83" s="21"/>
      <c r="D83" s="29"/>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c r="A84" s="21"/>
      <c r="B84" s="21"/>
      <c r="C84" s="21"/>
      <c r="D84" s="29"/>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c r="A85" s="21"/>
      <c r="B85" s="21"/>
      <c r="C85" s="21"/>
      <c r="D85" s="29"/>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c r="A86" s="21"/>
      <c r="B86" s="21"/>
      <c r="C86" s="21"/>
      <c r="D86" s="29"/>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c r="A87" s="21"/>
      <c r="B87" s="21"/>
      <c r="C87" s="21"/>
      <c r="D87" s="29"/>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c r="A88" s="21"/>
      <c r="B88" s="21"/>
      <c r="C88" s="21"/>
      <c r="D88" s="29"/>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c r="A89" s="21"/>
      <c r="B89" s="21"/>
      <c r="C89" s="21"/>
      <c r="D89" s="29"/>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c r="A90" s="21"/>
      <c r="B90" s="21"/>
      <c r="C90" s="21"/>
      <c r="D90" s="29"/>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c r="A91" s="21"/>
      <c r="B91" s="21"/>
      <c r="C91" s="21"/>
      <c r="D91" s="29"/>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c r="A92" s="21"/>
      <c r="B92" s="21"/>
      <c r="C92" s="21"/>
      <c r="D92" s="29"/>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c r="A93" s="21"/>
      <c r="B93" s="21"/>
      <c r="C93" s="21"/>
      <c r="D93" s="29"/>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c r="A94" s="21"/>
      <c r="B94" s="21"/>
      <c r="C94" s="21"/>
      <c r="D94" s="29"/>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c r="A95" s="21"/>
      <c r="B95" s="21"/>
      <c r="C95" s="21"/>
      <c r="D95" s="29"/>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c r="A96" s="21"/>
      <c r="B96" s="21"/>
      <c r="C96" s="21"/>
      <c r="D96" s="29"/>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c r="A97" s="21"/>
      <c r="B97" s="21"/>
      <c r="C97" s="21"/>
      <c r="D97" s="29"/>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c r="A98" s="21"/>
      <c r="B98" s="21"/>
      <c r="C98" s="21"/>
      <c r="D98" s="29"/>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c r="A99" s="21"/>
      <c r="B99" s="21"/>
      <c r="C99" s="21"/>
      <c r="D99" s="29"/>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c r="A100" s="21"/>
      <c r="B100" s="21"/>
      <c r="C100" s="21"/>
      <c r="D100" s="29"/>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c r="A101" s="21"/>
      <c r="B101" s="21"/>
      <c r="C101" s="21"/>
      <c r="D101" s="29"/>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c r="A102" s="21"/>
      <c r="B102" s="21"/>
      <c r="C102" s="21"/>
      <c r="D102" s="29"/>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c r="A103" s="21"/>
      <c r="B103" s="21"/>
      <c r="C103" s="21"/>
      <c r="D103" s="29"/>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c r="A104" s="21"/>
      <c r="B104" s="21"/>
      <c r="C104" s="21"/>
      <c r="D104" s="29"/>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c r="A105" s="21"/>
      <c r="B105" s="21"/>
      <c r="C105" s="21"/>
      <c r="D105" s="29"/>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c r="A106" s="21"/>
      <c r="B106" s="21"/>
      <c r="C106" s="21"/>
      <c r="D106" s="29"/>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c r="A107" s="21"/>
      <c r="B107" s="21"/>
      <c r="C107" s="21"/>
      <c r="D107" s="29"/>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c r="A108" s="21"/>
      <c r="B108" s="21"/>
      <c r="C108" s="21"/>
      <c r="D108" s="29"/>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c r="A109" s="21"/>
      <c r="B109" s="21"/>
      <c r="C109" s="21"/>
      <c r="D109" s="29"/>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c r="A110" s="21"/>
      <c r="B110" s="21"/>
      <c r="C110" s="21"/>
      <c r="D110" s="29"/>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c r="A111" s="21"/>
      <c r="B111" s="21"/>
      <c r="C111" s="21"/>
      <c r="D111" s="29"/>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c r="A112" s="21"/>
      <c r="B112" s="21"/>
      <c r="C112" s="21"/>
      <c r="D112" s="29"/>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c r="A113" s="21"/>
      <c r="B113" s="21"/>
      <c r="C113" s="21"/>
      <c r="D113" s="29"/>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c r="A114" s="21"/>
      <c r="B114" s="21"/>
      <c r="C114" s="21"/>
      <c r="D114" s="29"/>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c r="A115" s="21"/>
      <c r="B115" s="21"/>
      <c r="C115" s="21"/>
      <c r="D115" s="29"/>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c r="A116" s="21"/>
      <c r="B116" s="21"/>
      <c r="C116" s="21"/>
      <c r="D116" s="29"/>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c r="A117" s="21"/>
      <c r="B117" s="21"/>
      <c r="C117" s="21"/>
      <c r="D117" s="29"/>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c r="A118" s="21"/>
      <c r="B118" s="21"/>
      <c r="C118" s="21"/>
      <c r="D118" s="29"/>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c r="A119" s="21"/>
      <c r="B119" s="21"/>
      <c r="C119" s="21"/>
      <c r="D119" s="29"/>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c r="A120" s="21"/>
      <c r="B120" s="21"/>
      <c r="C120" s="21"/>
      <c r="D120" s="29"/>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c r="A121" s="21"/>
      <c r="B121" s="21"/>
      <c r="C121" s="21"/>
      <c r="D121" s="29"/>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c r="A122" s="21"/>
      <c r="B122" s="21"/>
      <c r="C122" s="21"/>
      <c r="D122" s="29"/>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c r="A123" s="21"/>
      <c r="B123" s="21"/>
      <c r="C123" s="21"/>
      <c r="D123" s="29"/>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c r="A124" s="21"/>
      <c r="B124" s="21"/>
      <c r="C124" s="21"/>
      <c r="D124" s="29"/>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c r="A125" s="21"/>
      <c r="B125" s="21"/>
      <c r="C125" s="21"/>
      <c r="D125" s="29"/>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c r="A126" s="21"/>
      <c r="B126" s="21"/>
      <c r="C126" s="21"/>
      <c r="D126" s="29"/>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c r="A127" s="21"/>
      <c r="B127" s="21"/>
      <c r="C127" s="21"/>
      <c r="D127" s="29"/>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c r="A128" s="21"/>
      <c r="B128" s="21"/>
      <c r="C128" s="21"/>
      <c r="D128" s="29"/>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c r="A129" s="21"/>
      <c r="B129" s="21"/>
      <c r="C129" s="21"/>
      <c r="D129" s="29"/>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c r="A130" s="21"/>
      <c r="B130" s="21"/>
      <c r="C130" s="21"/>
      <c r="D130" s="29"/>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c r="A131" s="21"/>
      <c r="B131" s="21"/>
      <c r="C131" s="21"/>
      <c r="D131" s="29"/>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c r="A132" s="21"/>
      <c r="B132" s="21"/>
      <c r="C132" s="21"/>
      <c r="D132" s="29"/>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c r="A133" s="21"/>
      <c r="B133" s="21"/>
      <c r="C133" s="21"/>
      <c r="D133" s="29"/>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c r="A134" s="21"/>
      <c r="B134" s="21"/>
      <c r="C134" s="21"/>
      <c r="D134" s="29"/>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c r="A135" s="21"/>
      <c r="B135" s="21"/>
      <c r="C135" s="21"/>
      <c r="D135" s="29"/>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c r="A136" s="21"/>
      <c r="B136" s="21"/>
      <c r="C136" s="21"/>
      <c r="D136" s="29"/>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c r="A137" s="21"/>
      <c r="B137" s="21"/>
      <c r="C137" s="21"/>
      <c r="D137" s="29"/>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c r="A138" s="21"/>
      <c r="B138" s="21"/>
      <c r="C138" s="21"/>
      <c r="D138" s="29"/>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c r="A139" s="21"/>
      <c r="B139" s="21"/>
      <c r="C139" s="21"/>
      <c r="D139" s="29"/>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c r="A140" s="21"/>
      <c r="B140" s="21"/>
      <c r="C140" s="21"/>
      <c r="D140" s="29"/>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c r="A141" s="21"/>
      <c r="B141" s="21"/>
      <c r="C141" s="21"/>
      <c r="D141" s="29"/>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c r="A142" s="21"/>
      <c r="B142" s="21"/>
      <c r="C142" s="21"/>
      <c r="D142" s="29"/>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c r="A143" s="21"/>
      <c r="B143" s="21"/>
      <c r="C143" s="21"/>
      <c r="D143" s="29"/>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c r="A144" s="21"/>
      <c r="B144" s="21"/>
      <c r="C144" s="21"/>
      <c r="D144" s="29"/>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c r="A145" s="21"/>
      <c r="B145" s="21"/>
      <c r="C145" s="21"/>
      <c r="D145" s="29"/>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c r="A146" s="21"/>
      <c r="B146" s="21"/>
      <c r="C146" s="21"/>
      <c r="D146" s="29"/>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c r="A147" s="21"/>
      <c r="B147" s="21"/>
      <c r="C147" s="21"/>
      <c r="D147" s="29"/>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c r="A148" s="21"/>
      <c r="B148" s="21"/>
      <c r="C148" s="21"/>
      <c r="D148" s="29"/>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c r="A149" s="21"/>
      <c r="B149" s="21"/>
      <c r="C149" s="21"/>
      <c r="D149" s="29"/>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c r="A150" s="21"/>
      <c r="B150" s="21"/>
      <c r="C150" s="21"/>
      <c r="D150" s="29"/>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c r="A151" s="21"/>
      <c r="B151" s="21"/>
      <c r="C151" s="21"/>
      <c r="D151" s="29"/>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c r="A152" s="21"/>
      <c r="B152" s="21"/>
      <c r="C152" s="21"/>
      <c r="D152" s="29"/>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c r="A153" s="21"/>
      <c r="B153" s="21"/>
      <c r="C153" s="21"/>
      <c r="D153" s="29"/>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c r="A154" s="21"/>
      <c r="B154" s="21"/>
      <c r="C154" s="21"/>
      <c r="D154" s="29"/>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c r="A155" s="21"/>
      <c r="B155" s="21"/>
      <c r="C155" s="21"/>
      <c r="D155" s="29"/>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c r="A156" s="21"/>
      <c r="B156" s="21"/>
      <c r="C156" s="21"/>
      <c r="D156" s="29"/>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c r="A157" s="21"/>
      <c r="B157" s="21"/>
      <c r="C157" s="21"/>
      <c r="D157" s="29"/>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c r="A158" s="21"/>
      <c r="B158" s="21"/>
      <c r="C158" s="21"/>
      <c r="D158" s="29"/>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c r="A159" s="21"/>
      <c r="B159" s="21"/>
      <c r="C159" s="21"/>
      <c r="D159" s="29"/>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c r="A160" s="21"/>
      <c r="B160" s="21"/>
      <c r="C160" s="21"/>
      <c r="D160" s="29"/>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c r="A161" s="21"/>
      <c r="B161" s="21"/>
      <c r="C161" s="21"/>
      <c r="D161" s="29"/>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c r="A162" s="21"/>
      <c r="B162" s="21"/>
      <c r="C162" s="21"/>
      <c r="D162" s="29"/>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c r="A163" s="21"/>
      <c r="B163" s="21"/>
      <c r="C163" s="21"/>
      <c r="D163" s="29"/>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c r="A164" s="21"/>
      <c r="B164" s="21"/>
      <c r="C164" s="21"/>
      <c r="D164" s="29"/>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c r="A165" s="21"/>
      <c r="B165" s="21"/>
      <c r="C165" s="21"/>
      <c r="D165" s="29"/>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c r="A166" s="21"/>
      <c r="B166" s="21"/>
      <c r="C166" s="21"/>
      <c r="D166" s="29"/>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c r="A167" s="21"/>
      <c r="B167" s="21"/>
      <c r="C167" s="21"/>
      <c r="D167" s="29"/>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c r="A168" s="21"/>
      <c r="B168" s="21"/>
      <c r="C168" s="21"/>
      <c r="D168" s="29"/>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c r="A169" s="21"/>
      <c r="B169" s="21"/>
      <c r="C169" s="21"/>
      <c r="D169" s="29"/>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c r="A170" s="21"/>
      <c r="B170" s="21"/>
      <c r="C170" s="21"/>
      <c r="D170" s="29"/>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c r="A171" s="21"/>
      <c r="B171" s="21"/>
      <c r="C171" s="21"/>
      <c r="D171" s="29"/>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c r="A172" s="21"/>
      <c r="B172" s="21"/>
      <c r="C172" s="21"/>
      <c r="D172" s="29"/>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c r="A173" s="21"/>
      <c r="B173" s="21"/>
      <c r="C173" s="21"/>
      <c r="D173" s="29"/>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c r="A174" s="21"/>
      <c r="B174" s="21"/>
      <c r="C174" s="21"/>
      <c r="D174" s="29"/>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c r="A175" s="21"/>
      <c r="B175" s="21"/>
      <c r="C175" s="21"/>
      <c r="D175" s="29"/>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c r="A176" s="21"/>
      <c r="B176" s="21"/>
      <c r="C176" s="21"/>
      <c r="D176" s="29"/>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c r="A177" s="21"/>
      <c r="B177" s="21"/>
      <c r="C177" s="21"/>
      <c r="D177" s="29"/>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c r="A178" s="21"/>
      <c r="B178" s="21"/>
      <c r="C178" s="21"/>
      <c r="D178" s="29"/>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c r="A179" s="21"/>
      <c r="B179" s="21"/>
      <c r="C179" s="21"/>
      <c r="D179" s="29"/>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c r="A180" s="21"/>
      <c r="B180" s="21"/>
      <c r="C180" s="21"/>
      <c r="D180" s="29"/>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c r="A181" s="21"/>
      <c r="B181" s="21"/>
      <c r="C181" s="21"/>
      <c r="D181" s="29"/>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c r="A182" s="21"/>
      <c r="B182" s="21"/>
      <c r="C182" s="21"/>
      <c r="D182" s="29"/>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c r="A183" s="21"/>
      <c r="B183" s="21"/>
      <c r="C183" s="21"/>
      <c r="D183" s="29"/>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c r="A184" s="21"/>
      <c r="B184" s="21"/>
      <c r="C184" s="21"/>
      <c r="D184" s="29"/>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c r="A185" s="21"/>
      <c r="B185" s="21"/>
      <c r="C185" s="21"/>
      <c r="D185" s="29"/>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c r="A186" s="21"/>
      <c r="B186" s="21"/>
      <c r="C186" s="21"/>
      <c r="D186" s="29"/>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c r="A187" s="21"/>
      <c r="B187" s="21"/>
      <c r="C187" s="21"/>
      <c r="D187" s="29"/>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c r="A188" s="21"/>
      <c r="B188" s="21"/>
      <c r="C188" s="21"/>
      <c r="D188" s="29"/>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c r="A189" s="21"/>
      <c r="B189" s="21"/>
      <c r="C189" s="21"/>
      <c r="D189" s="29"/>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c r="A190" s="21"/>
      <c r="B190" s="21"/>
      <c r="C190" s="21"/>
      <c r="D190" s="29"/>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c r="A191" s="21"/>
      <c r="B191" s="21"/>
      <c r="C191" s="21"/>
      <c r="D191" s="29"/>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c r="A192" s="21"/>
      <c r="B192" s="21"/>
      <c r="C192" s="21"/>
      <c r="D192" s="29"/>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c r="A193" s="21"/>
      <c r="B193" s="21"/>
      <c r="C193" s="21"/>
      <c r="D193" s="29"/>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c r="A194" s="21"/>
      <c r="B194" s="21"/>
      <c r="C194" s="21"/>
      <c r="D194" s="29"/>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c r="A195" s="21"/>
      <c r="B195" s="21"/>
      <c r="C195" s="21"/>
      <c r="D195" s="29"/>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c r="A196" s="21"/>
      <c r="B196" s="21"/>
      <c r="C196" s="21"/>
      <c r="D196" s="29"/>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c r="A197" s="21"/>
      <c r="B197" s="21"/>
      <c r="C197" s="21"/>
      <c r="D197" s="29"/>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c r="A198" s="21"/>
      <c r="B198" s="21"/>
      <c r="C198" s="21"/>
      <c r="D198" s="29"/>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c r="A199" s="21"/>
      <c r="B199" s="21"/>
      <c r="C199" s="21"/>
      <c r="D199" s="29"/>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c r="A200" s="21"/>
      <c r="B200" s="21"/>
      <c r="C200" s="21"/>
      <c r="D200" s="29"/>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c r="A201" s="21"/>
      <c r="B201" s="21"/>
      <c r="C201" s="21"/>
      <c r="D201" s="29"/>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c r="A202" s="21"/>
      <c r="B202" s="21"/>
      <c r="C202" s="21"/>
      <c r="D202" s="29"/>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c r="A203" s="21"/>
      <c r="B203" s="21"/>
      <c r="C203" s="21"/>
      <c r="D203" s="29"/>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c r="A204" s="21"/>
      <c r="B204" s="21"/>
      <c r="C204" s="21"/>
      <c r="D204" s="29"/>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c r="A205" s="21"/>
      <c r="B205" s="21"/>
      <c r="C205" s="21"/>
      <c r="D205" s="29"/>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c r="A206" s="21"/>
      <c r="B206" s="21"/>
      <c r="C206" s="21"/>
      <c r="D206" s="29"/>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c r="A207" s="21"/>
      <c r="B207" s="21"/>
      <c r="C207" s="21"/>
      <c r="D207" s="29"/>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c r="A208" s="21"/>
      <c r="B208" s="21"/>
      <c r="C208" s="21"/>
      <c r="D208" s="29"/>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c r="A209" s="21"/>
      <c r="B209" s="21"/>
      <c r="C209" s="21"/>
      <c r="D209" s="29"/>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c r="A210" s="21"/>
      <c r="B210" s="21"/>
      <c r="C210" s="21"/>
      <c r="D210" s="29"/>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c r="A211" s="21"/>
      <c r="B211" s="21"/>
      <c r="C211" s="21"/>
      <c r="D211" s="29"/>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c r="A212" s="21"/>
      <c r="B212" s="21"/>
      <c r="C212" s="21"/>
      <c r="D212" s="29"/>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c r="A213" s="21"/>
      <c r="B213" s="21"/>
      <c r="C213" s="21"/>
      <c r="D213" s="29"/>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c r="A214" s="21"/>
      <c r="B214" s="21"/>
      <c r="C214" s="21"/>
      <c r="D214" s="29"/>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c r="A215" s="21"/>
      <c r="B215" s="21"/>
      <c r="C215" s="21"/>
      <c r="D215" s="29"/>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c r="A216" s="21"/>
      <c r="B216" s="21"/>
      <c r="C216" s="21"/>
      <c r="D216" s="29"/>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c r="A217" s="21"/>
      <c r="B217" s="21"/>
      <c r="C217" s="21"/>
      <c r="D217" s="29"/>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c r="A218" s="21"/>
      <c r="B218" s="21"/>
      <c r="C218" s="21"/>
      <c r="D218" s="29"/>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c r="A219" s="21"/>
      <c r="B219" s="21"/>
      <c r="C219" s="21"/>
      <c r="D219" s="29"/>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c r="A220" s="21"/>
      <c r="B220" s="21"/>
      <c r="C220" s="21"/>
      <c r="D220" s="29"/>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c r="A221" s="21"/>
      <c r="B221" s="21"/>
      <c r="C221" s="21"/>
      <c r="D221" s="29"/>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c r="A222" s="21"/>
      <c r="B222" s="21"/>
      <c r="C222" s="21"/>
      <c r="D222" s="29"/>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c r="A223" s="21"/>
      <c r="B223" s="21"/>
      <c r="C223" s="21"/>
      <c r="D223" s="29"/>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c r="A224" s="21"/>
      <c r="B224" s="21"/>
      <c r="C224" s="21"/>
      <c r="D224" s="29"/>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c r="A225" s="21"/>
      <c r="B225" s="21"/>
      <c r="C225" s="21"/>
      <c r="D225" s="29"/>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c r="A226" s="21"/>
      <c r="B226" s="21"/>
      <c r="C226" s="21"/>
      <c r="D226" s="29"/>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c r="A227" s="21"/>
      <c r="B227" s="21"/>
      <c r="C227" s="21"/>
      <c r="D227" s="29"/>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c r="A228" s="21"/>
      <c r="B228" s="21"/>
      <c r="C228" s="21"/>
      <c r="D228" s="29"/>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c r="A229" s="21"/>
      <c r="B229" s="21"/>
      <c r="C229" s="21"/>
      <c r="D229" s="29"/>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c r="A230" s="21"/>
      <c r="B230" s="21"/>
      <c r="C230" s="21"/>
      <c r="D230" s="29"/>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c r="A231" s="21"/>
      <c r="B231" s="21"/>
      <c r="C231" s="21"/>
      <c r="D231" s="29"/>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c r="A232" s="21"/>
      <c r="B232" s="21"/>
      <c r="C232" s="21"/>
      <c r="D232" s="29"/>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c r="A233" s="21"/>
      <c r="B233" s="21"/>
      <c r="C233" s="21"/>
      <c r="D233" s="29"/>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c r="A234" s="21"/>
      <c r="B234" s="21"/>
      <c r="C234" s="21"/>
      <c r="D234" s="29"/>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c r="A235" s="21"/>
      <c r="B235" s="21"/>
      <c r="C235" s="21"/>
      <c r="D235" s="29"/>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c r="A236" s="21"/>
      <c r="B236" s="21"/>
      <c r="C236" s="21"/>
      <c r="D236" s="29"/>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c r="A237" s="21"/>
      <c r="B237" s="21"/>
      <c r="C237" s="21"/>
      <c r="D237" s="29"/>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c r="A238" s="21"/>
      <c r="B238" s="21"/>
      <c r="C238" s="21"/>
      <c r="D238" s="29"/>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c r="A239" s="21"/>
      <c r="B239" s="21"/>
      <c r="C239" s="21"/>
      <c r="D239" s="29"/>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c r="A240" s="21"/>
      <c r="B240" s="21"/>
      <c r="C240" s="21"/>
      <c r="D240" s="29"/>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c r="A241" s="21"/>
      <c r="B241" s="21"/>
      <c r="C241" s="21"/>
      <c r="D241" s="29"/>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c r="A242" s="21"/>
      <c r="B242" s="21"/>
      <c r="C242" s="21"/>
      <c r="D242" s="29"/>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c r="A243" s="21"/>
      <c r="B243" s="21"/>
      <c r="C243" s="21"/>
      <c r="D243" s="29"/>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c r="A244" s="21"/>
      <c r="B244" s="21"/>
      <c r="C244" s="21"/>
      <c r="D244" s="29"/>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c r="A245" s="21"/>
      <c r="B245" s="21"/>
      <c r="C245" s="21"/>
      <c r="D245" s="29"/>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c r="A246" s="21"/>
      <c r="B246" s="21"/>
      <c r="C246" s="21"/>
      <c r="D246" s="29"/>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c r="A247" s="21"/>
      <c r="B247" s="21"/>
      <c r="C247" s="21"/>
      <c r="D247" s="29"/>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c r="A248" s="21"/>
      <c r="B248" s="21"/>
      <c r="C248" s="21"/>
      <c r="D248" s="29"/>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c r="A249" s="21"/>
      <c r="B249" s="21"/>
      <c r="C249" s="21"/>
      <c r="D249" s="29"/>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c r="A250" s="21"/>
      <c r="B250" s="21"/>
      <c r="C250" s="21"/>
      <c r="D250" s="29"/>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c r="A251" s="21"/>
      <c r="B251" s="21"/>
      <c r="C251" s="21"/>
      <c r="D251" s="29"/>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c r="A252" s="21"/>
      <c r="B252" s="21"/>
      <c r="C252" s="21"/>
      <c r="D252" s="29"/>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c r="A253" s="21"/>
      <c r="B253" s="21"/>
      <c r="C253" s="21"/>
      <c r="D253" s="29"/>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c r="A254" s="21"/>
      <c r="B254" s="21"/>
      <c r="C254" s="21"/>
      <c r="D254" s="29"/>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c r="A255" s="21"/>
      <c r="B255" s="21"/>
      <c r="C255" s="21"/>
      <c r="D255" s="29"/>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c r="A256" s="21"/>
      <c r="B256" s="21"/>
      <c r="C256" s="21"/>
      <c r="D256" s="29"/>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c r="A257" s="21"/>
      <c r="B257" s="21"/>
      <c r="C257" s="21"/>
      <c r="D257" s="29"/>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c r="A258" s="21"/>
      <c r="B258" s="21"/>
      <c r="C258" s="21"/>
      <c r="D258" s="29"/>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c r="A259" s="21"/>
      <c r="B259" s="21"/>
      <c r="C259" s="21"/>
      <c r="D259" s="29"/>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c r="A260" s="21"/>
      <c r="B260" s="21"/>
      <c r="C260" s="21"/>
      <c r="D260" s="29"/>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c r="A261" s="21"/>
      <c r="B261" s="21"/>
      <c r="C261" s="21"/>
      <c r="D261" s="29"/>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c r="A262" s="21"/>
      <c r="B262" s="21"/>
      <c r="C262" s="21"/>
      <c r="D262" s="29"/>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c r="A263" s="21"/>
      <c r="B263" s="21"/>
      <c r="C263" s="21"/>
      <c r="D263" s="29"/>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c r="A264" s="21"/>
      <c r="B264" s="21"/>
      <c r="C264" s="21"/>
      <c r="D264" s="29"/>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c r="A265" s="21"/>
      <c r="B265" s="21"/>
      <c r="C265" s="21"/>
      <c r="D265" s="29"/>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c r="A266" s="21"/>
      <c r="B266" s="21"/>
      <c r="C266" s="21"/>
      <c r="D266" s="29"/>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c r="A267" s="21"/>
      <c r="B267" s="21"/>
      <c r="C267" s="21"/>
      <c r="D267" s="29"/>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c r="A268" s="21"/>
      <c r="B268" s="21"/>
      <c r="C268" s="21"/>
      <c r="D268" s="29"/>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c r="A269" s="21"/>
      <c r="B269" s="21"/>
      <c r="C269" s="21"/>
      <c r="D269" s="29"/>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c r="A270" s="21"/>
      <c r="B270" s="21"/>
      <c r="C270" s="21"/>
      <c r="D270" s="29"/>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c r="A271" s="21"/>
      <c r="B271" s="21"/>
      <c r="C271" s="21"/>
      <c r="D271" s="29"/>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c r="A272" s="21"/>
      <c r="B272" s="21"/>
      <c r="C272" s="21"/>
      <c r="D272" s="29"/>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c r="A273" s="21"/>
      <c r="B273" s="21"/>
      <c r="C273" s="21"/>
      <c r="D273" s="29"/>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c r="A274" s="21"/>
      <c r="B274" s="21"/>
      <c r="C274" s="21"/>
      <c r="D274" s="29"/>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c r="A275" s="21"/>
      <c r="B275" s="21"/>
      <c r="C275" s="21"/>
      <c r="D275" s="29"/>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c r="A276" s="21"/>
      <c r="B276" s="21"/>
      <c r="C276" s="21"/>
      <c r="D276" s="29"/>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c r="A277" s="21"/>
      <c r="B277" s="21"/>
      <c r="C277" s="21"/>
      <c r="D277" s="29"/>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c r="A278" s="21"/>
      <c r="B278" s="21"/>
      <c r="C278" s="21"/>
      <c r="D278" s="29"/>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c r="A279" s="21"/>
      <c r="B279" s="21"/>
      <c r="C279" s="21"/>
      <c r="D279" s="29"/>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c r="A280" s="21"/>
      <c r="B280" s="21"/>
      <c r="C280" s="21"/>
      <c r="D280" s="29"/>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c r="A281" s="21"/>
      <c r="B281" s="21"/>
      <c r="C281" s="21"/>
      <c r="D281" s="29"/>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c r="A282" s="21"/>
      <c r="B282" s="21"/>
      <c r="C282" s="21"/>
      <c r="D282" s="29"/>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c r="A283" s="21"/>
      <c r="B283" s="21"/>
      <c r="C283" s="21"/>
      <c r="D283" s="29"/>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c r="A284" s="21"/>
      <c r="B284" s="21"/>
      <c r="C284" s="21"/>
      <c r="D284" s="29"/>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c r="A285" s="21"/>
      <c r="B285" s="21"/>
      <c r="C285" s="21"/>
      <c r="D285" s="29"/>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c r="A286" s="21"/>
      <c r="B286" s="21"/>
      <c r="C286" s="21"/>
      <c r="D286" s="29"/>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c r="A287" s="21"/>
      <c r="B287" s="21"/>
      <c r="C287" s="21"/>
      <c r="D287" s="29"/>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c r="A288" s="21"/>
      <c r="B288" s="21"/>
      <c r="C288" s="21"/>
      <c r="D288" s="29"/>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c r="A289" s="21"/>
      <c r="B289" s="21"/>
      <c r="C289" s="21"/>
      <c r="D289" s="29"/>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c r="A290" s="21"/>
      <c r="B290" s="21"/>
      <c r="C290" s="21"/>
      <c r="D290" s="29"/>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c r="A291" s="21"/>
      <c r="B291" s="21"/>
      <c r="C291" s="21"/>
      <c r="D291" s="29"/>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c r="A292" s="21"/>
      <c r="B292" s="21"/>
      <c r="C292" s="21"/>
      <c r="D292" s="29"/>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c r="A293" s="21"/>
      <c r="B293" s="21"/>
      <c r="C293" s="21"/>
      <c r="D293" s="29"/>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c r="A294" s="21"/>
      <c r="B294" s="21"/>
      <c r="C294" s="21"/>
      <c r="D294" s="29"/>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c r="A295" s="21"/>
      <c r="B295" s="21"/>
      <c r="C295" s="21"/>
      <c r="D295" s="29"/>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c r="A296" s="21"/>
      <c r="B296" s="21"/>
      <c r="C296" s="21"/>
      <c r="D296" s="29"/>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c r="A297" s="21"/>
      <c r="B297" s="21"/>
      <c r="C297" s="21"/>
      <c r="D297" s="29"/>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c r="A298" s="21"/>
      <c r="B298" s="21"/>
      <c r="C298" s="21"/>
      <c r="D298" s="29"/>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c r="A299" s="21"/>
      <c r="B299" s="21"/>
      <c r="C299" s="21"/>
      <c r="D299" s="29"/>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c r="A300" s="21"/>
      <c r="B300" s="21"/>
      <c r="C300" s="21"/>
      <c r="D300" s="29"/>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c r="A301" s="21"/>
      <c r="B301" s="21"/>
      <c r="C301" s="21"/>
      <c r="D301" s="29"/>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c r="A302" s="21"/>
      <c r="B302" s="21"/>
      <c r="C302" s="21"/>
      <c r="D302" s="29"/>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c r="A303" s="21"/>
      <c r="B303" s="21"/>
      <c r="C303" s="21"/>
      <c r="D303" s="29"/>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c r="A304" s="21"/>
      <c r="B304" s="21"/>
      <c r="C304" s="21"/>
      <c r="D304" s="29"/>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c r="A305" s="21"/>
      <c r="B305" s="21"/>
      <c r="C305" s="21"/>
      <c r="D305" s="29"/>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c r="A306" s="21"/>
      <c r="B306" s="21"/>
      <c r="C306" s="21"/>
      <c r="D306" s="29"/>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c r="A307" s="21"/>
      <c r="B307" s="21"/>
      <c r="C307" s="21"/>
      <c r="D307" s="29"/>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c r="A308" s="21"/>
      <c r="B308" s="21"/>
      <c r="C308" s="21"/>
      <c r="D308" s="29"/>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c r="A309" s="21"/>
      <c r="B309" s="21"/>
      <c r="C309" s="21"/>
      <c r="D309" s="29"/>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c r="A310" s="21"/>
      <c r="B310" s="21"/>
      <c r="C310" s="21"/>
      <c r="D310" s="29"/>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c r="A311" s="21"/>
      <c r="B311" s="21"/>
      <c r="C311" s="21"/>
      <c r="D311" s="29"/>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c r="A312" s="21"/>
      <c r="B312" s="21"/>
      <c r="C312" s="21"/>
      <c r="D312" s="29"/>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c r="A313" s="21"/>
      <c r="B313" s="21"/>
      <c r="C313" s="21"/>
      <c r="D313" s="29"/>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c r="A314" s="21"/>
      <c r="B314" s="21"/>
      <c r="C314" s="21"/>
      <c r="D314" s="29"/>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c r="A315" s="21"/>
      <c r="B315" s="21"/>
      <c r="C315" s="21"/>
      <c r="D315" s="29"/>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c r="A316" s="21"/>
      <c r="B316" s="21"/>
      <c r="C316" s="21"/>
      <c r="D316" s="29"/>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c r="A317" s="21"/>
      <c r="B317" s="21"/>
      <c r="C317" s="21"/>
      <c r="D317" s="29"/>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c r="A318" s="21"/>
      <c r="B318" s="21"/>
      <c r="C318" s="21"/>
      <c r="D318" s="29"/>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c r="A319" s="21"/>
      <c r="B319" s="21"/>
      <c r="C319" s="21"/>
      <c r="D319" s="29"/>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c r="A320" s="21"/>
      <c r="B320" s="21"/>
      <c r="C320" s="21"/>
      <c r="D320" s="29"/>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c r="A321" s="21"/>
      <c r="B321" s="21"/>
      <c r="C321" s="21"/>
      <c r="D321" s="29"/>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c r="A322" s="21"/>
      <c r="B322" s="21"/>
      <c r="C322" s="21"/>
      <c r="D322" s="29"/>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c r="A323" s="21"/>
      <c r="B323" s="21"/>
      <c r="C323" s="21"/>
      <c r="D323" s="29"/>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c r="A324" s="21"/>
      <c r="B324" s="21"/>
      <c r="C324" s="21"/>
      <c r="D324" s="29"/>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c r="A325" s="21"/>
      <c r="B325" s="21"/>
      <c r="C325" s="21"/>
      <c r="D325" s="29"/>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c r="A326" s="21"/>
      <c r="B326" s="21"/>
      <c r="C326" s="21"/>
      <c r="D326" s="29"/>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c r="A327" s="21"/>
      <c r="B327" s="21"/>
      <c r="C327" s="21"/>
      <c r="D327" s="29"/>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c r="A328" s="21"/>
      <c r="B328" s="21"/>
      <c r="C328" s="21"/>
      <c r="D328" s="29"/>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c r="A329" s="21"/>
      <c r="B329" s="21"/>
      <c r="C329" s="21"/>
      <c r="D329" s="29"/>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c r="A330" s="21"/>
      <c r="B330" s="21"/>
      <c r="C330" s="21"/>
      <c r="D330" s="29"/>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c r="A331" s="21"/>
      <c r="B331" s="21"/>
      <c r="C331" s="21"/>
      <c r="D331" s="29"/>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c r="A332" s="21"/>
      <c r="B332" s="21"/>
      <c r="C332" s="21"/>
      <c r="D332" s="29"/>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c r="A333" s="21"/>
      <c r="B333" s="21"/>
      <c r="C333" s="21"/>
      <c r="D333" s="29"/>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c r="A334" s="21"/>
      <c r="B334" s="21"/>
      <c r="C334" s="21"/>
      <c r="D334" s="29"/>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c r="A335" s="21"/>
      <c r="B335" s="21"/>
      <c r="C335" s="21"/>
      <c r="D335" s="29"/>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c r="A336" s="21"/>
      <c r="B336" s="21"/>
      <c r="C336" s="21"/>
      <c r="D336" s="29"/>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c r="A337" s="21"/>
      <c r="B337" s="21"/>
      <c r="C337" s="21"/>
      <c r="D337" s="29"/>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c r="A338" s="21"/>
      <c r="B338" s="21"/>
      <c r="C338" s="21"/>
      <c r="D338" s="29"/>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c r="A339" s="21"/>
      <c r="B339" s="21"/>
      <c r="C339" s="21"/>
      <c r="D339" s="29"/>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c r="A340" s="21"/>
      <c r="B340" s="21"/>
      <c r="C340" s="21"/>
      <c r="D340" s="29"/>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c r="A341" s="21"/>
      <c r="B341" s="21"/>
      <c r="C341" s="21"/>
      <c r="D341" s="29"/>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c r="A342" s="21"/>
      <c r="B342" s="21"/>
      <c r="C342" s="21"/>
      <c r="D342" s="29"/>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c r="A343" s="21"/>
      <c r="B343" s="21"/>
      <c r="C343" s="21"/>
      <c r="D343" s="29"/>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c r="A344" s="21"/>
      <c r="B344" s="21"/>
      <c r="C344" s="21"/>
      <c r="D344" s="29"/>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c r="A345" s="21"/>
      <c r="B345" s="21"/>
      <c r="C345" s="21"/>
      <c r="D345" s="29"/>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c r="A346" s="21"/>
      <c r="B346" s="21"/>
      <c r="C346" s="21"/>
      <c r="D346" s="29"/>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c r="A347" s="21"/>
      <c r="B347" s="21"/>
      <c r="C347" s="21"/>
      <c r="D347" s="29"/>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c r="A348" s="21"/>
      <c r="B348" s="21"/>
      <c r="C348" s="21"/>
      <c r="D348" s="29"/>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c r="A349" s="21"/>
      <c r="B349" s="21"/>
      <c r="C349" s="21"/>
      <c r="D349" s="29"/>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c r="A350" s="21"/>
      <c r="B350" s="21"/>
      <c r="C350" s="21"/>
      <c r="D350" s="29"/>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c r="A351" s="21"/>
      <c r="B351" s="21"/>
      <c r="C351" s="21"/>
      <c r="D351" s="29"/>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c r="A352" s="21"/>
      <c r="B352" s="21"/>
      <c r="C352" s="21"/>
      <c r="D352" s="29"/>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c r="A353" s="21"/>
      <c r="B353" s="21"/>
      <c r="C353" s="21"/>
      <c r="D353" s="29"/>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c r="A354" s="21"/>
      <c r="B354" s="21"/>
      <c r="C354" s="21"/>
      <c r="D354" s="29"/>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c r="A355" s="21"/>
      <c r="B355" s="21"/>
      <c r="C355" s="21"/>
      <c r="D355" s="29"/>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c r="A356" s="21"/>
      <c r="B356" s="21"/>
      <c r="C356" s="21"/>
      <c r="D356" s="29"/>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c r="A357" s="21"/>
      <c r="B357" s="21"/>
      <c r="C357" s="21"/>
      <c r="D357" s="29"/>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c r="A358" s="21"/>
      <c r="B358" s="21"/>
      <c r="C358" s="21"/>
      <c r="D358" s="29"/>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c r="A359" s="21"/>
      <c r="B359" s="21"/>
      <c r="C359" s="21"/>
      <c r="D359" s="29"/>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c r="A360" s="21"/>
      <c r="B360" s="21"/>
      <c r="C360" s="21"/>
      <c r="D360" s="29"/>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c r="A361" s="21"/>
      <c r="B361" s="21"/>
      <c r="C361" s="21"/>
      <c r="D361" s="29"/>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c r="A362" s="21"/>
      <c r="B362" s="21"/>
      <c r="C362" s="21"/>
      <c r="D362" s="29"/>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c r="A363" s="21"/>
      <c r="B363" s="21"/>
      <c r="C363" s="21"/>
      <c r="D363" s="29"/>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c r="A364" s="21"/>
      <c r="B364" s="21"/>
      <c r="C364" s="21"/>
      <c r="D364" s="29"/>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c r="A365" s="21"/>
      <c r="B365" s="21"/>
      <c r="C365" s="21"/>
      <c r="D365" s="29"/>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c r="A366" s="21"/>
      <c r="B366" s="21"/>
      <c r="C366" s="21"/>
      <c r="D366" s="29"/>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c r="A367" s="21"/>
      <c r="B367" s="21"/>
      <c r="C367" s="21"/>
      <c r="D367" s="29"/>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c r="A368" s="21"/>
      <c r="B368" s="21"/>
      <c r="C368" s="21"/>
      <c r="D368" s="29"/>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c r="A369" s="21"/>
      <c r="B369" s="21"/>
      <c r="C369" s="21"/>
      <c r="D369" s="29"/>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c r="A370" s="21"/>
      <c r="B370" s="21"/>
      <c r="C370" s="21"/>
      <c r="D370" s="29"/>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c r="A371" s="21"/>
      <c r="B371" s="21"/>
      <c r="C371" s="21"/>
      <c r="D371" s="29"/>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c r="A372" s="21"/>
      <c r="B372" s="21"/>
      <c r="C372" s="21"/>
      <c r="D372" s="29"/>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c r="A373" s="21"/>
      <c r="B373" s="21"/>
      <c r="C373" s="21"/>
      <c r="D373" s="29"/>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c r="A374" s="21"/>
      <c r="B374" s="21"/>
      <c r="C374" s="21"/>
      <c r="D374" s="29"/>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c r="A375" s="21"/>
      <c r="B375" s="21"/>
      <c r="C375" s="21"/>
      <c r="D375" s="29"/>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c r="A376" s="21"/>
      <c r="B376" s="21"/>
      <c r="C376" s="21"/>
      <c r="D376" s="29"/>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c r="A377" s="21"/>
      <c r="B377" s="21"/>
      <c r="C377" s="21"/>
      <c r="D377" s="29"/>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c r="A378" s="21"/>
      <c r="B378" s="21"/>
      <c r="C378" s="21"/>
      <c r="D378" s="29"/>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c r="A379" s="21"/>
      <c r="B379" s="21"/>
      <c r="C379" s="21"/>
      <c r="D379" s="29"/>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c r="A380" s="21"/>
      <c r="B380" s="21"/>
      <c r="C380" s="21"/>
      <c r="D380" s="29"/>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c r="A381" s="21"/>
      <c r="B381" s="21"/>
      <c r="C381" s="21"/>
      <c r="D381" s="29"/>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c r="A382" s="21"/>
      <c r="B382" s="21"/>
      <c r="C382" s="21"/>
      <c r="D382" s="29"/>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c r="A383" s="21"/>
      <c r="B383" s="21"/>
      <c r="C383" s="21"/>
      <c r="D383" s="29"/>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c r="A384" s="21"/>
      <c r="B384" s="21"/>
      <c r="C384" s="21"/>
      <c r="D384" s="29"/>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c r="A385" s="21"/>
      <c r="B385" s="21"/>
      <c r="C385" s="21"/>
      <c r="D385" s="29"/>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c r="A386" s="21"/>
      <c r="B386" s="21"/>
      <c r="C386" s="21"/>
      <c r="D386" s="29"/>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c r="A387" s="21"/>
      <c r="B387" s="21"/>
      <c r="C387" s="21"/>
      <c r="D387" s="29"/>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c r="A388" s="21"/>
      <c r="B388" s="21"/>
      <c r="C388" s="21"/>
      <c r="D388" s="29"/>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c r="A389" s="21"/>
      <c r="B389" s="21"/>
      <c r="C389" s="21"/>
      <c r="D389" s="29"/>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c r="A390" s="21"/>
      <c r="B390" s="21"/>
      <c r="C390" s="21"/>
      <c r="D390" s="29"/>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c r="A391" s="21"/>
      <c r="B391" s="21"/>
      <c r="C391" s="21"/>
      <c r="D391" s="29"/>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c r="A392" s="21"/>
      <c r="B392" s="21"/>
      <c r="C392" s="21"/>
      <c r="D392" s="29"/>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c r="A393" s="21"/>
      <c r="B393" s="21"/>
      <c r="C393" s="21"/>
      <c r="D393" s="29"/>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c r="A394" s="21"/>
      <c r="B394" s="21"/>
      <c r="C394" s="21"/>
      <c r="D394" s="29"/>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c r="A395" s="21"/>
      <c r="B395" s="21"/>
      <c r="C395" s="21"/>
      <c r="D395" s="29"/>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c r="A396" s="21"/>
      <c r="B396" s="21"/>
      <c r="C396" s="21"/>
      <c r="D396" s="29"/>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c r="A397" s="21"/>
      <c r="B397" s="21"/>
      <c r="C397" s="21"/>
      <c r="D397" s="29"/>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c r="A398" s="21"/>
      <c r="B398" s="21"/>
      <c r="C398" s="21"/>
      <c r="D398" s="29"/>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c r="A399" s="21"/>
      <c r="B399" s="21"/>
      <c r="C399" s="21"/>
      <c r="D399" s="29"/>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c r="A400" s="21"/>
      <c r="B400" s="21"/>
      <c r="C400" s="21"/>
      <c r="D400" s="29"/>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c r="A401" s="21"/>
      <c r="B401" s="21"/>
      <c r="C401" s="21"/>
      <c r="D401" s="29"/>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c r="A402" s="21"/>
      <c r="B402" s="21"/>
      <c r="C402" s="21"/>
      <c r="D402" s="29"/>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c r="A403" s="21"/>
      <c r="B403" s="21"/>
      <c r="C403" s="21"/>
      <c r="D403" s="29"/>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c r="A404" s="21"/>
      <c r="B404" s="21"/>
      <c r="C404" s="21"/>
      <c r="D404" s="29"/>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c r="A405" s="21"/>
      <c r="B405" s="21"/>
      <c r="C405" s="21"/>
      <c r="D405" s="29"/>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c r="A406" s="21"/>
      <c r="B406" s="21"/>
      <c r="C406" s="21"/>
      <c r="D406" s="29"/>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c r="A407" s="21"/>
      <c r="B407" s="21"/>
      <c r="C407" s="21"/>
      <c r="D407" s="29"/>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c r="A408" s="21"/>
      <c r="B408" s="21"/>
      <c r="C408" s="21"/>
      <c r="D408" s="29"/>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c r="A409" s="21"/>
      <c r="B409" s="21"/>
      <c r="C409" s="21"/>
      <c r="D409" s="29"/>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c r="A410" s="21"/>
      <c r="B410" s="21"/>
      <c r="C410" s="21"/>
      <c r="D410" s="29"/>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c r="A411" s="21"/>
      <c r="B411" s="21"/>
      <c r="C411" s="21"/>
      <c r="D411" s="29"/>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c r="A412" s="21"/>
      <c r="B412" s="21"/>
      <c r="C412" s="21"/>
      <c r="D412" s="29"/>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c r="A413" s="21"/>
      <c r="B413" s="21"/>
      <c r="C413" s="21"/>
      <c r="D413" s="29"/>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c r="A414" s="21"/>
      <c r="B414" s="21"/>
      <c r="C414" s="21"/>
      <c r="D414" s="29"/>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c r="A415" s="21"/>
      <c r="B415" s="21"/>
      <c r="C415" s="21"/>
      <c r="D415" s="29"/>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c r="A416" s="21"/>
      <c r="B416" s="21"/>
      <c r="C416" s="21"/>
      <c r="D416" s="29"/>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c r="A417" s="21"/>
      <c r="B417" s="21"/>
      <c r="C417" s="21"/>
      <c r="D417" s="29"/>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c r="A418" s="21"/>
      <c r="B418" s="21"/>
      <c r="C418" s="21"/>
      <c r="D418" s="29"/>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c r="A419" s="21"/>
      <c r="B419" s="21"/>
      <c r="C419" s="21"/>
      <c r="D419" s="29"/>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c r="A420" s="21"/>
      <c r="B420" s="21"/>
      <c r="C420" s="21"/>
      <c r="D420" s="29"/>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c r="A421" s="21"/>
      <c r="B421" s="21"/>
      <c r="C421" s="21"/>
      <c r="D421" s="29"/>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c r="A422" s="21"/>
      <c r="B422" s="21"/>
      <c r="C422" s="21"/>
      <c r="D422" s="29"/>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c r="A423" s="21"/>
      <c r="B423" s="21"/>
      <c r="C423" s="21"/>
      <c r="D423" s="29"/>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c r="A424" s="21"/>
      <c r="B424" s="21"/>
      <c r="C424" s="21"/>
      <c r="D424" s="29"/>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c r="A425" s="21"/>
      <c r="B425" s="21"/>
      <c r="C425" s="21"/>
      <c r="D425" s="29"/>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c r="A426" s="21"/>
      <c r="B426" s="21"/>
      <c r="C426" s="21"/>
      <c r="D426" s="29"/>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c r="A427" s="21"/>
      <c r="B427" s="21"/>
      <c r="C427" s="21"/>
      <c r="D427" s="29"/>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c r="A428" s="21"/>
      <c r="B428" s="21"/>
      <c r="C428" s="21"/>
      <c r="D428" s="29"/>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c r="A429" s="21"/>
      <c r="B429" s="21"/>
      <c r="C429" s="21"/>
      <c r="D429" s="29"/>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c r="A430" s="21"/>
      <c r="B430" s="21"/>
      <c r="C430" s="21"/>
      <c r="D430" s="29"/>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c r="A431" s="21"/>
      <c r="B431" s="21"/>
      <c r="C431" s="21"/>
      <c r="D431" s="29"/>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c r="A432" s="21"/>
      <c r="B432" s="21"/>
      <c r="C432" s="21"/>
      <c r="D432" s="29"/>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c r="A433" s="21"/>
      <c r="B433" s="21"/>
      <c r="C433" s="21"/>
      <c r="D433" s="29"/>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c r="A434" s="21"/>
      <c r="B434" s="21"/>
      <c r="C434" s="21"/>
      <c r="D434" s="29"/>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c r="A435" s="21"/>
      <c r="B435" s="21"/>
      <c r="C435" s="21"/>
      <c r="D435" s="29"/>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c r="A436" s="21"/>
      <c r="B436" s="21"/>
      <c r="C436" s="21"/>
      <c r="D436" s="29"/>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c r="A437" s="21"/>
      <c r="B437" s="21"/>
      <c r="C437" s="21"/>
      <c r="D437" s="29"/>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c r="A438" s="21"/>
      <c r="B438" s="21"/>
      <c r="C438" s="21"/>
      <c r="D438" s="29"/>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c r="A439" s="21"/>
      <c r="B439" s="21"/>
      <c r="C439" s="21"/>
      <c r="D439" s="29"/>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c r="A440" s="21"/>
      <c r="B440" s="21"/>
      <c r="C440" s="21"/>
      <c r="D440" s="29"/>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c r="A441" s="21"/>
      <c r="B441" s="21"/>
      <c r="C441" s="21"/>
      <c r="D441" s="29"/>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c r="A442" s="21"/>
      <c r="B442" s="21"/>
      <c r="C442" s="21"/>
      <c r="D442" s="29"/>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c r="A443" s="21"/>
      <c r="B443" s="21"/>
      <c r="C443" s="21"/>
      <c r="D443" s="29"/>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c r="A444" s="21"/>
      <c r="B444" s="21"/>
      <c r="C444" s="21"/>
      <c r="D444" s="29"/>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c r="A445" s="21"/>
      <c r="B445" s="21"/>
      <c r="C445" s="21"/>
      <c r="D445" s="29"/>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c r="A446" s="21"/>
      <c r="B446" s="21"/>
      <c r="C446" s="21"/>
      <c r="D446" s="29"/>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c r="A447" s="21"/>
      <c r="B447" s="21"/>
      <c r="C447" s="21"/>
      <c r="D447" s="29"/>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c r="A448" s="21"/>
      <c r="B448" s="21"/>
      <c r="C448" s="21"/>
      <c r="D448" s="29"/>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c r="A449" s="21"/>
      <c r="B449" s="21"/>
      <c r="C449" s="21"/>
      <c r="D449" s="29"/>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c r="A450" s="21"/>
      <c r="B450" s="21"/>
      <c r="C450" s="21"/>
      <c r="D450" s="29"/>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c r="A451" s="21"/>
      <c r="B451" s="21"/>
      <c r="C451" s="21"/>
      <c r="D451" s="29"/>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c r="A452" s="21"/>
      <c r="B452" s="21"/>
      <c r="C452" s="21"/>
      <c r="D452" s="29"/>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c r="A453" s="21"/>
      <c r="B453" s="21"/>
      <c r="C453" s="21"/>
      <c r="D453" s="29"/>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c r="A454" s="21"/>
      <c r="B454" s="21"/>
      <c r="C454" s="21"/>
      <c r="D454" s="29"/>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c r="A455" s="21"/>
      <c r="B455" s="21"/>
      <c r="C455" s="21"/>
      <c r="D455" s="29"/>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c r="A456" s="21"/>
      <c r="B456" s="21"/>
      <c r="C456" s="21"/>
      <c r="D456" s="29"/>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c r="A457" s="21"/>
      <c r="B457" s="21"/>
      <c r="C457" s="21"/>
      <c r="D457" s="29"/>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c r="A458" s="21"/>
      <c r="B458" s="21"/>
      <c r="C458" s="21"/>
      <c r="D458" s="29"/>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c r="A459" s="21"/>
      <c r="B459" s="21"/>
      <c r="C459" s="21"/>
      <c r="D459" s="29"/>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c r="A460" s="21"/>
      <c r="B460" s="21"/>
      <c r="C460" s="21"/>
      <c r="D460" s="29"/>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c r="A461" s="21"/>
      <c r="B461" s="21"/>
      <c r="C461" s="21"/>
      <c r="D461" s="29"/>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c r="A462" s="21"/>
      <c r="B462" s="21"/>
      <c r="C462" s="21"/>
      <c r="D462" s="29"/>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c r="A463" s="21"/>
      <c r="B463" s="21"/>
      <c r="C463" s="21"/>
      <c r="D463" s="29"/>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c r="A464" s="21"/>
      <c r="B464" s="21"/>
      <c r="C464" s="21"/>
      <c r="D464" s="29"/>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c r="A465" s="21"/>
      <c r="B465" s="21"/>
      <c r="C465" s="21"/>
      <c r="D465" s="29"/>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c r="A466" s="21"/>
      <c r="B466" s="21"/>
      <c r="C466" s="21"/>
      <c r="D466" s="29"/>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c r="A467" s="21"/>
      <c r="B467" s="21"/>
      <c r="C467" s="21"/>
      <c r="D467" s="29"/>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c r="A468" s="21"/>
      <c r="B468" s="21"/>
      <c r="C468" s="21"/>
      <c r="D468" s="29"/>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c r="A469" s="21"/>
      <c r="B469" s="21"/>
      <c r="C469" s="21"/>
      <c r="D469" s="29"/>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c r="A470" s="21"/>
      <c r="B470" s="21"/>
      <c r="C470" s="21"/>
      <c r="D470" s="29"/>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c r="A471" s="21"/>
      <c r="B471" s="21"/>
      <c r="C471" s="21"/>
      <c r="D471" s="29"/>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c r="A472" s="21"/>
      <c r="B472" s="21"/>
      <c r="C472" s="21"/>
      <c r="D472" s="29"/>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c r="A473" s="21"/>
      <c r="B473" s="21"/>
      <c r="C473" s="21"/>
      <c r="D473" s="29"/>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c r="A474" s="21"/>
      <c r="B474" s="21"/>
      <c r="C474" s="21"/>
      <c r="D474" s="29"/>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c r="A475" s="21"/>
      <c r="B475" s="21"/>
      <c r="C475" s="21"/>
      <c r="D475" s="29"/>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c r="A476" s="21"/>
      <c r="B476" s="21"/>
      <c r="C476" s="21"/>
      <c r="D476" s="29"/>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c r="A477" s="21"/>
      <c r="B477" s="21"/>
      <c r="C477" s="21"/>
      <c r="D477" s="29"/>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c r="A478" s="21"/>
      <c r="B478" s="21"/>
      <c r="C478" s="21"/>
      <c r="D478" s="29"/>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c r="A479" s="21"/>
      <c r="B479" s="21"/>
      <c r="C479" s="21"/>
      <c r="D479" s="29"/>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c r="A480" s="21"/>
      <c r="B480" s="21"/>
      <c r="C480" s="21"/>
      <c r="D480" s="29"/>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c r="A481" s="21"/>
      <c r="B481" s="21"/>
      <c r="C481" s="21"/>
      <c r="D481" s="29"/>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c r="A482" s="21"/>
      <c r="B482" s="21"/>
      <c r="C482" s="21"/>
      <c r="D482" s="29"/>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c r="A483" s="21"/>
      <c r="B483" s="21"/>
      <c r="C483" s="21"/>
      <c r="D483" s="29"/>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c r="A484" s="21"/>
      <c r="B484" s="21"/>
      <c r="C484" s="21"/>
      <c r="D484" s="29"/>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c r="A485" s="21"/>
      <c r="B485" s="21"/>
      <c r="C485" s="21"/>
      <c r="D485" s="29"/>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c r="A486" s="21"/>
      <c r="B486" s="21"/>
      <c r="C486" s="21"/>
      <c r="D486" s="29"/>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c r="A487" s="21"/>
      <c r="B487" s="21"/>
      <c r="C487" s="21"/>
      <c r="D487" s="29"/>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c r="A488" s="21"/>
      <c r="B488" s="21"/>
      <c r="C488" s="21"/>
      <c r="D488" s="29"/>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c r="A489" s="21"/>
      <c r="B489" s="21"/>
      <c r="C489" s="21"/>
      <c r="D489" s="29"/>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c r="A490" s="21"/>
      <c r="B490" s="21"/>
      <c r="C490" s="21"/>
      <c r="D490" s="29"/>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c r="A491" s="21"/>
      <c r="B491" s="21"/>
      <c r="C491" s="21"/>
      <c r="D491" s="29"/>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c r="A492" s="21"/>
      <c r="B492" s="21"/>
      <c r="C492" s="21"/>
      <c r="D492" s="29"/>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c r="A493" s="21"/>
      <c r="B493" s="21"/>
      <c r="C493" s="21"/>
      <c r="D493" s="29"/>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c r="A494" s="21"/>
      <c r="B494" s="21"/>
      <c r="C494" s="21"/>
      <c r="D494" s="29"/>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c r="A495" s="21"/>
      <c r="B495" s="21"/>
      <c r="C495" s="21"/>
      <c r="D495" s="29"/>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c r="A496" s="21"/>
      <c r="B496" s="21"/>
      <c r="C496" s="21"/>
      <c r="D496" s="29"/>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c r="A497" s="21"/>
      <c r="B497" s="21"/>
      <c r="C497" s="21"/>
      <c r="D497" s="29"/>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c r="A498" s="21"/>
      <c r="B498" s="21"/>
      <c r="C498" s="21"/>
      <c r="D498" s="29"/>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c r="A499" s="21"/>
      <c r="B499" s="21"/>
      <c r="C499" s="21"/>
      <c r="D499" s="29"/>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c r="A500" s="21"/>
      <c r="B500" s="21"/>
      <c r="C500" s="21"/>
      <c r="D500" s="29"/>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c r="A501" s="21"/>
      <c r="B501" s="21"/>
      <c r="C501" s="21"/>
      <c r="D501" s="29"/>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c r="A502" s="21"/>
      <c r="B502" s="21"/>
      <c r="C502" s="21"/>
      <c r="D502" s="29"/>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c r="A503" s="21"/>
      <c r="B503" s="21"/>
      <c r="C503" s="21"/>
      <c r="D503" s="29"/>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c r="A504" s="21"/>
      <c r="B504" s="21"/>
      <c r="C504" s="21"/>
      <c r="D504" s="29"/>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c r="A505" s="21"/>
      <c r="B505" s="21"/>
      <c r="C505" s="21"/>
      <c r="D505" s="29"/>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c r="A506" s="21"/>
      <c r="B506" s="21"/>
      <c r="C506" s="21"/>
      <c r="D506" s="29"/>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c r="A507" s="21"/>
      <c r="B507" s="21"/>
      <c r="C507" s="21"/>
      <c r="D507" s="29"/>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c r="A508" s="21"/>
      <c r="B508" s="21"/>
      <c r="C508" s="21"/>
      <c r="D508" s="29"/>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c r="A509" s="21"/>
      <c r="B509" s="21"/>
      <c r="C509" s="21"/>
      <c r="D509" s="29"/>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c r="A510" s="21"/>
      <c r="B510" s="21"/>
      <c r="C510" s="21"/>
      <c r="D510" s="29"/>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c r="A511" s="21"/>
      <c r="B511" s="21"/>
      <c r="C511" s="21"/>
      <c r="D511" s="29"/>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c r="A512" s="21"/>
      <c r="B512" s="21"/>
      <c r="C512" s="21"/>
      <c r="D512" s="29"/>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c r="A513" s="21"/>
      <c r="B513" s="21"/>
      <c r="C513" s="21"/>
      <c r="D513" s="29"/>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c r="A514" s="21"/>
      <c r="B514" s="21"/>
      <c r="C514" s="21"/>
      <c r="D514" s="29"/>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c r="A515" s="21"/>
      <c r="B515" s="21"/>
      <c r="C515" s="21"/>
      <c r="D515" s="29"/>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c r="A516" s="21"/>
      <c r="B516" s="21"/>
      <c r="C516" s="21"/>
      <c r="D516" s="29"/>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c r="A517" s="21"/>
      <c r="B517" s="21"/>
      <c r="C517" s="21"/>
      <c r="D517" s="29"/>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c r="A518" s="21"/>
      <c r="B518" s="21"/>
      <c r="C518" s="21"/>
      <c r="D518" s="29"/>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c r="A519" s="21"/>
      <c r="B519" s="21"/>
      <c r="C519" s="21"/>
      <c r="D519" s="29"/>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c r="A520" s="21"/>
      <c r="B520" s="21"/>
      <c r="C520" s="21"/>
      <c r="D520" s="29"/>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c r="A521" s="21"/>
      <c r="B521" s="21"/>
      <c r="C521" s="21"/>
      <c r="D521" s="29"/>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c r="A522" s="21"/>
      <c r="B522" s="21"/>
      <c r="C522" s="21"/>
      <c r="D522" s="29"/>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c r="A523" s="21"/>
      <c r="B523" s="21"/>
      <c r="C523" s="21"/>
      <c r="D523" s="29"/>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c r="A524" s="21"/>
      <c r="B524" s="21"/>
      <c r="C524" s="21"/>
      <c r="D524" s="29"/>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c r="A525" s="21"/>
      <c r="B525" s="21"/>
      <c r="C525" s="21"/>
      <c r="D525" s="29"/>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c r="A526" s="21"/>
      <c r="B526" s="21"/>
      <c r="C526" s="21"/>
      <c r="D526" s="29"/>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c r="A527" s="21"/>
      <c r="B527" s="21"/>
      <c r="C527" s="21"/>
      <c r="D527" s="29"/>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c r="A528" s="21"/>
      <c r="B528" s="21"/>
      <c r="C528" s="21"/>
      <c r="D528" s="29"/>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c r="A529" s="21"/>
      <c r="B529" s="21"/>
      <c r="C529" s="21"/>
      <c r="D529" s="29"/>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c r="A530" s="21"/>
      <c r="B530" s="21"/>
      <c r="C530" s="21"/>
      <c r="D530" s="29"/>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c r="A531" s="21"/>
      <c r="B531" s="21"/>
      <c r="C531" s="21"/>
      <c r="D531" s="29"/>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c r="A532" s="21"/>
      <c r="B532" s="21"/>
      <c r="C532" s="21"/>
      <c r="D532" s="29"/>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c r="A533" s="21"/>
      <c r="B533" s="21"/>
      <c r="C533" s="21"/>
      <c r="D533" s="29"/>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c r="A534" s="21"/>
      <c r="B534" s="21"/>
      <c r="C534" s="21"/>
      <c r="D534" s="29"/>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c r="A535" s="21"/>
      <c r="B535" s="21"/>
      <c r="C535" s="21"/>
      <c r="D535" s="29"/>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c r="A536" s="21"/>
      <c r="B536" s="21"/>
      <c r="C536" s="21"/>
      <c r="D536" s="29"/>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c r="A537" s="21"/>
      <c r="B537" s="21"/>
      <c r="C537" s="21"/>
      <c r="D537" s="29"/>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c r="A538" s="21"/>
      <c r="B538" s="21"/>
      <c r="C538" s="21"/>
      <c r="D538" s="29"/>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c r="A539" s="21"/>
      <c r="B539" s="21"/>
      <c r="C539" s="21"/>
      <c r="D539" s="29"/>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c r="A540" s="21"/>
      <c r="B540" s="21"/>
      <c r="C540" s="21"/>
      <c r="D540" s="29"/>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c r="A541" s="21"/>
      <c r="B541" s="21"/>
      <c r="C541" s="21"/>
      <c r="D541" s="29"/>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c r="A542" s="21"/>
      <c r="B542" s="21"/>
      <c r="C542" s="21"/>
      <c r="D542" s="29"/>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c r="A543" s="21"/>
      <c r="B543" s="21"/>
      <c r="C543" s="21"/>
      <c r="D543" s="29"/>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c r="A544" s="21"/>
      <c r="B544" s="21"/>
      <c r="C544" s="21"/>
      <c r="D544" s="29"/>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c r="A545" s="21"/>
      <c r="B545" s="21"/>
      <c r="C545" s="21"/>
      <c r="D545" s="29"/>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c r="A546" s="21"/>
      <c r="B546" s="21"/>
      <c r="C546" s="21"/>
      <c r="D546" s="29"/>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c r="A547" s="21"/>
      <c r="B547" s="21"/>
      <c r="C547" s="21"/>
      <c r="D547" s="29"/>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c r="A548" s="21"/>
      <c r="B548" s="21"/>
      <c r="C548" s="21"/>
      <c r="D548" s="29"/>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c r="A549" s="21"/>
      <c r="B549" s="21"/>
      <c r="C549" s="21"/>
      <c r="D549" s="29"/>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c r="A550" s="21"/>
      <c r="B550" s="21"/>
      <c r="C550" s="21"/>
      <c r="D550" s="29"/>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c r="A551" s="21"/>
      <c r="B551" s="21"/>
      <c r="C551" s="21"/>
      <c r="D551" s="29"/>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c r="A552" s="21"/>
      <c r="B552" s="21"/>
      <c r="C552" s="21"/>
      <c r="D552" s="29"/>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c r="A553" s="21"/>
      <c r="B553" s="21"/>
      <c r="C553" s="21"/>
      <c r="D553" s="29"/>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c r="A554" s="21"/>
      <c r="B554" s="21"/>
      <c r="C554" s="21"/>
      <c r="D554" s="29"/>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c r="A555" s="21"/>
      <c r="B555" s="21"/>
      <c r="C555" s="21"/>
      <c r="D555" s="29"/>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c r="A556" s="21"/>
      <c r="B556" s="21"/>
      <c r="C556" s="21"/>
      <c r="D556" s="29"/>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c r="A557" s="21"/>
      <c r="B557" s="21"/>
      <c r="C557" s="21"/>
      <c r="D557" s="29"/>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c r="A558" s="21"/>
      <c r="B558" s="21"/>
      <c r="C558" s="21"/>
      <c r="D558" s="29"/>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c r="A559" s="21"/>
      <c r="B559" s="21"/>
      <c r="C559" s="21"/>
      <c r="D559" s="29"/>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c r="A560" s="21"/>
      <c r="B560" s="21"/>
      <c r="C560" s="21"/>
      <c r="D560" s="29"/>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c r="A561" s="21"/>
      <c r="B561" s="21"/>
      <c r="C561" s="21"/>
      <c r="D561" s="29"/>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c r="A562" s="21"/>
      <c r="B562" s="21"/>
      <c r="C562" s="21"/>
      <c r="D562" s="29"/>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c r="A563" s="21"/>
      <c r="B563" s="21"/>
      <c r="C563" s="21"/>
      <c r="D563" s="29"/>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c r="A564" s="21"/>
      <c r="B564" s="21"/>
      <c r="C564" s="21"/>
      <c r="D564" s="29"/>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c r="A565" s="21"/>
      <c r="B565" s="21"/>
      <c r="C565" s="21"/>
      <c r="D565" s="29"/>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c r="A566" s="21"/>
      <c r="B566" s="21"/>
      <c r="C566" s="21"/>
      <c r="D566" s="29"/>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c r="A567" s="21"/>
      <c r="B567" s="21"/>
      <c r="C567" s="21"/>
      <c r="D567" s="29"/>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c r="A568" s="21"/>
      <c r="B568" s="21"/>
      <c r="C568" s="21"/>
      <c r="D568" s="29"/>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c r="A569" s="21"/>
      <c r="B569" s="21"/>
      <c r="C569" s="21"/>
      <c r="D569" s="29"/>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c r="A570" s="21"/>
      <c r="B570" s="21"/>
      <c r="C570" s="21"/>
      <c r="D570" s="29"/>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c r="A571" s="21"/>
      <c r="B571" s="21"/>
      <c r="C571" s="21"/>
      <c r="D571" s="29"/>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c r="A572" s="21"/>
      <c r="B572" s="21"/>
      <c r="C572" s="21"/>
      <c r="D572" s="29"/>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c r="A573" s="21"/>
      <c r="B573" s="21"/>
      <c r="C573" s="21"/>
      <c r="D573" s="29"/>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c r="A574" s="21"/>
      <c r="B574" s="21"/>
      <c r="C574" s="21"/>
      <c r="D574" s="29"/>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c r="A575" s="21"/>
      <c r="B575" s="21"/>
      <c r="C575" s="21"/>
      <c r="D575" s="29"/>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c r="A576" s="21"/>
      <c r="B576" s="21"/>
      <c r="C576" s="21"/>
      <c r="D576" s="29"/>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c r="A577" s="21"/>
      <c r="B577" s="21"/>
      <c r="C577" s="21"/>
      <c r="D577" s="29"/>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c r="A578" s="21"/>
      <c r="B578" s="21"/>
      <c r="C578" s="21"/>
      <c r="D578" s="29"/>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c r="A579" s="21"/>
      <c r="B579" s="21"/>
      <c r="C579" s="21"/>
      <c r="D579" s="29"/>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c r="A580" s="21"/>
      <c r="B580" s="21"/>
      <c r="C580" s="21"/>
      <c r="D580" s="29"/>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c r="A581" s="21"/>
      <c r="B581" s="21"/>
      <c r="C581" s="21"/>
      <c r="D581" s="29"/>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c r="A582" s="21"/>
      <c r="B582" s="21"/>
      <c r="C582" s="21"/>
      <c r="D582" s="29"/>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c r="A583" s="21"/>
      <c r="B583" s="21"/>
      <c r="C583" s="21"/>
      <c r="D583" s="29"/>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c r="A584" s="21"/>
      <c r="B584" s="21"/>
      <c r="C584" s="21"/>
      <c r="D584" s="29"/>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c r="A585" s="21"/>
      <c r="B585" s="21"/>
      <c r="C585" s="21"/>
      <c r="D585" s="29"/>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c r="A586" s="21"/>
      <c r="B586" s="21"/>
      <c r="C586" s="21"/>
      <c r="D586" s="29"/>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c r="A587" s="21"/>
      <c r="B587" s="21"/>
      <c r="C587" s="21"/>
      <c r="D587" s="29"/>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c r="A588" s="21"/>
      <c r="B588" s="21"/>
      <c r="C588" s="21"/>
      <c r="D588" s="29"/>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c r="A589" s="21"/>
      <c r="B589" s="21"/>
      <c r="C589" s="21"/>
      <c r="D589" s="29"/>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c r="A590" s="21"/>
      <c r="B590" s="21"/>
      <c r="C590" s="21"/>
      <c r="D590" s="29"/>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c r="A591" s="21"/>
      <c r="B591" s="21"/>
      <c r="C591" s="21"/>
      <c r="D591" s="29"/>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c r="A592" s="21"/>
      <c r="B592" s="21"/>
      <c r="C592" s="21"/>
      <c r="D592" s="29"/>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c r="A593" s="21"/>
      <c r="B593" s="21"/>
      <c r="C593" s="21"/>
      <c r="D593" s="29"/>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c r="A594" s="21"/>
      <c r="B594" s="21"/>
      <c r="C594" s="21"/>
      <c r="D594" s="29"/>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c r="A595" s="21"/>
      <c r="B595" s="21"/>
      <c r="C595" s="21"/>
      <c r="D595" s="29"/>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c r="A596" s="21"/>
      <c r="B596" s="21"/>
      <c r="C596" s="21"/>
      <c r="D596" s="29"/>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c r="A597" s="21"/>
      <c r="B597" s="21"/>
      <c r="C597" s="21"/>
      <c r="D597" s="29"/>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c r="A598" s="21"/>
      <c r="B598" s="21"/>
      <c r="C598" s="21"/>
      <c r="D598" s="29"/>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c r="A599" s="21"/>
      <c r="B599" s="21"/>
      <c r="C599" s="21"/>
      <c r="D599" s="29"/>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c r="A600" s="21"/>
      <c r="B600" s="21"/>
      <c r="C600" s="21"/>
      <c r="D600" s="29"/>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c r="A601" s="21"/>
      <c r="B601" s="21"/>
      <c r="C601" s="21"/>
      <c r="D601" s="29"/>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c r="A602" s="21"/>
      <c r="B602" s="21"/>
      <c r="C602" s="21"/>
      <c r="D602" s="29"/>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c r="A603" s="21"/>
      <c r="B603" s="21"/>
      <c r="C603" s="21"/>
      <c r="D603" s="29"/>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c r="A604" s="21"/>
      <c r="B604" s="21"/>
      <c r="C604" s="21"/>
      <c r="D604" s="29"/>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c r="A605" s="21"/>
      <c r="B605" s="21"/>
      <c r="C605" s="21"/>
      <c r="D605" s="29"/>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c r="A606" s="21"/>
      <c r="B606" s="21"/>
      <c r="C606" s="21"/>
      <c r="D606" s="29"/>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c r="A607" s="21"/>
      <c r="B607" s="21"/>
      <c r="C607" s="21"/>
      <c r="D607" s="29"/>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c r="A608" s="21"/>
      <c r="B608" s="21"/>
      <c r="C608" s="21"/>
      <c r="D608" s="29"/>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c r="A609" s="21"/>
      <c r="B609" s="21"/>
      <c r="C609" s="21"/>
      <c r="D609" s="29"/>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c r="A610" s="21"/>
      <c r="B610" s="21"/>
      <c r="C610" s="21"/>
      <c r="D610" s="29"/>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c r="A611" s="21"/>
      <c r="B611" s="21"/>
      <c r="C611" s="21"/>
      <c r="D611" s="29"/>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c r="A612" s="21"/>
      <c r="B612" s="21"/>
      <c r="C612" s="21"/>
      <c r="D612" s="29"/>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c r="A613" s="21"/>
      <c r="B613" s="21"/>
      <c r="C613" s="21"/>
      <c r="D613" s="29"/>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c r="A614" s="21"/>
      <c r="B614" s="21"/>
      <c r="C614" s="21"/>
      <c r="D614" s="29"/>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c r="A615" s="21"/>
      <c r="B615" s="21"/>
      <c r="C615" s="21"/>
      <c r="D615" s="29"/>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c r="A616" s="21"/>
      <c r="B616" s="21"/>
      <c r="C616" s="21"/>
      <c r="D616" s="29"/>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c r="A617" s="21"/>
      <c r="B617" s="21"/>
      <c r="C617" s="21"/>
      <c r="D617" s="29"/>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c r="A618" s="21"/>
      <c r="B618" s="21"/>
      <c r="C618" s="21"/>
      <c r="D618" s="29"/>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c r="A619" s="21"/>
      <c r="B619" s="21"/>
      <c r="C619" s="21"/>
      <c r="D619" s="29"/>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c r="A620" s="21"/>
      <c r="B620" s="21"/>
      <c r="C620" s="21"/>
      <c r="D620" s="29"/>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c r="A621" s="21"/>
      <c r="B621" s="21"/>
      <c r="C621" s="21"/>
      <c r="D621" s="29"/>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c r="A622" s="21"/>
      <c r="B622" s="21"/>
      <c r="C622" s="21"/>
      <c r="D622" s="29"/>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c r="A623" s="21"/>
      <c r="B623" s="21"/>
      <c r="C623" s="21"/>
      <c r="D623" s="29"/>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c r="A624" s="21"/>
      <c r="B624" s="21"/>
      <c r="C624" s="21"/>
      <c r="D624" s="29"/>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c r="A625" s="21"/>
      <c r="B625" s="21"/>
      <c r="C625" s="21"/>
      <c r="D625" s="29"/>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c r="A626" s="21"/>
      <c r="B626" s="21"/>
      <c r="C626" s="21"/>
      <c r="D626" s="29"/>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c r="A627" s="21"/>
      <c r="B627" s="21"/>
      <c r="C627" s="21"/>
      <c r="D627" s="29"/>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c r="A628" s="21"/>
      <c r="B628" s="21"/>
      <c r="C628" s="21"/>
      <c r="D628" s="29"/>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c r="A629" s="21"/>
      <c r="B629" s="21"/>
      <c r="C629" s="21"/>
      <c r="D629" s="29"/>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c r="A630" s="21"/>
      <c r="B630" s="21"/>
      <c r="C630" s="21"/>
      <c r="D630" s="29"/>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c r="A631" s="21"/>
      <c r="B631" s="21"/>
      <c r="C631" s="21"/>
      <c r="D631" s="29"/>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c r="A632" s="21"/>
      <c r="B632" s="21"/>
      <c r="C632" s="21"/>
      <c r="D632" s="29"/>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c r="A633" s="21"/>
      <c r="B633" s="21"/>
      <c r="C633" s="21"/>
      <c r="D633" s="29"/>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c r="A634" s="21"/>
      <c r="B634" s="21"/>
      <c r="C634" s="21"/>
      <c r="D634" s="29"/>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c r="A635" s="21"/>
      <c r="B635" s="21"/>
      <c r="C635" s="21"/>
      <c r="D635" s="29"/>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c r="A636" s="21"/>
      <c r="B636" s="21"/>
      <c r="C636" s="21"/>
      <c r="D636" s="29"/>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c r="A637" s="21"/>
      <c r="B637" s="21"/>
      <c r="C637" s="21"/>
      <c r="D637" s="29"/>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c r="A638" s="21"/>
      <c r="B638" s="21"/>
      <c r="C638" s="21"/>
      <c r="D638" s="29"/>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c r="A639" s="21"/>
      <c r="B639" s="21"/>
      <c r="C639" s="21"/>
      <c r="D639" s="29"/>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c r="A640" s="21"/>
      <c r="B640" s="21"/>
      <c r="C640" s="21"/>
      <c r="D640" s="29"/>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c r="A641" s="21"/>
      <c r="B641" s="21"/>
      <c r="C641" s="21"/>
      <c r="D641" s="29"/>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c r="A642" s="21"/>
      <c r="B642" s="21"/>
      <c r="C642" s="21"/>
      <c r="D642" s="29"/>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c r="A643" s="21"/>
      <c r="B643" s="21"/>
      <c r="C643" s="21"/>
      <c r="D643" s="29"/>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c r="A644" s="21"/>
      <c r="B644" s="21"/>
      <c r="C644" s="21"/>
      <c r="D644" s="29"/>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c r="A645" s="21"/>
      <c r="B645" s="21"/>
      <c r="C645" s="21"/>
      <c r="D645" s="29"/>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c r="A646" s="21"/>
      <c r="B646" s="21"/>
      <c r="C646" s="21"/>
      <c r="D646" s="29"/>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c r="A647" s="21"/>
      <c r="B647" s="21"/>
      <c r="C647" s="21"/>
      <c r="D647" s="29"/>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c r="A648" s="21"/>
      <c r="B648" s="21"/>
      <c r="C648" s="21"/>
      <c r="D648" s="29"/>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c r="A649" s="21"/>
      <c r="B649" s="21"/>
      <c r="C649" s="21"/>
      <c r="D649" s="29"/>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c r="A650" s="21"/>
      <c r="B650" s="21"/>
      <c r="C650" s="21"/>
      <c r="D650" s="29"/>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c r="A651" s="21"/>
      <c r="B651" s="21"/>
      <c r="C651" s="21"/>
      <c r="D651" s="29"/>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c r="A652" s="21"/>
      <c r="B652" s="21"/>
      <c r="C652" s="21"/>
      <c r="D652" s="29"/>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c r="A653" s="21"/>
      <c r="B653" s="21"/>
      <c r="C653" s="21"/>
      <c r="D653" s="29"/>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c r="A654" s="21"/>
      <c r="B654" s="21"/>
      <c r="C654" s="21"/>
      <c r="D654" s="29"/>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c r="A655" s="21"/>
      <c r="B655" s="21"/>
      <c r="C655" s="21"/>
      <c r="D655" s="29"/>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c r="A656" s="21"/>
      <c r="B656" s="21"/>
      <c r="C656" s="21"/>
      <c r="D656" s="29"/>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c r="A657" s="21"/>
      <c r="B657" s="21"/>
      <c r="C657" s="21"/>
      <c r="D657" s="29"/>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c r="A658" s="21"/>
      <c r="B658" s="21"/>
      <c r="C658" s="21"/>
      <c r="D658" s="29"/>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c r="A659" s="21"/>
      <c r="B659" s="21"/>
      <c r="C659" s="21"/>
      <c r="D659" s="29"/>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c r="A660" s="21"/>
      <c r="B660" s="21"/>
      <c r="C660" s="21"/>
      <c r="D660" s="29"/>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c r="A661" s="21"/>
      <c r="B661" s="21"/>
      <c r="C661" s="21"/>
      <c r="D661" s="29"/>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c r="A662" s="21"/>
      <c r="B662" s="21"/>
      <c r="C662" s="21"/>
      <c r="D662" s="29"/>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c r="A663" s="21"/>
      <c r="B663" s="21"/>
      <c r="C663" s="21"/>
      <c r="D663" s="29"/>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c r="A664" s="21"/>
      <c r="B664" s="21"/>
      <c r="C664" s="21"/>
      <c r="D664" s="29"/>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c r="A665" s="21"/>
      <c r="B665" s="21"/>
      <c r="C665" s="21"/>
      <c r="D665" s="29"/>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c r="A666" s="21"/>
      <c r="B666" s="21"/>
      <c r="C666" s="21"/>
      <c r="D666" s="29"/>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c r="A667" s="21"/>
      <c r="B667" s="21"/>
      <c r="C667" s="21"/>
      <c r="D667" s="29"/>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c r="A668" s="21"/>
      <c r="B668" s="21"/>
      <c r="C668" s="21"/>
      <c r="D668" s="29"/>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c r="A669" s="21"/>
      <c r="B669" s="21"/>
      <c r="C669" s="21"/>
      <c r="D669" s="29"/>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c r="A670" s="21"/>
      <c r="B670" s="21"/>
      <c r="C670" s="21"/>
      <c r="D670" s="29"/>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c r="A671" s="21"/>
      <c r="B671" s="21"/>
      <c r="C671" s="21"/>
      <c r="D671" s="29"/>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c r="A672" s="21"/>
      <c r="B672" s="21"/>
      <c r="C672" s="21"/>
      <c r="D672" s="29"/>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c r="A673" s="21"/>
      <c r="B673" s="21"/>
      <c r="C673" s="21"/>
      <c r="D673" s="29"/>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c r="A674" s="21"/>
      <c r="B674" s="21"/>
      <c r="C674" s="21"/>
      <c r="D674" s="29"/>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c r="A675" s="21"/>
      <c r="B675" s="21"/>
      <c r="C675" s="21"/>
      <c r="D675" s="29"/>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c r="A676" s="21"/>
      <c r="B676" s="21"/>
      <c r="C676" s="21"/>
      <c r="D676" s="29"/>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c r="A677" s="21"/>
      <c r="B677" s="21"/>
      <c r="C677" s="21"/>
      <c r="D677" s="29"/>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c r="A678" s="21"/>
      <c r="B678" s="21"/>
      <c r="C678" s="21"/>
      <c r="D678" s="29"/>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c r="A679" s="21"/>
      <c r="B679" s="21"/>
      <c r="C679" s="21"/>
      <c r="D679" s="29"/>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c r="A680" s="21"/>
      <c r="B680" s="21"/>
      <c r="C680" s="21"/>
      <c r="D680" s="29"/>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c r="A681" s="21"/>
      <c r="B681" s="21"/>
      <c r="C681" s="21"/>
      <c r="D681" s="29"/>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c r="A682" s="21"/>
      <c r="B682" s="21"/>
      <c r="C682" s="21"/>
      <c r="D682" s="29"/>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c r="A683" s="21"/>
      <c r="B683" s="21"/>
      <c r="C683" s="21"/>
      <c r="D683" s="29"/>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c r="A684" s="21"/>
      <c r="B684" s="21"/>
      <c r="C684" s="21"/>
      <c r="D684" s="29"/>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c r="A685" s="21"/>
      <c r="B685" s="21"/>
      <c r="C685" s="21"/>
      <c r="D685" s="29"/>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c r="A686" s="21"/>
      <c r="B686" s="21"/>
      <c r="C686" s="21"/>
      <c r="D686" s="29"/>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c r="A687" s="21"/>
      <c r="B687" s="21"/>
      <c r="C687" s="21"/>
      <c r="D687" s="29"/>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c r="A688" s="21"/>
      <c r="B688" s="21"/>
      <c r="C688" s="21"/>
      <c r="D688" s="29"/>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c r="A689" s="21"/>
      <c r="B689" s="21"/>
      <c r="C689" s="21"/>
      <c r="D689" s="29"/>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c r="A690" s="21"/>
      <c r="B690" s="21"/>
      <c r="C690" s="21"/>
      <c r="D690" s="29"/>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c r="A691" s="21"/>
      <c r="B691" s="21"/>
      <c r="C691" s="21"/>
      <c r="D691" s="29"/>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c r="A692" s="21"/>
      <c r="B692" s="21"/>
      <c r="C692" s="21"/>
      <c r="D692" s="29"/>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c r="A693" s="21"/>
      <c r="B693" s="21"/>
      <c r="C693" s="21"/>
      <c r="D693" s="29"/>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c r="A694" s="21"/>
      <c r="B694" s="21"/>
      <c r="C694" s="21"/>
      <c r="D694" s="29"/>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c r="A695" s="21"/>
      <c r="B695" s="21"/>
      <c r="C695" s="21"/>
      <c r="D695" s="29"/>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c r="A696" s="21"/>
      <c r="B696" s="21"/>
      <c r="C696" s="21"/>
      <c r="D696" s="29"/>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c r="A697" s="21"/>
      <c r="B697" s="21"/>
      <c r="C697" s="21"/>
      <c r="D697" s="29"/>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c r="A698" s="21"/>
      <c r="B698" s="21"/>
      <c r="C698" s="21"/>
      <c r="D698" s="29"/>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c r="A699" s="21"/>
      <c r="B699" s="21"/>
      <c r="C699" s="21"/>
      <c r="D699" s="29"/>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c r="A700" s="21"/>
      <c r="B700" s="21"/>
      <c r="C700" s="21"/>
      <c r="D700" s="29"/>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c r="A701" s="21"/>
      <c r="B701" s="21"/>
      <c r="C701" s="21"/>
      <c r="D701" s="29"/>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c r="A702" s="21"/>
      <c r="B702" s="21"/>
      <c r="C702" s="21"/>
      <c r="D702" s="29"/>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c r="A703" s="21"/>
      <c r="B703" s="21"/>
      <c r="C703" s="21"/>
      <c r="D703" s="29"/>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c r="A704" s="21"/>
      <c r="B704" s="21"/>
      <c r="C704" s="21"/>
      <c r="D704" s="29"/>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c r="A705" s="21"/>
      <c r="B705" s="21"/>
      <c r="C705" s="21"/>
      <c r="D705" s="29"/>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c r="A706" s="21"/>
      <c r="B706" s="21"/>
      <c r="C706" s="21"/>
      <c r="D706" s="29"/>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c r="A707" s="21"/>
      <c r="B707" s="21"/>
      <c r="C707" s="21"/>
      <c r="D707" s="29"/>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c r="A708" s="21"/>
      <c r="B708" s="21"/>
      <c r="C708" s="21"/>
      <c r="D708" s="29"/>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c r="A709" s="21"/>
      <c r="B709" s="21"/>
      <c r="C709" s="21"/>
      <c r="D709" s="29"/>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c r="A710" s="21"/>
      <c r="B710" s="21"/>
      <c r="C710" s="21"/>
      <c r="D710" s="29"/>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c r="A711" s="21"/>
      <c r="B711" s="21"/>
      <c r="C711" s="21"/>
      <c r="D711" s="29"/>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c r="A712" s="21"/>
      <c r="B712" s="21"/>
      <c r="C712" s="21"/>
      <c r="D712" s="29"/>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c r="A713" s="21"/>
      <c r="B713" s="21"/>
      <c r="C713" s="21"/>
      <c r="D713" s="29"/>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c r="A714" s="21"/>
      <c r="B714" s="21"/>
      <c r="C714" s="21"/>
      <c r="D714" s="29"/>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c r="A715" s="21"/>
      <c r="B715" s="21"/>
      <c r="C715" s="21"/>
      <c r="D715" s="29"/>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c r="A716" s="21"/>
      <c r="B716" s="21"/>
      <c r="C716" s="21"/>
      <c r="D716" s="29"/>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c r="A717" s="21"/>
      <c r="B717" s="21"/>
      <c r="C717" s="21"/>
      <c r="D717" s="29"/>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c r="A718" s="21"/>
      <c r="B718" s="21"/>
      <c r="C718" s="21"/>
      <c r="D718" s="29"/>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c r="A719" s="21"/>
      <c r="B719" s="21"/>
      <c r="C719" s="21"/>
      <c r="D719" s="29"/>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c r="A720" s="21"/>
      <c r="B720" s="21"/>
      <c r="C720" s="21"/>
      <c r="D720" s="29"/>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c r="A721" s="21"/>
      <c r="B721" s="21"/>
      <c r="C721" s="21"/>
      <c r="D721" s="29"/>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c r="A722" s="21"/>
      <c r="B722" s="21"/>
      <c r="C722" s="21"/>
      <c r="D722" s="29"/>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c r="A723" s="21"/>
      <c r="B723" s="21"/>
      <c r="C723" s="21"/>
      <c r="D723" s="29"/>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c r="A724" s="21"/>
      <c r="B724" s="21"/>
      <c r="C724" s="21"/>
      <c r="D724" s="29"/>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c r="A725" s="21"/>
      <c r="B725" s="21"/>
      <c r="C725" s="21"/>
      <c r="D725" s="29"/>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c r="A726" s="21"/>
      <c r="B726" s="21"/>
      <c r="C726" s="21"/>
      <c r="D726" s="29"/>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c r="A727" s="21"/>
      <c r="B727" s="21"/>
      <c r="C727" s="21"/>
      <c r="D727" s="29"/>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c r="A728" s="21"/>
      <c r="B728" s="21"/>
      <c r="C728" s="21"/>
      <c r="D728" s="29"/>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c r="A729" s="21"/>
      <c r="B729" s="21"/>
      <c r="C729" s="21"/>
      <c r="D729" s="29"/>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c r="A730" s="21"/>
      <c r="B730" s="21"/>
      <c r="C730" s="21"/>
      <c r="D730" s="29"/>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c r="A731" s="21"/>
      <c r="B731" s="21"/>
      <c r="C731" s="21"/>
      <c r="D731" s="29"/>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c r="A732" s="21"/>
      <c r="B732" s="21"/>
      <c r="C732" s="21"/>
      <c r="D732" s="29"/>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c r="A733" s="21"/>
      <c r="B733" s="21"/>
      <c r="C733" s="21"/>
      <c r="D733" s="29"/>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c r="A734" s="21"/>
      <c r="B734" s="21"/>
      <c r="C734" s="21"/>
      <c r="D734" s="29"/>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c r="A735" s="21"/>
      <c r="B735" s="21"/>
      <c r="C735" s="21"/>
      <c r="D735" s="29"/>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c r="A736" s="21"/>
      <c r="B736" s="21"/>
      <c r="C736" s="21"/>
      <c r="D736" s="29"/>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c r="A737" s="21"/>
      <c r="B737" s="21"/>
      <c r="C737" s="21"/>
      <c r="D737" s="29"/>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c r="A738" s="21"/>
      <c r="B738" s="21"/>
      <c r="C738" s="21"/>
      <c r="D738" s="29"/>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c r="A739" s="21"/>
      <c r="B739" s="21"/>
      <c r="C739" s="21"/>
      <c r="D739" s="29"/>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c r="A740" s="21"/>
      <c r="B740" s="21"/>
      <c r="C740" s="21"/>
      <c r="D740" s="29"/>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c r="A741" s="21"/>
      <c r="B741" s="21"/>
      <c r="C741" s="21"/>
      <c r="D741" s="29"/>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c r="A742" s="21"/>
      <c r="B742" s="21"/>
      <c r="C742" s="21"/>
      <c r="D742" s="29"/>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c r="A743" s="21"/>
      <c r="B743" s="21"/>
      <c r="C743" s="21"/>
      <c r="D743" s="29"/>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c r="A744" s="21"/>
      <c r="B744" s="21"/>
      <c r="C744" s="21"/>
      <c r="D744" s="29"/>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c r="A745" s="21"/>
      <c r="B745" s="21"/>
      <c r="C745" s="21"/>
      <c r="D745" s="29"/>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c r="A746" s="21"/>
      <c r="B746" s="21"/>
      <c r="C746" s="21"/>
      <c r="D746" s="29"/>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c r="A747" s="21"/>
      <c r="B747" s="21"/>
      <c r="C747" s="21"/>
      <c r="D747" s="29"/>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c r="A748" s="21"/>
      <c r="B748" s="21"/>
      <c r="C748" s="21"/>
      <c r="D748" s="29"/>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c r="A749" s="21"/>
      <c r="B749" s="21"/>
      <c r="C749" s="21"/>
      <c r="D749" s="29"/>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c r="A750" s="21"/>
      <c r="B750" s="21"/>
      <c r="C750" s="21"/>
      <c r="D750" s="29"/>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c r="A751" s="21"/>
      <c r="B751" s="21"/>
      <c r="C751" s="21"/>
      <c r="D751" s="29"/>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c r="A752" s="21"/>
      <c r="B752" s="21"/>
      <c r="C752" s="21"/>
      <c r="D752" s="29"/>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c r="A753" s="21"/>
      <c r="B753" s="21"/>
      <c r="C753" s="21"/>
      <c r="D753" s="29"/>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c r="A754" s="21"/>
      <c r="B754" s="21"/>
      <c r="C754" s="21"/>
      <c r="D754" s="29"/>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c r="A755" s="21"/>
      <c r="B755" s="21"/>
      <c r="C755" s="21"/>
      <c r="D755" s="29"/>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c r="A756" s="21"/>
      <c r="B756" s="21"/>
      <c r="C756" s="21"/>
      <c r="D756" s="29"/>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c r="A757" s="21"/>
      <c r="B757" s="21"/>
      <c r="C757" s="21"/>
      <c r="D757" s="29"/>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c r="A758" s="21"/>
      <c r="B758" s="21"/>
      <c r="C758" s="21"/>
      <c r="D758" s="29"/>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c r="A759" s="21"/>
      <c r="B759" s="21"/>
      <c r="C759" s="21"/>
      <c r="D759" s="29"/>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c r="A760" s="21"/>
      <c r="B760" s="21"/>
      <c r="C760" s="21"/>
      <c r="D760" s="29"/>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c r="A761" s="21"/>
      <c r="B761" s="21"/>
      <c r="C761" s="21"/>
      <c r="D761" s="29"/>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c r="A762" s="21"/>
      <c r="B762" s="21"/>
      <c r="C762" s="21"/>
      <c r="D762" s="29"/>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c r="A763" s="21"/>
      <c r="B763" s="21"/>
      <c r="C763" s="21"/>
      <c r="D763" s="29"/>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c r="A764" s="21"/>
      <c r="B764" s="21"/>
      <c r="C764" s="21"/>
      <c r="D764" s="29"/>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c r="A765" s="21"/>
      <c r="B765" s="21"/>
      <c r="C765" s="21"/>
      <c r="D765" s="29"/>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c r="A766" s="21"/>
      <c r="B766" s="21"/>
      <c r="C766" s="21"/>
      <c r="D766" s="29"/>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c r="A767" s="21"/>
      <c r="B767" s="21"/>
      <c r="C767" s="21"/>
      <c r="D767" s="29"/>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c r="A768" s="21"/>
      <c r="B768" s="21"/>
      <c r="C768" s="21"/>
      <c r="D768" s="29"/>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c r="A769" s="21"/>
      <c r="B769" s="21"/>
      <c r="C769" s="21"/>
      <c r="D769" s="29"/>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c r="A770" s="21"/>
      <c r="B770" s="21"/>
      <c r="C770" s="21"/>
      <c r="D770" s="29"/>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c r="A771" s="21"/>
      <c r="B771" s="21"/>
      <c r="C771" s="21"/>
      <c r="D771" s="29"/>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c r="A772" s="21"/>
      <c r="B772" s="21"/>
      <c r="C772" s="21"/>
      <c r="D772" s="29"/>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c r="A773" s="21"/>
      <c r="B773" s="21"/>
      <c r="C773" s="21"/>
      <c r="D773" s="29"/>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c r="A774" s="21"/>
      <c r="B774" s="21"/>
      <c r="C774" s="21"/>
      <c r="D774" s="29"/>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c r="A775" s="21"/>
      <c r="B775" s="21"/>
      <c r="C775" s="21"/>
      <c r="D775" s="29"/>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c r="A776" s="21"/>
      <c r="B776" s="21"/>
      <c r="C776" s="21"/>
      <c r="D776" s="29"/>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c r="A777" s="21"/>
      <c r="B777" s="21"/>
      <c r="C777" s="21"/>
      <c r="D777" s="29"/>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c r="A778" s="21"/>
      <c r="B778" s="21"/>
      <c r="C778" s="21"/>
      <c r="D778" s="29"/>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c r="A779" s="21"/>
      <c r="B779" s="21"/>
      <c r="C779" s="21"/>
      <c r="D779" s="29"/>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c r="A780" s="21"/>
      <c r="B780" s="21"/>
      <c r="C780" s="21"/>
      <c r="D780" s="29"/>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c r="A781" s="21"/>
      <c r="B781" s="21"/>
      <c r="C781" s="21"/>
      <c r="D781" s="29"/>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c r="A782" s="21"/>
      <c r="B782" s="21"/>
      <c r="C782" s="21"/>
      <c r="D782" s="29"/>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c r="A783" s="21"/>
      <c r="B783" s="21"/>
      <c r="C783" s="21"/>
      <c r="D783" s="29"/>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c r="A784" s="21"/>
      <c r="B784" s="21"/>
      <c r="C784" s="21"/>
      <c r="D784" s="29"/>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c r="A785" s="21"/>
      <c r="B785" s="21"/>
      <c r="C785" s="21"/>
      <c r="D785" s="29"/>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c r="A786" s="21"/>
      <c r="B786" s="21"/>
      <c r="C786" s="21"/>
      <c r="D786" s="29"/>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c r="A787" s="21"/>
      <c r="B787" s="21"/>
      <c r="C787" s="21"/>
      <c r="D787" s="29"/>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c r="A788" s="21"/>
      <c r="B788" s="21"/>
      <c r="C788" s="21"/>
      <c r="D788" s="29"/>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c r="A789" s="21"/>
      <c r="B789" s="21"/>
      <c r="C789" s="21"/>
      <c r="D789" s="29"/>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c r="A790" s="21"/>
      <c r="B790" s="21"/>
      <c r="C790" s="21"/>
      <c r="D790" s="29"/>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c r="A791" s="21"/>
      <c r="B791" s="21"/>
      <c r="C791" s="21"/>
      <c r="D791" s="29"/>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c r="A792" s="21"/>
      <c r="B792" s="21"/>
      <c r="C792" s="21"/>
      <c r="D792" s="29"/>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c r="A793" s="21"/>
      <c r="B793" s="21"/>
      <c r="C793" s="21"/>
      <c r="D793" s="29"/>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c r="A794" s="21"/>
      <c r="B794" s="21"/>
      <c r="C794" s="21"/>
      <c r="D794" s="29"/>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c r="A795" s="21"/>
      <c r="B795" s="21"/>
      <c r="C795" s="21"/>
      <c r="D795" s="29"/>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c r="A796" s="21"/>
      <c r="B796" s="21"/>
      <c r="C796" s="21"/>
      <c r="D796" s="29"/>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c r="A797" s="21"/>
      <c r="B797" s="21"/>
      <c r="C797" s="21"/>
      <c r="D797" s="29"/>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c r="A798" s="21"/>
      <c r="B798" s="21"/>
      <c r="C798" s="21"/>
      <c r="D798" s="29"/>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c r="A799" s="21"/>
      <c r="B799" s="21"/>
      <c r="C799" s="21"/>
      <c r="D799" s="29"/>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c r="A800" s="21"/>
      <c r="B800" s="21"/>
      <c r="C800" s="21"/>
      <c r="D800" s="29"/>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c r="A801" s="21"/>
      <c r="B801" s="21"/>
      <c r="C801" s="21"/>
      <c r="D801" s="29"/>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c r="A802" s="21"/>
      <c r="B802" s="21"/>
      <c r="C802" s="21"/>
      <c r="D802" s="29"/>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c r="A803" s="21"/>
      <c r="B803" s="21"/>
      <c r="C803" s="21"/>
      <c r="D803" s="29"/>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c r="A804" s="21"/>
      <c r="B804" s="21"/>
      <c r="C804" s="21"/>
      <c r="D804" s="29"/>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c r="A805" s="21"/>
      <c r="B805" s="21"/>
      <c r="C805" s="21"/>
      <c r="D805" s="29"/>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c r="A806" s="21"/>
      <c r="B806" s="21"/>
      <c r="C806" s="21"/>
      <c r="D806" s="29"/>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c r="A807" s="21"/>
      <c r="B807" s="21"/>
      <c r="C807" s="21"/>
      <c r="D807" s="29"/>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c r="A808" s="21"/>
      <c r="B808" s="21"/>
      <c r="C808" s="21"/>
      <c r="D808" s="29"/>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c r="A809" s="21"/>
      <c r="B809" s="21"/>
      <c r="C809" s="21"/>
      <c r="D809" s="29"/>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c r="A810" s="21"/>
      <c r="B810" s="21"/>
      <c r="C810" s="21"/>
      <c r="D810" s="29"/>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c r="A811" s="21"/>
      <c r="B811" s="21"/>
      <c r="C811" s="21"/>
      <c r="D811" s="29"/>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c r="A812" s="21"/>
      <c r="B812" s="21"/>
      <c r="C812" s="21"/>
      <c r="D812" s="29"/>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c r="A813" s="21"/>
      <c r="B813" s="21"/>
      <c r="C813" s="21"/>
      <c r="D813" s="29"/>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c r="A814" s="21"/>
      <c r="B814" s="21"/>
      <c r="C814" s="21"/>
      <c r="D814" s="29"/>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c r="A815" s="21"/>
      <c r="B815" s="21"/>
      <c r="C815" s="21"/>
      <c r="D815" s="29"/>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c r="A816" s="21"/>
      <c r="B816" s="21"/>
      <c r="C816" s="21"/>
      <c r="D816" s="29"/>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c r="A817" s="21"/>
      <c r="B817" s="21"/>
      <c r="C817" s="21"/>
      <c r="D817" s="29"/>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c r="A818" s="21"/>
      <c r="B818" s="21"/>
      <c r="C818" s="21"/>
      <c r="D818" s="29"/>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c r="A819" s="21"/>
      <c r="B819" s="21"/>
      <c r="C819" s="21"/>
      <c r="D819" s="29"/>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c r="A820" s="21"/>
      <c r="B820" s="21"/>
      <c r="C820" s="21"/>
      <c r="D820" s="29"/>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c r="A821" s="21"/>
      <c r="B821" s="21"/>
      <c r="C821" s="21"/>
      <c r="D821" s="29"/>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c r="A822" s="21"/>
      <c r="B822" s="21"/>
      <c r="C822" s="21"/>
      <c r="D822" s="29"/>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c r="A823" s="21"/>
      <c r="B823" s="21"/>
      <c r="C823" s="21"/>
      <c r="D823" s="29"/>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c r="A824" s="21"/>
      <c r="B824" s="21"/>
      <c r="C824" s="21"/>
      <c r="D824" s="29"/>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c r="A825" s="21"/>
      <c r="B825" s="21"/>
      <c r="C825" s="21"/>
      <c r="D825" s="29"/>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c r="A826" s="21"/>
      <c r="B826" s="21"/>
      <c r="C826" s="21"/>
      <c r="D826" s="29"/>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c r="A827" s="21"/>
      <c r="B827" s="21"/>
      <c r="C827" s="21"/>
      <c r="D827" s="29"/>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c r="A828" s="21"/>
      <c r="B828" s="21"/>
      <c r="C828" s="21"/>
      <c r="D828" s="29"/>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c r="A829" s="21"/>
      <c r="B829" s="21"/>
      <c r="C829" s="21"/>
      <c r="D829" s="29"/>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c r="A830" s="21"/>
      <c r="B830" s="21"/>
      <c r="C830" s="21"/>
      <c r="D830" s="29"/>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c r="A831" s="21"/>
      <c r="B831" s="21"/>
      <c r="C831" s="21"/>
      <c r="D831" s="29"/>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c r="A832" s="21"/>
      <c r="B832" s="21"/>
      <c r="C832" s="21"/>
      <c r="D832" s="29"/>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c r="A833" s="21"/>
      <c r="B833" s="21"/>
      <c r="C833" s="21"/>
      <c r="D833" s="29"/>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c r="A834" s="21"/>
      <c r="B834" s="21"/>
      <c r="C834" s="21"/>
      <c r="D834" s="29"/>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c r="A835" s="21"/>
      <c r="B835" s="21"/>
      <c r="C835" s="21"/>
      <c r="D835" s="29"/>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c r="A836" s="21"/>
      <c r="B836" s="21"/>
      <c r="C836" s="21"/>
      <c r="D836" s="29"/>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c r="A837" s="21"/>
      <c r="B837" s="21"/>
      <c r="C837" s="21"/>
      <c r="D837" s="29"/>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c r="A838" s="21"/>
      <c r="B838" s="21"/>
      <c r="C838" s="21"/>
      <c r="D838" s="29"/>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c r="A839" s="21"/>
      <c r="B839" s="21"/>
      <c r="C839" s="21"/>
      <c r="D839" s="29"/>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c r="A840" s="21"/>
      <c r="B840" s="21"/>
      <c r="C840" s="21"/>
      <c r="D840" s="29"/>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c r="A841" s="21"/>
      <c r="B841" s="21"/>
      <c r="C841" s="21"/>
      <c r="D841" s="29"/>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c r="A842" s="21"/>
      <c r="B842" s="21"/>
      <c r="C842" s="21"/>
      <c r="D842" s="29"/>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c r="A843" s="21"/>
      <c r="B843" s="21"/>
      <c r="C843" s="21"/>
      <c r="D843" s="29"/>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c r="A844" s="21"/>
      <c r="B844" s="21"/>
      <c r="C844" s="21"/>
      <c r="D844" s="29"/>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c r="A845" s="21"/>
      <c r="B845" s="21"/>
      <c r="C845" s="21"/>
      <c r="D845" s="29"/>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c r="A846" s="21"/>
      <c r="B846" s="21"/>
      <c r="C846" s="21"/>
      <c r="D846" s="29"/>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c r="A847" s="21"/>
      <c r="B847" s="21"/>
      <c r="C847" s="21"/>
      <c r="D847" s="29"/>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c r="A848" s="21"/>
      <c r="B848" s="21"/>
      <c r="C848" s="21"/>
      <c r="D848" s="29"/>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c r="A849" s="21"/>
      <c r="B849" s="21"/>
      <c r="C849" s="21"/>
      <c r="D849" s="29"/>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c r="A850" s="21"/>
      <c r="B850" s="21"/>
      <c r="C850" s="21"/>
      <c r="D850" s="29"/>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c r="A851" s="21"/>
      <c r="B851" s="21"/>
      <c r="C851" s="21"/>
      <c r="D851" s="29"/>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c r="A852" s="21"/>
      <c r="B852" s="21"/>
      <c r="C852" s="21"/>
      <c r="D852" s="29"/>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c r="A853" s="21"/>
      <c r="B853" s="21"/>
      <c r="C853" s="21"/>
      <c r="D853" s="29"/>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c r="A854" s="21"/>
      <c r="B854" s="21"/>
      <c r="C854" s="21"/>
      <c r="D854" s="29"/>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c r="A855" s="21"/>
      <c r="B855" s="21"/>
      <c r="C855" s="21"/>
      <c r="D855" s="29"/>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c r="A856" s="21"/>
      <c r="B856" s="21"/>
      <c r="C856" s="21"/>
      <c r="D856" s="29"/>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c r="A857" s="21"/>
      <c r="B857" s="21"/>
      <c r="C857" s="21"/>
      <c r="D857" s="29"/>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c r="A858" s="21"/>
      <c r="B858" s="21"/>
      <c r="C858" s="21"/>
      <c r="D858" s="29"/>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c r="A859" s="21"/>
      <c r="B859" s="21"/>
      <c r="C859" s="21"/>
      <c r="D859" s="29"/>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c r="A860" s="21"/>
      <c r="B860" s="21"/>
      <c r="C860" s="21"/>
      <c r="D860" s="29"/>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c r="A861" s="21"/>
      <c r="B861" s="21"/>
      <c r="C861" s="21"/>
      <c r="D861" s="29"/>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c r="A862" s="21"/>
      <c r="B862" s="21"/>
      <c r="C862" s="21"/>
      <c r="D862" s="29"/>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c r="A863" s="21"/>
      <c r="B863" s="21"/>
      <c r="C863" s="21"/>
      <c r="D863" s="29"/>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c r="A864" s="21"/>
      <c r="B864" s="21"/>
      <c r="C864" s="21"/>
      <c r="D864" s="29"/>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c r="A865" s="21"/>
      <c r="B865" s="21"/>
      <c r="C865" s="21"/>
      <c r="D865" s="29"/>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c r="A866" s="21"/>
      <c r="B866" s="21"/>
      <c r="C866" s="21"/>
      <c r="D866" s="29"/>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c r="A867" s="21"/>
      <c r="B867" s="21"/>
      <c r="C867" s="21"/>
      <c r="D867" s="29"/>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c r="A868" s="21"/>
      <c r="B868" s="21"/>
      <c r="C868" s="21"/>
      <c r="D868" s="29"/>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c r="A869" s="21"/>
      <c r="B869" s="21"/>
      <c r="C869" s="21"/>
      <c r="D869" s="29"/>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c r="A870" s="21"/>
      <c r="B870" s="21"/>
      <c r="C870" s="21"/>
      <c r="D870" s="29"/>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c r="A871" s="21"/>
      <c r="B871" s="21"/>
      <c r="C871" s="21"/>
      <c r="D871" s="29"/>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c r="A872" s="21"/>
      <c r="B872" s="21"/>
      <c r="C872" s="21"/>
      <c r="D872" s="29"/>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c r="A873" s="21"/>
      <c r="B873" s="21"/>
      <c r="C873" s="21"/>
      <c r="D873" s="29"/>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c r="A874" s="21"/>
      <c r="B874" s="21"/>
      <c r="C874" s="21"/>
      <c r="D874" s="29"/>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c r="A875" s="21"/>
      <c r="B875" s="21"/>
      <c r="C875" s="21"/>
      <c r="D875" s="29"/>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c r="A876" s="21"/>
      <c r="B876" s="21"/>
      <c r="C876" s="21"/>
      <c r="D876" s="29"/>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c r="A877" s="21"/>
      <c r="B877" s="21"/>
      <c r="C877" s="21"/>
      <c r="D877" s="29"/>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c r="A878" s="21"/>
      <c r="B878" s="21"/>
      <c r="C878" s="21"/>
      <c r="D878" s="29"/>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c r="A879" s="21"/>
      <c r="B879" s="21"/>
      <c r="C879" s="21"/>
      <c r="D879" s="29"/>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c r="A880" s="21"/>
      <c r="B880" s="21"/>
      <c r="C880" s="21"/>
      <c r="D880" s="29"/>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c r="A881" s="21"/>
      <c r="B881" s="21"/>
      <c r="C881" s="21"/>
      <c r="D881" s="29"/>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c r="A882" s="21"/>
      <c r="B882" s="21"/>
      <c r="C882" s="21"/>
      <c r="D882" s="29"/>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c r="A883" s="21"/>
      <c r="B883" s="21"/>
      <c r="C883" s="21"/>
      <c r="D883" s="29"/>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c r="A884" s="21"/>
      <c r="B884" s="21"/>
      <c r="C884" s="21"/>
      <c r="D884" s="29"/>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c r="A885" s="21"/>
      <c r="B885" s="21"/>
      <c r="C885" s="21"/>
      <c r="D885" s="29"/>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c r="A886" s="21"/>
      <c r="B886" s="21"/>
      <c r="C886" s="21"/>
      <c r="D886" s="29"/>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c r="A887" s="21"/>
      <c r="B887" s="21"/>
      <c r="C887" s="21"/>
      <c r="D887" s="29"/>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c r="A888" s="21"/>
      <c r="B888" s="21"/>
      <c r="C888" s="21"/>
      <c r="D888" s="29"/>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c r="A889" s="21"/>
      <c r="B889" s="21"/>
      <c r="C889" s="21"/>
      <c r="D889" s="29"/>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c r="A890" s="21"/>
      <c r="B890" s="21"/>
      <c r="C890" s="21"/>
      <c r="D890" s="29"/>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c r="A891" s="21"/>
      <c r="B891" s="21"/>
      <c r="C891" s="21"/>
      <c r="D891" s="29"/>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c r="A892" s="21"/>
      <c r="B892" s="21"/>
      <c r="C892" s="21"/>
      <c r="D892" s="29"/>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c r="A893" s="21"/>
      <c r="B893" s="21"/>
      <c r="C893" s="21"/>
      <c r="D893" s="29"/>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c r="A894" s="21"/>
      <c r="B894" s="21"/>
      <c r="C894" s="21"/>
      <c r="D894" s="29"/>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c r="A895" s="21"/>
      <c r="B895" s="21"/>
      <c r="C895" s="21"/>
      <c r="D895" s="29"/>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c r="A896" s="21"/>
      <c r="B896" s="21"/>
      <c r="C896" s="21"/>
      <c r="D896" s="29"/>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c r="A897" s="21"/>
      <c r="B897" s="21"/>
      <c r="C897" s="21"/>
      <c r="D897" s="29"/>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c r="A898" s="21"/>
      <c r="B898" s="21"/>
      <c r="C898" s="21"/>
      <c r="D898" s="29"/>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c r="A899" s="21"/>
      <c r="B899" s="21"/>
      <c r="C899" s="21"/>
      <c r="D899" s="29"/>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c r="A900" s="21"/>
      <c r="B900" s="21"/>
      <c r="C900" s="21"/>
      <c r="D900" s="29"/>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c r="A901" s="21"/>
      <c r="B901" s="21"/>
      <c r="C901" s="21"/>
      <c r="D901" s="29"/>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c r="A902" s="21"/>
      <c r="B902" s="21"/>
      <c r="C902" s="21"/>
      <c r="D902" s="29"/>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c r="A903" s="21"/>
      <c r="B903" s="21"/>
      <c r="C903" s="21"/>
      <c r="D903" s="29"/>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c r="A904" s="21"/>
      <c r="B904" s="21"/>
      <c r="C904" s="21"/>
      <c r="D904" s="29"/>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c r="A905" s="21"/>
      <c r="B905" s="21"/>
      <c r="C905" s="21"/>
      <c r="D905" s="29"/>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c r="A906" s="21"/>
      <c r="B906" s="21"/>
      <c r="C906" s="21"/>
      <c r="D906" s="29"/>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c r="A907" s="21"/>
      <c r="B907" s="21"/>
      <c r="C907" s="21"/>
      <c r="D907" s="29"/>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c r="A908" s="21"/>
      <c r="B908" s="21"/>
      <c r="C908" s="21"/>
      <c r="D908" s="29"/>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c r="A909" s="21"/>
      <c r="B909" s="21"/>
      <c r="C909" s="21"/>
      <c r="D909" s="29"/>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c r="A910" s="21"/>
      <c r="B910" s="21"/>
      <c r="C910" s="21"/>
      <c r="D910" s="29"/>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c r="A911" s="21"/>
      <c r="B911" s="21"/>
      <c r="C911" s="21"/>
      <c r="D911" s="29"/>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c r="A912" s="21"/>
      <c r="B912" s="21"/>
      <c r="C912" s="21"/>
      <c r="D912" s="29"/>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c r="A913" s="21"/>
      <c r="B913" s="21"/>
      <c r="C913" s="21"/>
      <c r="D913" s="29"/>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c r="A914" s="21"/>
      <c r="B914" s="21"/>
      <c r="C914" s="21"/>
      <c r="D914" s="29"/>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c r="A915" s="21"/>
      <c r="B915" s="21"/>
      <c r="C915" s="21"/>
      <c r="D915" s="29"/>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c r="A916" s="21"/>
      <c r="B916" s="21"/>
      <c r="C916" s="21"/>
      <c r="D916" s="29"/>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c r="A917" s="21"/>
      <c r="B917" s="21"/>
      <c r="C917" s="21"/>
      <c r="D917" s="29"/>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c r="A918" s="21"/>
      <c r="B918" s="21"/>
      <c r="C918" s="21"/>
      <c r="D918" s="29"/>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c r="A919" s="21"/>
      <c r="B919" s="21"/>
      <c r="C919" s="21"/>
      <c r="D919" s="29"/>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c r="A920" s="21"/>
      <c r="B920" s="21"/>
      <c r="C920" s="21"/>
      <c r="D920" s="29"/>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c r="A921" s="21"/>
      <c r="B921" s="21"/>
      <c r="C921" s="21"/>
      <c r="D921" s="29"/>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c r="A922" s="21"/>
      <c r="B922" s="21"/>
      <c r="C922" s="21"/>
      <c r="D922" s="29"/>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c r="A923" s="21"/>
      <c r="B923" s="21"/>
      <c r="C923" s="21"/>
      <c r="D923" s="29"/>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c r="A924" s="21"/>
      <c r="B924" s="21"/>
      <c r="C924" s="21"/>
      <c r="D924" s="29"/>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c r="A925" s="21"/>
      <c r="B925" s="21"/>
      <c r="C925" s="21"/>
      <c r="D925" s="29"/>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c r="A926" s="21"/>
      <c r="B926" s="21"/>
      <c r="C926" s="21"/>
      <c r="D926" s="29"/>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c r="A927" s="21"/>
      <c r="B927" s="21"/>
      <c r="C927" s="21"/>
      <c r="D927" s="29"/>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c r="A928" s="21"/>
      <c r="B928" s="21"/>
      <c r="C928" s="21"/>
      <c r="D928" s="29"/>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c r="A929" s="21"/>
      <c r="B929" s="21"/>
      <c r="C929" s="21"/>
      <c r="D929" s="29"/>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c r="A930" s="21"/>
      <c r="B930" s="21"/>
      <c r="C930" s="21"/>
      <c r="D930" s="29"/>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c r="A931" s="21"/>
      <c r="B931" s="21"/>
      <c r="C931" s="21"/>
      <c r="D931" s="29"/>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c r="A932" s="21"/>
      <c r="B932" s="21"/>
      <c r="C932" s="21"/>
      <c r="D932" s="29"/>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c r="A933" s="21"/>
      <c r="B933" s="21"/>
      <c r="C933" s="21"/>
      <c r="D933" s="29"/>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c r="A934" s="21"/>
      <c r="B934" s="21"/>
      <c r="C934" s="21"/>
      <c r="D934" s="29"/>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c r="A935" s="21"/>
      <c r="B935" s="21"/>
      <c r="C935" s="21"/>
      <c r="D935" s="29"/>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c r="A936" s="21"/>
      <c r="B936" s="21"/>
      <c r="C936" s="21"/>
      <c r="D936" s="29"/>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c r="A937" s="21"/>
      <c r="B937" s="21"/>
      <c r="C937" s="21"/>
      <c r="D937" s="29"/>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c r="A938" s="21"/>
      <c r="B938" s="21"/>
      <c r="C938" s="21"/>
      <c r="D938" s="29"/>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c r="A939" s="21"/>
      <c r="B939" s="21"/>
      <c r="C939" s="21"/>
      <c r="D939" s="29"/>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c r="A940" s="21"/>
      <c r="B940" s="21"/>
      <c r="C940" s="21"/>
      <c r="D940" s="29"/>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c r="A941" s="21"/>
      <c r="B941" s="21"/>
      <c r="C941" s="21"/>
      <c r="D941" s="29"/>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c r="A942" s="21"/>
      <c r="B942" s="21"/>
      <c r="C942" s="21"/>
      <c r="D942" s="29"/>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c r="A943" s="21"/>
      <c r="B943" s="21"/>
      <c r="C943" s="21"/>
      <c r="D943" s="29"/>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c r="A944" s="21"/>
      <c r="B944" s="21"/>
      <c r="C944" s="21"/>
      <c r="D944" s="29"/>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c r="A945" s="21"/>
      <c r="B945" s="21"/>
      <c r="C945" s="21"/>
      <c r="D945" s="29"/>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c r="A946" s="21"/>
      <c r="B946" s="21"/>
      <c r="C946" s="21"/>
      <c r="D946" s="29"/>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c r="A947" s="21"/>
      <c r="B947" s="21"/>
      <c r="C947" s="21"/>
      <c r="D947" s="29"/>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c r="A948" s="21"/>
      <c r="B948" s="21"/>
      <c r="C948" s="21"/>
      <c r="D948" s="29"/>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c r="A949" s="21"/>
      <c r="B949" s="21"/>
      <c r="C949" s="21"/>
      <c r="D949" s="29"/>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c r="A950" s="21"/>
      <c r="B950" s="21"/>
      <c r="C950" s="21"/>
      <c r="D950" s="29"/>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c r="A951" s="21"/>
      <c r="B951" s="21"/>
      <c r="C951" s="21"/>
      <c r="D951" s="29"/>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c r="A952" s="21"/>
      <c r="B952" s="21"/>
      <c r="C952" s="21"/>
      <c r="D952" s="29"/>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c r="A953" s="21"/>
      <c r="B953" s="21"/>
      <c r="C953" s="21"/>
      <c r="D953" s="29"/>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c r="A954" s="21"/>
      <c r="B954" s="21"/>
      <c r="C954" s="21"/>
      <c r="D954" s="29"/>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c r="A955" s="21"/>
      <c r="B955" s="21"/>
      <c r="C955" s="21"/>
      <c r="D955" s="29"/>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c r="A956" s="21"/>
      <c r="B956" s="21"/>
      <c r="C956" s="21"/>
      <c r="D956" s="29"/>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c r="A957" s="21"/>
      <c r="B957" s="21"/>
      <c r="C957" s="21"/>
      <c r="D957" s="29"/>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c r="A958" s="21"/>
      <c r="B958" s="21"/>
      <c r="C958" s="21"/>
      <c r="D958" s="29"/>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c r="A959" s="21"/>
      <c r="B959" s="21"/>
      <c r="C959" s="21"/>
      <c r="D959" s="29"/>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c r="A960" s="21"/>
      <c r="B960" s="21"/>
      <c r="C960" s="21"/>
      <c r="D960" s="29"/>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c r="A961" s="21"/>
      <c r="B961" s="21"/>
      <c r="C961" s="21"/>
      <c r="D961" s="29"/>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c r="A962" s="21"/>
      <c r="B962" s="21"/>
      <c r="C962" s="21"/>
      <c r="D962" s="29"/>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c r="A963" s="21"/>
      <c r="B963" s="21"/>
      <c r="C963" s="21"/>
      <c r="D963" s="29"/>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c r="A964" s="21"/>
      <c r="B964" s="21"/>
      <c r="C964" s="21"/>
      <c r="D964" s="29"/>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c r="A965" s="21"/>
      <c r="B965" s="21"/>
      <c r="C965" s="21"/>
      <c r="D965" s="29"/>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c r="A966" s="21"/>
      <c r="B966" s="21"/>
      <c r="C966" s="21"/>
      <c r="D966" s="29"/>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c r="A967" s="21"/>
      <c r="B967" s="21"/>
      <c r="C967" s="21"/>
      <c r="D967" s="29"/>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c r="A968" s="21"/>
      <c r="B968" s="21"/>
      <c r="C968" s="21"/>
      <c r="D968" s="29"/>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c r="A969" s="21"/>
      <c r="B969" s="21"/>
      <c r="C969" s="21"/>
      <c r="D969" s="29"/>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c r="A970" s="21"/>
      <c r="B970" s="21"/>
      <c r="C970" s="21"/>
      <c r="D970" s="29"/>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c r="A971" s="21"/>
      <c r="B971" s="21"/>
      <c r="C971" s="21"/>
      <c r="D971" s="29"/>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c r="A972" s="21"/>
      <c r="B972" s="21"/>
      <c r="C972" s="21"/>
      <c r="D972" s="29"/>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c r="A973" s="21"/>
      <c r="B973" s="21"/>
      <c r="C973" s="21"/>
      <c r="D973" s="29"/>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c r="A974" s="21"/>
      <c r="B974" s="21"/>
      <c r="C974" s="21"/>
      <c r="D974" s="29"/>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c r="A975" s="21"/>
      <c r="B975" s="21"/>
      <c r="C975" s="21"/>
      <c r="D975" s="29"/>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c r="A976" s="21"/>
      <c r="B976" s="21"/>
      <c r="C976" s="21"/>
      <c r="D976" s="29"/>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c r="A977" s="21"/>
      <c r="B977" s="21"/>
      <c r="C977" s="21"/>
      <c r="D977" s="29"/>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c r="A978" s="21"/>
      <c r="B978" s="21"/>
      <c r="C978" s="21"/>
      <c r="D978" s="29"/>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c r="A979" s="21"/>
      <c r="B979" s="21"/>
      <c r="C979" s="21"/>
      <c r="D979" s="29"/>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c r="A980" s="21"/>
      <c r="B980" s="21"/>
      <c r="C980" s="21"/>
      <c r="D980" s="29"/>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c r="A981" s="21"/>
      <c r="B981" s="21"/>
      <c r="C981" s="21"/>
      <c r="D981" s="29"/>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c r="A982" s="21"/>
      <c r="B982" s="21"/>
      <c r="C982" s="21"/>
      <c r="D982" s="29"/>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c r="A983" s="21"/>
      <c r="B983" s="21"/>
      <c r="C983" s="21"/>
      <c r="D983" s="29"/>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c r="A984" s="21"/>
      <c r="B984" s="21"/>
      <c r="C984" s="21"/>
      <c r="D984" s="29"/>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c r="A985" s="21"/>
      <c r="B985" s="21"/>
      <c r="C985" s="21"/>
      <c r="D985" s="29"/>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c r="A986" s="21"/>
      <c r="B986" s="21"/>
      <c r="C986" s="21"/>
      <c r="D986" s="29"/>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row>
  </sheetData>
  <drawing r:id="rId1"/>
  <tableParts count="1">
    <tablePart r:id="rId3"/>
  </tableParts>
</worksheet>
</file>