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JR Neon" sheetId="1" r:id="rId5"/>
  </sheets>
  <definedNames/>
  <calcPr/>
</workbook>
</file>

<file path=xl/sharedStrings.xml><?xml version="1.0" encoding="utf-8"?>
<sst xmlns="http://schemas.openxmlformats.org/spreadsheetml/2006/main" count="610" uniqueCount="293">
  <si>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</si>
  <si>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</si>
  <si>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</si>
  <si>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</si>
  <si>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</si>
  <si>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</si>
  <si>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</si>
  <si>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</si>
  <si>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</si>
  <si>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</si>
  <si>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</si>
  <si>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</si>
  <si>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</si>
  <si>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</si>
  <si>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</si>
  <si>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</si>
  <si>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</si>
  <si>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</si>
  <si>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</si>
  <si>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</si>
  <si>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</si>
  <si>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</si>
  <si>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</si>
  <si>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</si>
  <si>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</si>
  <si>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Stocked Item</t>
  </si>
  <si>
    <t>Meta Keywords</t>
  </si>
  <si>
    <t>COB001</t>
  </si>
  <si>
    <t>COB</t>
  </si>
  <si>
    <t>simple</t>
  </si>
  <si>
    <t>draft</t>
  </si>
  <si>
    <t>Illuminate your architectural visions with the Top Bend IP69, a premium linear lighting solution designed to bring seamless radiance to any space. Engineered for incredible flexibility and breathtaking visual impact, this top-bending neon-style light curves effortlessly to accentuate contours and create striking design statements. Whether you are transforming a high-end commercial venue or adding sophisticated atmosphere to an outdoor landscape, its pristine, uniform glow delivers an unmatched aesthetic elegance. Built to withstand the elements while maintaining its flawless brilliance, it is the ultimate choice for designers who refuse to compromise on beauty, adaptability, and style.</t>
  </si>
  <si>
    <t>Bring seamless radiance to your space with Top Bend IP69, a premium linear light designed to effortlessly curve and accentuate contours with a flawless, uniform glow.</t>
  </si>
  <si>
    <t>5W/m | 2700K | 24V | IP20 | 8mm (W) | Free Cut</t>
  </si>
  <si>
    <t>Power Consumption Rate | CCT | Voltage | IP Rating | Strip Width | Cut Interval</t>
  </si>
  <si>
    <t>{ "Power Consumption Rate": "5W/m", "CCT": "2700K", "Voltage": "24V", "IP Rating": "IP20", "Strip Width": "8mm (W)", "Cut Interval": "Free Cut" }</t>
  </si>
  <si>
    <t>{ "Power Consumption Rate": [ "5W/m", "10W/m", "15W/m" ], "CCT": [ "2700K", "3000K", "4000K", "6000K" ], "Voltage": "24V", "IP Rating": [ "IP20", "IP65 (Nano-Coated)" ], "Strip Width": "8mm (W)", "Cut Interval": "Free Cut" }</t>
  </si>
  <si>
    <t>{
"Options": {
"Power Consumption Rate": [
{"name": "5W/m", "id": "101"},
{"name": "10W/m", "id": "102"},
{"name": "15W/m", "id": "103"}
],
"CCT": [
{"name": "2700K", "id": "104"},
{"name": "3000K", "id": "105"},
{"name": "4000K", "id": "106"},
{"name": "6000K", "id": "107"}
],
"Voltage": [
{"name": "24V", "id": "108"}
],
"IP Rating": [
{"name": "IP20", "id": "109"},
{"name": "IP65 (Nano-Coated)", "id": "110"}
],
"Strip Width": [
{"name": "8mm (W)", "id": "111"}
],
"Cut Interval": [
{"name": "Free Cut", "id": "112"}
]
},
"Constraints": {}
}</t>
  </si>
  <si>
    <t>{
"Power Consumption Rate": [
{"name": "5W/m", "id": "101"},
{"name": "10W/m", "id": "102"},
{"name": "15W/m", "id": "103"}
],
"CCT": [
{"name": "2700K", "id": "104"},
{"name": "3000K", "id": "105"},
{"name": "4000K", "id": "106"},
{"name": "6000K", "id": "107"}
],
"Voltage": [
{"name": "24V", "id": "108"}
],
"IP Rating": [
{"name": "IP20", "id": "109"},
{"name": "IP65 (Nano-Coated)", "id": "110"}
],
"Strip Width": [
{"name": "8mm (W)", "id": "111"}
],
"Cut Interval": [
{"name": "Free Cut", "id": "112"}
]
}</t>
  </si>
  <si>
    <t>[]</t>
  </si>
  <si>
    <t>CHINA - Colorsled</t>
  </si>
  <si>
    <t>CF300-24V-8mm</t>
  </si>
  <si>
    <t>No</t>
  </si>
  <si>
    <t>5W/m | 3000K | 24V | IP20 | 8mm (W) | Free Cut</t>
  </si>
  <si>
    <t>{ "Power Consumption Rate": "5W/m", "CCT": "3000K", "Voltage": "24V", "IP Rating": "IP20", "Strip Width": "8mm (W)", "Cut Interval": "Free Cut" }</t>
  </si>
  <si>
    <t>5W/m | 4000K | 24V | IP20 | 8mm (W) | Free Cut</t>
  </si>
  <si>
    <t>{"Power Consumption Rate": "5W/m", "CCT": "4000K", "Voltage": "24V", "IP Rating": "IP20", "Strip Width": "8mm (W)", "Cut Interval": "Free Cut"}</t>
  </si>
  <si>
    <t>5W/m | 6000K | 24V | IP20 | 8mm (W) | Free Cut</t>
  </si>
  <si>
    <t>{ "Power Consumption Rate": "5W/m", "CCT": "6000K", "Voltage": "24V", "IP Rating": "IP20", "Strip Width": "8mm (W)", "Cut Interval": "Free Cut" }</t>
  </si>
  <si>
    <t>5W/m | 2700K | 24V | IP65 (Nano-Coated) | 8mm (W) | Free Cut</t>
  </si>
  <si>
    <t>{ "Power Consumption Rate": "5W/m", "CCT": "2700K", "Voltage": "24V", "IP Rating": "IP65 (Nano-Coated)", "Strip Width": "8mm (W)", "Cut Interval": "Free Cut" }</t>
  </si>
  <si>
    <t>5W/m | 3000K | 24V | IP65 (Nano-Coated) | 8mm (W) | Free Cut</t>
  </si>
  <si>
    <t>{ "Power Consumption Rate": "5W/m", "CCT": "3000K", "Voltage": "24V", "IP Rating": "IP65 (Nano-Coated)", "Strip Width": "8mm (W)", "Cut Interval": "Free Cut" }</t>
  </si>
  <si>
    <t>5W/m | 4000K | 24V | IP65 (Nano-Coated) | 8mm (W) | Free Cut</t>
  </si>
  <si>
    <t>{ "Power Consumption Rate": "5W/m", "CCT": "4000K", "Voltage": "24V", "IP Rating": "IP65 (Nano-Coated)", "Strip Width": "8mm (W)", "Cut Interval": "Free Cut" }</t>
  </si>
  <si>
    <t>5W/m | 6000K | 24V | IP65 (Nano-Coated) | 8mm (W) | Free Cut</t>
  </si>
  <si>
    <t>{ "Power Consumption Rate": "5W/m", "CCT": "6000K", "Voltage": "24V", "IP Rating": "IP65 (Nano-Coated)", "Strip Width": "8mm (W)", "Cut Interval": "Free Cut" }</t>
  </si>
  <si>
    <t>10W/m | 2700K | 24V | IP20 | 8mm (W) | Free Cut</t>
  </si>
  <si>
    <t>{ "Power Consumption Rate": "10W/m", "CCT": "2700K", "Voltage": "24V", "IP Rating": "IP20", "Strip Width": "8mm (W)", "Cut Interval": "Free Cut" }</t>
  </si>
  <si>
    <t>CF400-24V-8mm</t>
  </si>
  <si>
    <t>Yes</t>
  </si>
  <si>
    <t>10W/m | 3000K | 24V | IP20 | 8mm (W) | Free Cut</t>
  </si>
  <si>
    <t>{"Power Consumption Rate": "10W/m", "CCT": "3000K", "Voltage": "24V", "IP Rating": "IP20", "Strip Width": "8mm (W)", "Cut Interval": "Free Cut"}</t>
  </si>
  <si>
    <t>10W/m | 4000K | 24V | IP20 | 8mm (W) | Free Cut</t>
  </si>
  <si>
    <t>{ "Power Consumption Rate": "10W/m", "CCT": "4000K", "Voltage": "24V", "IP Rating": "IP20", "Strip Width": "8mm (W)", "Cut Interval": "Free Cut" }</t>
  </si>
  <si>
    <t>10W/m | 6000K | 24V | IP20 | 8mm (W) | Free Cut</t>
  </si>
  <si>
    <t>{ "Power Consumption Rate": "10W/m", "CCT": "6000K", "Voltage": "24V", "IP Rating": "IP20", "Strip Width": "8mm (W)", "Cut Interval": "Free Cut" }</t>
  </si>
  <si>
    <t>10W/m | 2700K | 24V | IP65 (Nano-Coated) | 8mm (W) | Free Cut</t>
  </si>
  <si>
    <t>{ "Power Consumption Rate": "10W/m", "CCT": "2700K", "Voltage": "24V", "IP Rating": "IP65 (Nano-Coated)", "Strip Width": "8mm (W)", "Cut Interval": "Free Cut" }</t>
  </si>
  <si>
    <t>10W/m | 3000K | 24V | IP65 (Nano-Coated) | 8mm (W) | Free Cut</t>
  </si>
  <si>
    <t>{ "Power Consumption Rate": "10W/m", "CCT": "3000K", "Voltage": "24V", "IP Rating": "IP65 (Nano-Coated)", "Strip Width": "8mm (W)", "Cut Interval": "Free Cut" }</t>
  </si>
  <si>
    <t>10W/m | 4000K | 24V | IP65 (Nano-Coated) | 8mm (W) | Free Cut</t>
  </si>
  <si>
    <t>{ "Power Consumption Rate": "10W/m", "CCT": "4000K", "Voltage": "24V", "IP Rating": "IP65 (Nano-Coated)", "Strip Width": "8mm (W)", "Cut Interval": "Free Cut" }</t>
  </si>
  <si>
    <t>10W/m | 6000K | 24V | IP65 (Nano-Coated) | 8mm (W) | Free Cut</t>
  </si>
  <si>
    <t>{ "Power Consumption Rate": "10W/m", "CCT": "6000K", "Voltage": "24V", "IP Rating": "IP65 (Nano-Coated)", "Strip Width": "8mm (W)", "Cut Interval": "Free Cut" }</t>
  </si>
  <si>
    <t>15W/m | 2700K | 24V | IP20 | 8mm (W) | Free Cut</t>
  </si>
  <si>
    <t>{ "Power Consumption Rate": "15W/m", "CCT": "2700K", "Voltage": "24V", "IP Rating": "IP20", "Strip Width": "8mm (W)", "Cut Interval": "Free Cut" }</t>
  </si>
  <si>
    <t>CF500-24V-8mm</t>
  </si>
  <si>
    <t>15W/m | 3000K | 24V | IP20 | 8mm (W) | Free Cut</t>
  </si>
  <si>
    <t>{ "Power Consumption Rate": "15W/m", "CCT": "3000K", "Voltage": "24V", "IP Rating": "IP20", "Strip Width": "8mm (W)", "Cut Interval": "Free Cut" }</t>
  </si>
  <si>
    <t>15W/m | 4000K | 24V | IP20 | 8mm (W) | Free Cut</t>
  </si>
  <si>
    <t>{ "Power Consumption Rate": "15W/m", "CCT": "4000K", "Voltage": "24V", "IP Rating": "IP20", "Strip Width": "8mm (W)", "Cut Interval": "Free Cut" }</t>
  </si>
  <si>
    <t>15W/m | 6000K | 24V | IP20 | 8mm (W) | Free Cut</t>
  </si>
  <si>
    <t>{ "Power Consumption Rate": "15W/m", "CCT": "6000K", "Voltage": "24V", "IP Rating": "IP20", "Strip Width": "8mm (W)", "Cut Interval": "Free Cut" }</t>
  </si>
  <si>
    <t>15W/m | 2700K | 24V | IP65 (Nano-Coated) | 8mm (W) | Free Cut</t>
  </si>
  <si>
    <t>{ "Power Consumption Rate": "15W/m", "CCT": "2700K", "Voltage": "24V", "IP Rating": "IP65 (Nano-Coated)", "Strip Width": "8mm (W)", "Cut Interval": "Free Cut" }</t>
  </si>
  <si>
    <t>15W/m | 3000K | 24V | IP65 (Nano-Coated) | 8mm (W) | Free Cut</t>
  </si>
  <si>
    <t>{ "Power Consumption Rate": "15W/m", "CCT": "3000K", "Voltage": "24V", "IP Rating": "IP65 (Nano-Coated)", "Strip Width": "8mm (W)", "Cut Interval": "Free Cut" }</t>
  </si>
  <si>
    <t>15W/m | 4000K | 24V | IP65 (Nano-Coated) | 8mm (W) | Free Cut</t>
  </si>
  <si>
    <t>{ "Power Consumption Rate": "15W/m", "CCT": "4000K", "Voltage": "24V", "IP Rating": "IP65 (Nano-Coated)", "Strip Width": "8mm (W)", "Cut Interval": "Free Cut" }</t>
  </si>
  <si>
    <t>15W/m | 6000K | 24V | IP65 (Nano-Coated) | 8mm (W) | Free Cut</t>
  </si>
  <si>
    <t>{ "Power Consumption Rate": "15W/m", "CCT": "6000K", "Voltage": "24V", "IP Rating": "IP65 (Nano-Coated)", "Strip Width": "8mm (W)", "Cut Interval": "Free Cut" }</t>
  </si>
  <si>
    <t>COBM001</t>
  </si>
  <si>
    <t>Mini COB</t>
  </si>
  <si>
    <t>Elevate your interior artistry with the Mini COB, a masterclass in minimalist linear lighting designed to infuse any room with a seamless, enchanting glow. Engineered to curve gracefully around the most delicate architectural details, this ultra-sleek light source disappears into your design while making a profound visual impact. Whether you are crafting a sophisticated mood in a contemporary lounge or adding subtle, luxurious ambiance to a refined workspace, its flawless brilliance accentuates contours effortlessly. It is the perfect choice for visionary designers who wish to transform ordinary spaces into breathtaking atmospheres of pure, unadulterated style.</t>
  </si>
  <si>
    <t>Infuse your space with a seamless, enchanting glow using Mini COB. This ultra-sleek light source curves gracefully to elevate your design with flawless, luxurious brilliance.</t>
  </si>
  <si>
    <t>10W/m | 2700K | 24V | IP20 | 4mm (W)</t>
  </si>
  <si>
    <t>Power Consumption Rate | CCT | Voltage | IP Rating | Strip Width</t>
  </si>
  <si>
    <t>{ "Power Consumption Rate": "10W/m", "CCT": "2700K", "Voltage": "24V", "IP Rating": "IP20", "Strip Width": "4mm (W)" }</t>
  </si>
  <si>
    <t>{ "Power Consumption Rate": "10W/m", "CCT": [ "2700K", "3000K", "4000K" ], "Voltage": "24V", "IP Rating": "IP20", "Strip Width": "4mm (W)" }</t>
  </si>
  <si>
    <t>{"Options": {"Power Consumption Rate": [{"name": "10W/m", "id": "101"}], "CCT": [{"name": "2700K", "id": "102"}, {"name": "3000K", "id": "103"}, {"name": "4000K", "id": "104"}], "Voltage": [{"name": "24V", "id": "105"}], "IP Rating": [{"name": "IP20", "id": "106"}], "Strip Width": [{"name": "4mm (W)", "id": "107"}]}, "Constraints": {}}</t>
  </si>
  <si>
    <t>{"Power Consumption Rate": [{"name": "10W/m", "id": "101"}], "CCT": [{"name": "2700K", "id": "102"}, {"name": "3000K", "id": "103"}, {"name": "4000K", "id": "104"}], "Voltage": [{"name": "24V", "id": "105"}], "IP Rating": [{"name": "IP20", "id": "106"}], "Strip Width": [{"name": "4mm (W)", "id": "107"}]}</t>
  </si>
  <si>
    <t>DP7-24V-4mm</t>
  </si>
  <si>
    <t>10W/m | 3000K | 24V | IP20 | 4mm (W)</t>
  </si>
  <si>
    <t>{ "Power Consumption Rate": "10W/m", "CCT": "3000K", "Voltage": "24V", "IP Rating": "IP20", "Strip Width": "4mm (W)" }</t>
  </si>
  <si>
    <t>10W/m | 4000K | 24V | IP20 | 4mm (W)</t>
  </si>
  <si>
    <t>{ "Power Consumption Rate": "10W/m", "CCT": "4000K", "Voltage": "24V", "IP Rating": "IP20", "Strip Width": "4mm (W)" }</t>
  </si>
  <si>
    <t>COB-15W-RGB-IP20</t>
  </si>
  <si>
    <t>Colour COB</t>
  </si>
  <si>
    <t>Elevate your architectural and interior designs with this premium linear lighting solution, engineered to infuse any environment with a vibrant, sophisticated glow. Crafted for seamless flexibility and unforgettable visual allure, it effortlessly curves to accentuate contours, define borders, and turn artistic visions into striking design realities. Perfect for enhancing high-end commercial spaces or bringing an ultimate touch of luxury to bespoke residential atmospheres, its flawlessly uniform brilliance offers an unmatched aesthetic elegance. Combining ultimate adaptability with timeless elegance, this stunning lighting choice is tailor-made for designers who want to transform spaces with captivating color and uncompromising style.</t>
  </si>
  <si>
    <t>Transform your space with a vibrant, sophisticated glow. Crafted for seamless flexibility, it brings captivating color and luxury to any design reality.</t>
  </si>
  <si>
    <t>COB Strip | 15W/m | RGB | 24V | IP20 | 10mm (W)</t>
  </si>
  <si>
    <t>Power Consumption Rate | Light Color | Voltage | IP Rating | Strip Width</t>
  </si>
  <si>
    <t>{ "Power Consumption Rate": "15W/m", "Light Color": "RGB", "Voltage": "24V", "IP Rating": "IP20", "Strip Width": "10mm (W)" }</t>
  </si>
  <si>
    <t>{ "Power Consumption Rate": [ "15W/m", "17W/m", "18W/m" ], "Light Color": [ "RGB", "RGB+TW", "RGBW", "Tuneable White" ], "Voltage": "24V", "IP Rating": [ "IP20", "IP65 (Nano-Coated)", "IP67" ], "Strip Width": [ "10mm (W)", "12mm (W)" ], "CCT": [ "2700K-6500K", "3000K" ], "Control Protocol": "SPI", "Resolution": "12 Pixels/m", "Length": "Max 5,000mm (L)" }</t>
  </si>
  <si>
    <t>{
"Options": {
"Power Consumption Rate": [
{"name": "15W/m", "id": "101"},
{"name": "17W/m", "id": "102"},
{"name": "18W/m", "id": "103"}
],
"Light Color": [
{"name": "RGB", "id": "104"},
{"name": "RGB+TW", "id": "105"},
{"name": "RGBW", "id": "106"},
{"name": "Tuneable White", "id": "107"}
],
"Voltage": [
{"name": "24V", "id": "108"}
],
"IP Rating": [
{"name": "IP20", "id": "109"},
{"name": "IP65 (Nano-Coated)", "id": "110"},
{"name": "IP67", "id": "111"}
],
"Strip Width": [
{"name": "10mm (W)", "id": "112"},
{"name": "12mm (W)", "id": "113"}
],
"CCT": [
{"name": "2700K-6500K", "id": "114"},
{"name": "3000K", "id": "115"}
],
"Control Protocol": [
{"name": "SPI", "id": "116"}
],
"Resolution": [
{"name": "12 Pixels/m", "id": "117"}
],
"Length": [
{"name": "Max 5,000mm (L)", "id": "118"}
]
},
"Constraints": {
"101": ["105", "107", "113", "114", "115", "116", "117"],
"102": ["104", "107", "112", "116", "117", "118"],
"103": ["104", "105", "111", "112", "118"],
"104": ["102", "103", "113", "114", "115", "116", "117", "118"],
"105": ["101", "103", "112", "115", "116", "117", "118"],
"107": ["101", "102", "113", "115", "116", "117", "118"],
"111": ["102", "103", "104", "105", "107", "112", "114", "115", "116", "117"]
}
}</t>
  </si>
  <si>
    <t>{
"Power Consumption Rate": [
{"name": "15W/m", "id": "101"},
{"name": "17W/m", "id": "102"},
{"name": "18W/m", "id": "103"}
],
"Light Color": [
{"name": "RGB", "id": "104"},
{"name": "RGB+TW", "id": "105"},
{"name": "RGBW", "id": "106"},
{"name": "Tuneable White", "id": "107"}
],
"Voltage": [
{"name": "24V", "id": "108"}
],
"IP Rating": [
{"name": "IP20", "id": "109"},
{"name": "IP65 (Nano-Coated)", "id": "110"},
{"name": "IP67", "id": "111"}
],
"Strip Width": [
{"name": "10mm (W)", "id": "112"},
{"name": "12mm (W)", "id": "113"}
],
"CCT": [
{"name": "2700K-6500K", "id": "114"},
{"name": "3000K", "id": "115"}
],
"Control Protocol": [
{"name": "SPI", "id": "116"}
],
"Resolution": [
{"name": "12 Pixels/m", "id": "117"}
],
"Length": [
{"name": "Max 5,000mm (L)", "id": "118"}
]
}</t>
  </si>
  <si>
    <t>{
"101": ["105", "107", "113", "114", "115", "116", "117"],
"102": ["104", "107", "112", "116", "117", "118"],
"103": ["104", "105", "111", "112", "118"],
"104": ["102", "103", "113", "114", "115", "116", "117", "118"],
"105": ["101", "103", "112", "115", "116", "117", "118"],
"107": ["101", "102", "113", "115", "116", "117", "118"],
"111": ["102", "103", "104", "105", "107", "112", "114", "115", "116", "117"]
}</t>
  </si>
  <si>
    <t>DP4RGB-24V-10mm</t>
  </si>
  <si>
    <t>15W/m | RGB | 24V | IP65 (Nano-Coated) | 10mm (W)</t>
  </si>
  <si>
    <t>{ "Power Consumption Rate": "15W/m", "Light Color": "RGB", "Voltage": "24V", "IP Rating": "IP65 (Nano-Coated)", "Strip Width": "10mm (W)" }</t>
  </si>
  <si>
    <t>17W/m | RGB+TW | 2700K-6500K | 24V | IP20 | 12mm (W)</t>
  </si>
  <si>
    <t>Power Consumption Rate | Light Color | CCT | Voltage | IP Rating | Strip Width</t>
  </si>
  <si>
    <t>{ "Power Consumption Rate": "17W/m", "Light Color": "RGB+TW", "CCT": "2700K-6500K", "Voltage": "24V", "IP Rating": "IP20", "Strip Width": "12mm (W)" }</t>
  </si>
  <si>
    <t>DP11RGBSWW-24V-12mm</t>
  </si>
  <si>
    <t>17W/m | RGB+TW | 2700K-6500K | 24V | IP65 (Nano-Coated) | 12mm (W)</t>
  </si>
  <si>
    <t>{ "Power Consumption Rate": "17W/m", "Light Color": "RGB+TW", "CCT": "2700K-6500K", "Voltage": "24V", "IP Rating": "IP65 (Nano-Coated)", "Strip Width": "12mm (W)" }</t>
  </si>
  <si>
    <t>17W/m | RGBW | 3000K | 24V | IP20 | 12mm (W)</t>
  </si>
  <si>
    <t>{ "Power Consumption Rate": "17W/m", "Light Color": "RGBW", "CCT": "3000K", "Voltage": "24V", "IP Rating": "IP20", "Strip Width": "12mm (W)" }</t>
  </si>
  <si>
    <t>DP6RGBW-24V-12mm</t>
  </si>
  <si>
    <t>18W/m | RGBW | 3000K | 24V | IP20 | 12mm (W) | SPI | 12 Pixels/m</t>
  </si>
  <si>
    <t>Power Consumption Rate | Light Color | CCT | Voltage | IP Rating | Strip Width | Control Protocol | Resolution</t>
  </si>
  <si>
    <t>{ "Power Consumption Rate": "18W/m", "Light Color": "RGBW", "CCT": "3000K", "Voltage": "24V", "IP Rating": "IP20", "Strip Width": "12mm (W)", "Control Protocol": "SPI", "Resolution": "12 Pixels/m" }</t>
  </si>
  <si>
    <t>DPS4RGBW-24V-10mm</t>
  </si>
  <si>
    <t>17W/m | RGBW | 3000K | 24V | IP65 (Nano-Coated) | 12mm (W)</t>
  </si>
  <si>
    <t>{ "Power Consumption Rate": "17W/m", "Light Color": "RGBW", "CCT": "3000K", "Voltage": "24V", "IP Rating": "IP65 (Nano-Coated)", "Strip Width": "12mm (W)" }</t>
  </si>
  <si>
    <t>18W/m | RGBW | 3000K | 24V | IP65 (Nano-Coated) | 12mm (W) | SPI | 12 Pixels/m</t>
  </si>
  <si>
    <t>{ "Power Consumption Rate": "18W/m", "Light Color": "RGBW", "CCT": "3000K", "Voltage": "24V", "IP Rating": "IP65 (Nano-Coated)", "Strip Width": "12mm (W)", "Control Protocol": "SPI", "Resolution": "12 Pixels/m" }</t>
  </si>
  <si>
    <t>15W/m | RGBW | 24V | IP67 | 12mm (W) | Max 5,000mm (L)</t>
  </si>
  <si>
    <t>Power Consumption Rate | Light Color | Voltage | IP Rating | Strip Width | Length</t>
  </si>
  <si>
    <t>{ "Power Consumption Rate": "15W/m", "Light Color": "RGBW", "Voltage": "24V", "IP Rating": "IP67", "Strip Width": "12mm (W)", "Length": "Max 5,000mm (L)" }</t>
  </si>
  <si>
    <t>18W/m | Tuneable White | 2700K-6500K | 24V | IP20 | 10mm (W)</t>
  </si>
  <si>
    <t>{ "Power Consumption Rate": "18W/m", "Light Color": "Tuneable White", "CCT": "2700K-6500K", "Voltage": "24V", "IP Rating": "IP20", "Strip Width": "10mm (W)" }</t>
  </si>
  <si>
    <t>DP17SWW-24V-10mm</t>
  </si>
  <si>
    <t>18W/m | Tuneable White | 2700K-6500K | 24V | IP65 (Nano-Coated) | 10mm (W)</t>
  </si>
  <si>
    <t>{ "Power Consumption Rate": "18W/m", "Light Color": "Tuneable White", "CCT": "2700K-6500K", "Voltage": "24V", "IP Rating": "IP65 (Nano-Coated)", "Strip Width": "10mm (W)" }</t>
  </si>
  <si>
    <t>SV1616-10W-2.7K-IP67-FC</t>
  </si>
  <si>
    <t>Neon Side View</t>
  </si>
  <si>
    <t>Side View</t>
  </si>
  <si>
    <t>Transform your surroundings with our premium neon linear lighting, expertly crafted to bring a modern, sophisticated brilliance to any setting. Designed with ultimate flexibility and artistic flair in mind, this sleek lighting solution effortlessly curves to follow your unique architectural contours, turning ordinary spaces into breathtaking design statements. Whether you are elevating a luxury interior or casting a captivating glow across a refined outdoor landscape, its flawless, uniform radiance offers an unparalleled upscale aesthetic. Embrace the perfect fusion of elegance and adaptability, and let your design visions shine with magnificent style.</t>
  </si>
  <si>
    <t>Bring a sophisticated brilliance to your space with premium neon linear lighting. Designed for ultimate flexibility, it effortlessly shapes your vision with a flawless glow.</t>
  </si>
  <si>
    <t>10W/m | 2700K | 24V | IP67 | 16mm (W) x 16mm (H) | Free-Cut</t>
  </si>
  <si>
    <t>Power Consumption Rate | CCT | Voltage | IP Rating | Dimension | Cut Interval</t>
  </si>
  <si>
    <t>{ "Power Consumption Rate": "10W/m", "CCT": "2700K", "Voltage": "24V", "IP Rating": "IP67", "Dimension": "16mm (W) x 16mm (H)", "Cut Interval": "Free-Cut" }</t>
  </si>
  <si>
    <t>{ "Power Consumption Rate": [ "10W/m", "12W/m", "14W/m", "17W/m" ], "CCT": [ "2700K", "3000K", "4000K" ], "Voltage": "24V", "IP Rating": "IP67", "Dimension": "16mm (W) x 16mm (H)", "Cut Interval": "Free-Cut", "Light Color": [ "RGB", "RGBW" ], "Control Protocol": "DMX", "Resolution": "12 Pixels/m" }</t>
  </si>
  <si>
    <t>{
"Options": {
"Power Consumption Rate": [
{"name": "10W/m", "id": "101"},
{"name": "12W/m", "id": "102"},
{"name": "14W/m", "id": "103"},
{"name": "17W/m", "id": "104"}
],
"CCT": [
{"name": "2700K", "id": "105"},
{"name": "3000K", "id": "106"},
{"name": "4000K", "id": "107"}
],
"Voltage": [
{"name": "24V", "id": "108"}
],
"IP Rating": [
{"name": "IP67", "id": "109"}
],
"Dimension": [
{"name": "16mm (W) x 16mm (H)", "id": "110"}
],
"Cut Interval": [
{"name": "Free-Cut", "id": "111"}
],
"Light Color": [
{"name": "RGB", "id": "112"},
{"name": "RGBW", "id": "113"}
],
"Control Protocol": [
{"name": "DMX", "id": "114"}
],
"Resolution": [
{"name": "12 Pixels/m", "id": "115"}
]
},
"Constraints": {
"101": ["112", "113", "114", "115"],
"102": ["105", "107", "111", "114", "115"],
"103": ["105", "106", "107", "111", "113"],
"104": ["105", "107", "111", "112"]
}
}</t>
  </si>
  <si>
    <t>{
"Power Consumption Rate": [
{"name": "10W/m", "id": "101"},
{"name": "12W/m", "id": "102"},
{"name": "14W/m", "id": "103"},
{"name": "17W/m", "id": "104"}
],
"CCT": [
{"name": "2700K", "id": "105"},
{"name": "3000K", "id": "106"},
{"name": "4000K", "id": "107"}
],
"Voltage": [
{"name": "24V", "id": "108"}
],
"IP Rating": [
{"name": "IP67", "id": "109"}
],
"Dimension": [
{"name": "16mm (W) x 16mm (H)", "id": "110"}
],
"Cut Interval": [
{"name": "Free-Cut", "id": "111"}
],
"Light Color": [
{"name": "RGB", "id": "112"},
{"name": "RGBW", "id": "113"}
],
"Control Protocol": [
{"name": "DMX", "id": "114"}
],
"Resolution": [
{"name": "12 Pixels/m", "id": "115"}
]
}</t>
  </si>
  <si>
    <t>{
"101": ["112", "113", "114", "115"],
"102": ["105", "107", "111", "114", "115"],
"103": ["105", "106", "107", "111", "113"],
"104": ["105", "107", "111", "112"]
}</t>
  </si>
  <si>
    <t>AHS1616-White light-24V</t>
  </si>
  <si>
    <t>10W/m | 3000K | 24V | IP67 | 16mm (W) x 16mm (H) | Free-Cut</t>
  </si>
  <si>
    <t>{ "Power Consumption Rate": "10W/m", "CCT": "3000K", "Voltage": "24V", "IP Rating": "IP67", "Dimension": "16mm (W) x 16mm (H)", "Cut Interval": "Free-Cut" }</t>
  </si>
  <si>
    <t>10W/m | 4000K | 24V | IP67 | 16mm (W) x 16mm (H) | Free-Cut</t>
  </si>
  <si>
    <t>{ "Power Consumption Rate": "10W/m", "CCT": "4000K", "Voltage": "24V", "IP Rating": "IP67", "Dimension": "16mm (W) x 16mm (H)", "Cut Interval": "Free-Cut" }</t>
  </si>
  <si>
    <t>12W/m | RGB | 24V | IP67 | 16mm (W) x 16mm (H)</t>
  </si>
  <si>
    <t>Power Consumption Rate | Light Color | Voltage | IP Rating | Dimension</t>
  </si>
  <si>
    <t>{ "Power Consumption Rate": "12W/m", "Light Color": "RGB", "Voltage": "24V", "IP Rating": "IP67", "Dimension": "16mm (W) x 16mm (H)" }</t>
  </si>
  <si>
    <t>AFS1616-RGB-24V</t>
  </si>
  <si>
    <t>14W/m | RGB | 24V | IP67 | 16mm (W) x 16mm (H) | DMX | 12 Pixels/m</t>
  </si>
  <si>
    <t>Power Consumption Rate | Light Color | Voltage | IP Rating | Dimension | Control Protocol | Resolution</t>
  </si>
  <si>
    <t>{ "Power Consumption Rate": "14W/m", "Light Color": "RGB", "Voltage": "24V", "IP Rating": "IP67", "Dimension": "16mm (W) x 16mm (H)", "Control Protocol": "DMX", "Resolution": "12 Pixels/m" }</t>
  </si>
  <si>
    <t>AFS1616-DMX512 RGB neon light-24V</t>
  </si>
  <si>
    <t>12W/m | RGBW | 3000K | 24V | IP67 | 16mm (W) x 16mm (H)</t>
  </si>
  <si>
    <t>Power Consumption Rate | Light Color | CCT | Voltage | IP Rating | Dimension</t>
  </si>
  <si>
    <t>{ "Power Consumption Rate": "12W/m", "Light Color": "RGBW", "CCT": "3000K", "Voltage": "24V", "IP Rating": "IP67", "Dimension": "16mm (W) x 16mm (H)" }</t>
  </si>
  <si>
    <t>AFS1616-RGBW-24V</t>
  </si>
  <si>
    <t>17W/m | RGBW | 3000K | 24V | IP67 | 16mm (W) x 16mm (H) | DMX |12 Pixels/m</t>
  </si>
  <si>
    <t>Power Consumption Rate | Light Color | CCT | Voltage | IP Rating | Dimension | Control Protocol | Resolution</t>
  </si>
  <si>
    <t>{ "Power Consumption Rate": "17W/m", "Light Color": "RGBW", "CCT": "3000K", "Voltage": "24V", "IP Rating": "IP67", "Dimension": "16mm (W) x 16mm (H)", "Control Protocol": "DMX", "Resolution": "12 Pixels/m" }</t>
  </si>
  <si>
    <t>AFS1616-DMX512 RGBW neon light-24V</t>
  </si>
  <si>
    <t>TV1616-10W-2.7K-IP67-FC</t>
  </si>
  <si>
    <t>Neon Top View</t>
  </si>
  <si>
    <t>Top View</t>
  </si>
  <si>
    <t>Bring a sophisticated brilliance to your space with premium neon linear lighting. Designed for ultimate flexibility, it effortlessly shapes your vision with a flawless, uniform glow that transforms any environment into a captivating masterpiece. Perfect for accentuating architectural details or creating an unforgettable ambiance, this elegant lighting solution delivers stunning visual impact while seamlessly blending style and modern luxury. Elegant, versatile, and striking, it is the premier choice for those looking to elevate their design and illuminate their world with unparalleled radiance.</t>
  </si>
  <si>
    <t>Transform your space with our premium neon linear lighting, crafted to bring a modern, sophisticated brilliance and flawless radiance to any architectural setting.</t>
  </si>
  <si>
    <t>{
"Options": {
"Power Consumption Rate": [
{"name": "10W/m", "id": "101"},
{"name": "12W/m", "id": "109"},
{"name": "14W/m", "id": "111"},
{"name": "17W/m", "id": "115"}
],
"CCT": [
{"name": "2700K", "id": "102"},
{"name": "3000K", "id": "107"},
{"name": "4000K", "id": "108"}
],
"Voltage": [
{"name": "24V", "id": "103"}
],
"IP Rating": [
{"name": "IP67", "id": "104"}
],
"Dimension": [
{"name": "16mm (W) x 16mm (H)", "id": "105"}
],
"Cut Interval": [
{"name": "Free-Cut", "id": "106"}
],
"Light Color": [
{"name": "RGB", "id": "110"},
{"name": "RGBW", "id": "114"}
],
"Control Protocol": [
{"name": "DMX", "id": "112"}
],
"Resolution": [
{"name": "12 Pixels/m", "id": "113"}
]
},
"Constraints": {
"101": ["110", "112", "113", "114"],
"106": ["109", "111", "115"],
"109": ["112", "113"],
"110": ["102", "107", "108"],
"111": ["102", "107", "108", "114"],
"114": ["102", "108"],
"115": ["110"]
}
}</t>
  </si>
  <si>
    <t>{
"Power Consumption Rate": [
{"name": "10W/m", "id": "101"},
{"name": "12W/m", "id": "109"},
{"name": "14W/m", "id": "111"},
{"name": "17W/m", "id": "115"}
],
"CCT": [
{"name": "2700K", "id": "102"},
{"name": "3000K", "id": "107"},
{"name": "4000K", "id": "108"}
],
"Voltage": [
{"name": "24V", "id": "103"}
],
"IP Rating": [
{"name": "IP67", "id": "104"}
],
"Dimension": [
{"name": "16mm (W) x 16mm (H)", "id": "105"}
],
"Cut Interval": [
{"name": "Free-Cut", "id": "106"}
],
"Light Color": [
{"name": "RGB", "id": "110"},
{"name": "RGBW", "id": "114"}
],
"Control Protocol": [
{"name": "DMX", "id": "112"}
],
"Resolution": [
{"name": "12 Pixels/m", "id": "113"}
]
}</t>
  </si>
  <si>
    <t>{
"101": ["110", "112", "113", "114"],
"106": ["109", "111", "115"],
"109": ["112", "113"],
"110": ["102", "107", "108"],
"111": ["102", "107", "108", "114"],
"114": ["102", "108"],
"115": ["110"]
}</t>
  </si>
  <si>
    <t>AHT1616-White light-24V</t>
  </si>
  <si>
    <t>AFT1616-RGB-24V</t>
  </si>
  <si>
    <t>14W/m | RGB | 24V | IP67 | 16mm (W) x 16mm (H) | DMX |12 Pixels/m</t>
  </si>
  <si>
    <t>AFT1616-DMX512 RGB neon light-24V</t>
  </si>
  <si>
    <t>AFT1616-RGBW-24V</t>
  </si>
  <si>
    <t>17W/m | RGBW | 3000K | 24V | IP67 | 16mm (W) x 16mm (H) | DMX | 12 Pixels/m</t>
  </si>
  <si>
    <t>AFT1616-DMX512 RGBW neon light</t>
  </si>
  <si>
    <t>SMD-22W-2.7K-IP20</t>
  </si>
  <si>
    <t>22W SMD</t>
  </si>
  <si>
    <t>SMD</t>
  </si>
  <si>
    <t>Elevate your architectural visions with the 22W SMD, a premium linear lighting solution designed to bring seamless radiance to any space. Engineered for incredible flexibility and breathtaking visual impact, this brilliant light curves effortlessly to accentuate contours and create striking design statements. Whether you are transforming a high-end commercial venue or adding a sophisticated atmosphere to an outdoor landscape, its pristine, uniform glow delivers unmatched aesthetic elegance. Built to maintain its flawless brilliance, it is the ultimate choice for designers who refuse to compromise on beauty, adaptability, and style.</t>
  </si>
  <si>
    <t>22W/m | 2700K | 24V | IP20 | Free Cut</t>
  </si>
  <si>
    <t>Power Consumption Rate | CCT | Voltage | IP Rating | Cut Interval</t>
  </si>
  <si>
    <t>{ "Power Consumption Rate": "22W/m", "CCT": "2700K", "Voltage": "24V", "IP Rating": "IP20", "Cut Interval": "Free Cut" }</t>
  </si>
  <si>
    <t>{ "Power Consumption Rate": "22W/m", "CCT": [ "2700K", "3000K", "4000K", "6000K" ], "Voltage": "24V", "IP Rating": [ "IP20", "IP65 (Nano-Coated)" ], "Cut Interval": "Free Cut" }</t>
  </si>
  <si>
    <t>{
"Options": {
"Power Consumption Rate": [
{"name": "22W/m", "id": "101"}
],
"CCT": [
{"name": "2700K", "id": "102"},
{"name": "3000K", "id": "103"},
{"name": "4000K", "id": "104"},
{"name": "6000K", "id": "105"}
],
"Voltage": [
{"name": "24V", "id": "106"}
],
"IP Rating": [
{"name": "IP20", "id": "107"},
{"name": "IP65 (Nano-Coated)", "id": "108"}
],
"Cut Interval": [
{"name": "Free Cut", "id": "109"}
]
},
"Constraints": {}
}</t>
  </si>
  <si>
    <t>{
"Power Consumption Rate": [
{"name": "22W/m", "id": "101"}
],
"CCT": [
{"name": "2700K", "id": "102"},
{"name": "3000K", "id": "103"},
{"name": "4000K", "id": "104"},
{"name": "6000K", "id": "105"}
],
"Voltage": [
{"name": "24V", "id": "106"}
],
"IP Rating": [
{"name": "IP20", "id": "107"},
{"name": "IP65 (Nano-Coated)", "id": "108"}
],
"Cut Interval": [
{"name": "Free Cut", "id": "109"}
]
}</t>
  </si>
  <si>
    <t>C8240-24V-10mm</t>
  </si>
  <si>
    <t>22W/m | 3000K | 24V | IP20 | Free Cut</t>
  </si>
  <si>
    <t>{ "Power Consumption Rate": "22W/m", "CCT": "3000K", "Voltage": "24V", "IP Rating": "IP20", "Cut Interval": "Free Cut" }</t>
  </si>
  <si>
    <t>22W/m | 4000K | 24V | IP20 | Free Cut</t>
  </si>
  <si>
    <t>{ "Power Consumption Rate": "22W/m", "CCT": "4000K", "Voltage": "24V", "IP Rating": "IP20", "Cut Interval": "Free Cut" }</t>
  </si>
  <si>
    <t>22W/m | 6000K | 24V | IP20 | Free Cut</t>
  </si>
  <si>
    <t>{ "Power Consumption Rate": "22W/m", "CCT": "6000K", "Voltage": "24V", "IP Rating": "IP20", "Cut Interval": "Free Cut" }</t>
  </si>
  <si>
    <t>22W/m | 2700K | 24V | IP65 (Nano-Coated) | Free Cut</t>
  </si>
  <si>
    <t>{ "Power Consumption Rate": "22W/m", "CCT": "2700K", "Voltage": "24V", "IP Rating": "IP65 (Nano-Coated)", "Cut Interval": "Free Cut" }</t>
  </si>
  <si>
    <t>22W/m | 3000K | 24V | IP65 (Nano-Coated) | Free Cut</t>
  </si>
  <si>
    <t>{ "Power Consumption Rate": "22W/m", "CCT": "3000K", "Voltage": "24V", "IP Rating": "IP65 (Nano-Coated)", "Cut Interval": "Free Cut" }</t>
  </si>
  <si>
    <t>22W/m | 4000K | 24V | IP65 (Nano-Coated) | Free Cut</t>
  </si>
  <si>
    <t>{ "Power Consumption Rate": "22W/m", "CCT": "4000K", "Voltage": "24V", "IP Rating": "IP65 (Nano-Coated)", "Cut Interval": "Free Cut" }</t>
  </si>
  <si>
    <t>22W/m | 6000K | 24V | IP65 (Nano-Coated) | Free Cut</t>
  </si>
  <si>
    <t>{ "Power Consumption Rate": "22W/m", "CCT": "6000K", "Voltage": "24V", "IP Rating": "IP65 (Nano-Coated)", "Cut Interval": "Free Cut" }</t>
  </si>
  <si>
    <t>SMD-29W-2.7K-IP20</t>
  </si>
  <si>
    <t>29W SMD</t>
  </si>
  <si>
    <t>Elevate your design visions with this premium linear lighting solution, crafted to bring seamless radiance and an unparalleled aesthetic elegance to any space. Engineered for exceptional flexibility and breathtaking visual impact, it accentuates contours effortlessly to create striking architectural design statements. Whether you are transforming a sophisticated commercial venue or adding a luxurious atmosphere to an interior landscape, its pristine, uniform glow delivers unmatched brilliance. It is the ultimate choice for designers and creators who refuse to compromise on beauty, modern adaptability, and pure style.</t>
  </si>
  <si>
    <t>29W/m | 2700K | 24V | IP20 | 12mm</t>
  </si>
  <si>
    <t>{ "Power Consumption Rate": "29W/m", "CCT": "2700K", "Voltage": "24V", "IP Rating": "IP20", "Strip Width": "12mm" }</t>
  </si>
  <si>
    <t>{ "Power Consumption Rate": "29W/m", "CCT": [ "2700K", "3000K", "4000K", "6000K" ], "Voltage": "24V", "IP Rating": "IP20", "Strip Width": "12mm" }</t>
  </si>
  <si>
    <t>{
"Options": {
"Power Consumption Rate": [
{"name": "29W/m", "id": "101"}
],
"CCT": [
{"name": "2700K", "id": "102"},
{"name": "3000K", "id": "103"},
{"name": "4000K", "id": "104"},
{"name": "6000K", "id": "105"}
],
"Voltage": [
{"name": "24V", "id": "106"}
],
"IP Rating": [
{"name": "IP20", "id": "107"}
],
"Strip Width": [
{"name": "12mm", "id": "108"}
]
},
"Constraints": {}
}</t>
  </si>
  <si>
    <t>{
"Power Consumption Rate": [
{"name": "29W/m", "id": "101"}
],
"CCT": [
{"name": "2700K", "id": "102"},
{"name": "3000K", "id": "103"},
{"name": "4000K", "id": "104"},
{"name": "6000K", "id": "105"}
],
"Voltage": [
{"name": "24V", "id": "106"}
],
"IP Rating": [
{"name": "IP20", "id": "107"}
],
"Strip Width": [
{"name": "12mm", "id": "108"}
]
}</t>
  </si>
  <si>
    <t>DS8192-24V-12mm</t>
  </si>
  <si>
    <t>29W/m | 3000K | 24V | IP20 | 12mm</t>
  </si>
  <si>
    <t>{ "Power Consumption Rate": "29W/m", "CCT": "3000K", "Voltage": "24V", "IP Rating": "IP20", "Strip Width": "12mm" }</t>
  </si>
  <si>
    <t>29W/m | 4000K | 24V | IP20 | 12mm</t>
  </si>
  <si>
    <t>{ "Power Consumption Rate": "29W/m", "CCT": "4000K", "Voltage": "24V", "IP Rating": "IP20", "Strip Width": "12mm" }</t>
  </si>
  <si>
    <t>29W/m | 6000K | 24V | IP20 | 12mm</t>
  </si>
  <si>
    <t>{ "Power Consumption Rate": "29W/m", "CCT": "6000K", "Voltage": "24V", "IP Rating": "IP20", "Strip Width": "12mm" }</t>
  </si>
  <si>
    <t>LMF13-9W-2.7K-IP65</t>
  </si>
  <si>
    <t>Lumoflex</t>
  </si>
  <si>
    <t>Elevate your design visions with Lumoflex, a premium neon lighting solution engineered to bring a seamless, captivating radiance to any space. Designed for exceptional adaptability and striking visual interest, this flexible linear light effortlessly curves to accentuate modern contours and carve out bold architectural narratives. Whether transforming a refined commercial interior or casting a sophisticated, atmospheric glow across a high-end venue, its flawless uniform brilliance delivers unparalleled aesthetic elegance. Perfect for creators who refuse to compromise on beauty and atmosphere, it stands as the ultimate choice for injecting modern style and timeless sophistication into any project.</t>
  </si>
  <si>
    <t>9W/m | 2700K | 24V | IP65 | 13mm (D) | 360° | Max 5,000mm (L)</t>
  </si>
  <si>
    <t>Power Consumption Rate | CCT | Voltage | IP Rating | Depth | Beam Angle | Length</t>
  </si>
  <si>
    <t>{ "Power Consumption Rate": "9W/m", "CCT": "2700K", "Voltage": "24V", "IP Rating": "IP65", "Depth": "13mm (D)", "Beam Angle": "360°", "Length": "Max 5,000mm (L)" }</t>
  </si>
  <si>
    <t>{ "Power Consumption Rate": [ "9W/m", "15W/m", "13W/m", "18W/m" ], "CCT": [ "2700K", "3000K", "4000K", "2300K-4000K" ], "Voltage": "24V", "IP Rating": "IP65", "Depth": [ "13mm (D)", "18mm (D)", "25mm (D)", "30mm (D)", "40mm (D)" ], "Beam Angle": "360°", "Length": "Max 5,000mm (L)", "Light Color": [ "RGB", "RGBW" ] }</t>
  </si>
  <si>
    <t>{"Options": {"Power Consumption Rate": [{"name": "9W/m", "id": "101"}, {"name": "15W/m", "id": "110"}, {"name": "13W/m", "id": "112"}, {"name": "18W/m", "id": "116"}], "CCT": [{"name": "2700K", "id": "102"}, {"name": "3000K", "id": "108"}, {"name": "4000K", "id": "109"}, {"name": "2300K-4000K", "id": "114"}], "Voltage": [{"name": "24V", "id": "103"}], "IP Rating": [{"name": "IP65", "id": "104"}], "Depth": [{"name": "13mm (D)", "id": "105"}, {"name": "18mm (D)", "id": "111"}, {"name": "25mm (D)", "id": "115"}, {"name": "30mm (D)", "id": "118"}, {"name": "40mm (D)", "id": "119"}], "Beam Angle": [{"name": "360°", "id": "106"}], "Length": [{"name": "Max 5,000mm (L)", "id": "107"}], "Light Color": [{"name": "RGB", "id": "113"}, {"name": "RGBW", "id": "117"}]}, "Constraints": {"101": ["102", "103", "104", "105", "106", "107", "108", "109"], "110": ["102", "103", "104", "106", "107", "108", "109", "111", "113", "114", "115", "118"], "112": ["103", "104", "106", "107", "111", "113"], "116": ["103", "104", "106", "107", "108", "115", "117", "118", "119"]}}</t>
  </si>
  <si>
    <t>{"Power Consumption Rate": [{"name": "9W/m", "id": "101"}, {"name": "15W/m", "id": "110"}, {"name": "13W/m", "id": "112"}, {"name": "18W/m", "id": "116"}], "CCT": [{"name": "2700K", "id": "102"}, {"name": "3000K", "id": "108"}, {"name": "4000K", "id": "109"}, {"name": "2300K-4000K", "id": "114"}], "Voltage": [{"name": "24V", "id": "103"}], "IP Rating": [{"name": "IP65", "id": "104"}], "Depth": [{"name": "13mm (D)", "id": "105"}, {"name": "18mm (D)", "id": "111"}, {"name": "25mm (D)", "id": "115"}, {"name": "30mm (D)", "id": "118"}, {"name": "40mm (D)", "id": "119"}], "Beam Angle": [{"name": "360°", "id": "106"}], "Length": [{"name": "Max 5,000mm (L)", "id": "107"}], "Light Color": [{"name": "RGB", "id": "113"}, {"name": "RGBW", "id": "117"}]}</t>
  </si>
  <si>
    <t>{"101": ["102", "103", "104", "105", "106", "107", "108", "109"], "110": ["102", "103", "104", "106", "107", "108", "109", "111", "113", "114", "115", "118"], "112": ["103", "104", "106", "107", "111", "113"], "116": ["103", "104", "106", "107", "108", "115", "117", "118", "119"]}</t>
  </si>
  <si>
    <t>NNR13-White light-24V</t>
  </si>
  <si>
    <t>9W/m | 3000K | 24V | IP65 | 13mm (D) | 360° | Max 5,000mm (L)</t>
  </si>
  <si>
    <t>{ "Power Consumption Rate": "9W/m", "CCT": "3000K", "Voltage": "24V", "IP Rating": "IP65", "Depth": "13mm (D)", "Beam Angle": "360°", "Length": "Max 5,000mm (L)" }</t>
  </si>
  <si>
    <t>9W/m | 4000K | 24V | IP65 | 13mm (D) | 360° | Max 5,000mm (L)</t>
  </si>
  <si>
    <t>{ "Power Consumption Rate": "9W/m", "CCT": "4000K", "Voltage": "24V", "IP Rating": "IP65", "Depth": "13mm (D)", "Beam Angle": "360°", "Length": "Max 5,000mm (L)" }</t>
  </si>
  <si>
    <t>15W/m | 2700K | 24V | IP65 | 18mm (D) | 360° | Max 5,000mm (L)</t>
  </si>
  <si>
    <t>{ "Power Consumption Rate": "15W/m", "CCT": "2700K", "Voltage": "24V", "IP Rating": "IP65", "Depth": "18mm (D)", "Beam Angle": "360°", "Length": "Max 5,000mm (L)" }</t>
  </si>
  <si>
    <t>NNR18-White light-24V</t>
  </si>
  <si>
    <t>15W/m | 3000K | 24V | IP65 | 18mm (D) | 360° | Max 5,000mm (L)</t>
  </si>
  <si>
    <t>{ "Power Consumption Rate": "15W/m", "CCT": "3000K", "Voltage": "24V", "IP Rating": "IP65", "Depth": "18mm (D)", "Beam Angle": "360°", "Length": "Max 5,000mm (L)" }</t>
  </si>
  <si>
    <t>15W/m | 4000K | 24V | IP65 | 18mm (D) | 360° | Max 5,000mm (L)</t>
  </si>
  <si>
    <t>{ "Power Consumption Rate": "15W/m", "CCT": "4000K", "Voltage": "24V", "IP Rating": "IP65", "Depth": "18mm (D)", "Beam Angle": "360°", "Length": "Max 5,000mm (L)" }</t>
  </si>
  <si>
    <t>13W/m | RGB | 24V | IP65 | 18mm (D) | 360° | Max 5,000mm (L)</t>
  </si>
  <si>
    <t>Power Consumption Rate | Light Color | Voltage | IP Rating | Depth | Beam Angle | Length</t>
  </si>
  <si>
    <t>{ "Power Consumption Rate": "13W/m", "Light Color": "RGB", "Voltage": "24V", "IP Rating": "IP65", "Depth": "18mm (D)", "Beam Angle": "360°", "Length": "Max 5,000mm (L)" }</t>
  </si>
  <si>
    <t>NNR18-RGB-24V</t>
  </si>
  <si>
    <t>15W/m | 2300K-4000K | 24V | IP65 | 18mm (D) | 360° | Max 5,000mm (L)</t>
  </si>
  <si>
    <t>{ "Power Consumption Rate": "15W/m", "CCT": "2300K-4000K", "Voltage": "24V", "IP Rating": "IP65", "Depth": "18mm (D)", "Beam Angle": "360°", "Length": "Max 5,000mm (L)" }</t>
  </si>
  <si>
    <t>NNR18-CCT-24V</t>
  </si>
  <si>
    <t>15W/m | 2700K | 24V | IP65 | 25mm (D) | 360° | Max 5,000mm (L)</t>
  </si>
  <si>
    <t>{ "Power Consumption Rate": "15W/m", "CCT": "2700K", "Voltage": "24V", "IP Rating": "IP65", "Depth": "25mm (D)", "Beam Angle": "360°", "Length": "Max 5,000mm (L)" }</t>
  </si>
  <si>
    <t>NNR25-White light-24V</t>
  </si>
  <si>
    <t>15W/m | 3000K | 24V | IP65 | 25mm (D) | 360° | Max 5,000mm (L)</t>
  </si>
  <si>
    <t>{ "Power Consumption Rate": "15W/m", "CCT": "3000K", "Voltage": "24V", "IP Rating": "IP65", "Depth": "25mm (D)", "Beam Angle": "360°", "Length": "Max 5,000mm (L)" }</t>
  </si>
  <si>
    <t>15W/m | 4000K | 24V | IP65 | 25mm (D) | 360° | Max 5,000mm (L)</t>
  </si>
  <si>
    <t>{ "Power Consumption Rate": "15W/m", "CCT": "4000K", "Voltage": "24V", "IP Rating": "IP65", "Depth": "25mm (D)", "Beam Angle": "360°", "Length": "Max 5,000mm (L)" }</t>
  </si>
  <si>
    <t>15W/m | RGB | 24V | IP65 | 25mm (D) | 360° | Max 5,000mm (L)</t>
  </si>
  <si>
    <t>{ "Power Consumption Rate": "15W/m", "Light Color": "RGB", "Voltage": "24V", "IP Rating": "IP65", "Depth": "25mm (D)", "Beam Angle": "360°", "Length": "Max 5,000mm (L)" }</t>
  </si>
  <si>
    <t>NNR25-RGB-24V</t>
  </si>
  <si>
    <t>15W/m | 2300K-4000K | 24V | IP65 | 25mm (D) | 360° | Max 5,000mm (L)</t>
  </si>
  <si>
    <t>{ "Power Consumption Rate": "15W/m", "CCT": "2300K-4000K", "Voltage": "24V", "IP Rating": "IP65", "Depth": "25mm (D)", "Beam Angle": "360°", "Length": "Max 5,000mm (L)" }</t>
  </si>
  <si>
    <t>NNR25-CCT-24V</t>
  </si>
  <si>
    <t>18W/m | RGBW | 3000K | 24V | IP65 | 25mm (D) | 360° | Max 5,000mm (L)</t>
  </si>
  <si>
    <t>Power Consumption Rate | Light Color | CCT | Voltage | IP Rating | Depth | Beam Angle | Length</t>
  </si>
  <si>
    <t>{ "Power Consumption Rate": "18W/m", "Light Color": "RGBW", "CCT": "3000K", "Voltage": "24V", "IP Rating": "IP65", "Depth": "25mm (D)", "Beam Angle": "360°", "Length": "Max 5,000mm (L)" }</t>
  </si>
  <si>
    <t>NNR25-RGBW-24V</t>
  </si>
  <si>
    <t>15W/m | 2700K | 24V | IP65 | 30mm (D) | 360° | Max 5,000mm (L)</t>
  </si>
  <si>
    <t>{ "Power Consumption Rate": "15W/m", "CCT": "2700K", "Voltage": "24V", "IP Rating": "IP65", "Depth": "30mm (D)", "Beam Angle": "360°", "Length": "Max 5,000mm (L)" }</t>
  </si>
  <si>
    <t>NNR30-White light-24V</t>
  </si>
  <si>
    <t>15W/m | 3000K | 24V | IP65 | 30mm (D) | 360° | Max 5,000mm (L)</t>
  </si>
  <si>
    <t>{ "Power Consumption Rate": "15W/m", "CCT": "3000K", "Voltage": "24V", "IP Rating": "IP65", "Depth": "30mm (D)", "Beam Angle": "360°", "Length": "Max 5,000mm (L)" }</t>
  </si>
  <si>
    <t>15W/m | 4000K | 24V | IP65 | 30mm (D) | 360° | Max 5,000mm (L)</t>
  </si>
  <si>
    <t>{ "Power Consumption Rate": "15W/m", "CCT": "4000K", "Voltage": "24V", "IP Rating": "IP65", "Depth": "30mm (D)", "Beam Angle": "360°", "Length": "Max 5,000mm (L)" }</t>
  </si>
  <si>
    <t>18W/m | RGBW | 3000K | 24V | IP65 | 30mm (D) | 360° | Max 5,000mm (L)</t>
  </si>
  <si>
    <t>{ "Power Consumption Rate": "18W/m", "Light Color": "RGBW", "CCT": "3000K", "Voltage": "24V", "IP Rating": "IP65", "Depth": "30mm (D)", "Beam Angle": "360°", "Length": "Max 5,000mm (L)" }</t>
  </si>
  <si>
    <t>NNR30-RGBW-24V</t>
  </si>
  <si>
    <t>18W/m | RGBW | 3000K | 24V | IP65 | 40mm (D) | 360° | Max 5,000mm (L)</t>
  </si>
  <si>
    <t>{ "Power Consumption Rate": "18W/m", "Light Color": "RGBW", "CCT": "3000K", "Voltage": "24V", "IP Rating": "IP65", "Depth": "40mm (D)", "Beam Angle": "360°", "Length": "Max 5,000mm (L)" }</t>
  </si>
  <si>
    <t>NNR40-RGBW-24V</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</si>
</sst>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sz val="10.0"/>
      <color theme="1"/>
      <name val="DM Sans"/>
    </font>
    <font>
      <sz val="10.0"/>
      <color rgb="FF434343"/>
      <name val="DM Sans"/>
    </font>
    <font>
      <color theme="1"/>
      <name val="Arial"/>
      <scheme val="minor"/>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1"/>
    </xf>
    <xf borderId="1" fillId="0" fontId="3" numFmtId="0" xfId="0" applyAlignment="1" applyBorder="1" applyFont="1">
      <alignment readingOrder="0" shrinkToFit="0" vertical="center" wrapText="1"/>
    </xf>
    <xf borderId="1" fillId="7" fontId="3" numFmtId="0" xfId="0" applyAlignment="1" applyBorder="1" applyFill="1" applyFont="1">
      <alignment readingOrder="0" shrinkToFit="0" vertical="center" wrapText="1"/>
    </xf>
    <xf borderId="1" fillId="6" fontId="4" numFmtId="0" xfId="0" applyAlignment="1" applyBorder="1" applyFill="1" applyFont="1">
      <alignment shrinkToFit="0" vertical="center" wrapText="1"/>
    </xf>
    <xf borderId="1" fillId="8" fontId="4" numFmtId="0" xfId="0" applyAlignment="1" applyBorder="1" applyFill="1" applyFont="1">
      <alignment shrinkToFit="0" vertical="center" wrapText="1"/>
    </xf>
    <xf borderId="1" fillId="6" fontId="4" numFmtId="0" xfId="0" applyAlignment="1" applyBorder="1" applyFill="1" applyFont="1">
      <alignment readingOrder="0" shrinkToFit="0" vertical="center" wrapText="1"/>
    </xf>
    <xf borderId="1" fillId="8" fontId="4" numFmtId="0" xfId="0" applyAlignment="1" applyBorder="1" applyFill="1" applyFont="1">
      <alignment readingOrder="0" shrinkToFit="0" vertical="center" wrapText="1"/>
    </xf>
    <xf borderId="1" fillId="0" fontId="5" numFmtId="0" xfId="0" applyAlignment="1" applyBorder="1" applyFont="1">
      <alignment readingOrder="0"/>
    </xf>
    <xf borderId="1" fillId="0" fontId="4" numFmtId="0" xfId="0" applyAlignment="1" applyBorder="1" applyFont="1">
      <alignment readingOrder="0" shrinkToFit="0" vertical="center" wrapText="1"/>
    </xf>
    <xf borderId="1" fillId="0" fontId="3" numFmtId="0" xfId="0" applyAlignment="1" applyBorder="1" applyFont="1">
      <alignment shrinkToFit="0" vertical="center" wrapText="1"/>
    </xf>
    <xf borderId="1" fillId="8" fontId="3" numFmtId="0" xfId="0" applyAlignment="1" applyBorder="1" applyFill="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7.25"/>
    <col customWidth="1" min="2" max="2" width="28.25"/>
    <col customWidth="1" min="3" max="3" width="11.75"/>
    <col customWidth="1" min="4" max="4" width="9.88"/>
    <col customWidth="1" min="5" max="5" width="6.38"/>
    <col customWidth="1" min="6" max="6" width="50.5"/>
    <col customWidth="1" min="7" max="7" width="33.0"/>
    <col customWidth="1" min="8" max="9" width="31.38"/>
    <col customWidth="1" min="10" max="11" width="28.75"/>
    <col customWidth="1" min="12" max="12" width="51.5"/>
    <col customWidth="1" min="13" max="13" width="54.25"/>
    <col customWidth="1" min="14" max="14" width="34.75"/>
    <col customWidth="1" min="15" max="22" width="50.13"/>
    <col customWidth="1" min="23" max="23" width="29.38"/>
    <col customWidth="1" min="24" max="24" width="37.63"/>
    <col customWidth="1" min="25" max="25" width="12.63"/>
    <col customWidth="1" min="27" max="27" width="34.0"/>
  </cols>
  <sheetData>
    <row r="1">
      <c r="A1" s="1" t="s">
        <v>0</v>
      </c>
      <c r="B1" s="1" t="s">
        <v>1</v>
      </c>
      <c r="C1" s="1" t="s">
        <v>2</v>
      </c>
      <c r="D1" s="1" t="s">
        <v>3</v>
      </c>
      <c r="E1" s="1" t="s">
        <v>4</v>
      </c>
      <c r="F1" s="2" t="s">
        <v>5</v>
      </c>
      <c r="G1" s="1" t="s">
        <v>6</v>
      </c>
      <c r="H1" s="2" t="s">
        <v>7</v>
      </c>
      <c r="I1" s="1" t="s">
        <v>8</v>
      </c>
      <c r="J1" s="1" t="s">
        <v>9</v>
      </c>
      <c r="K1" s="1" t="s">
        <v>10</v>
      </c>
      <c r="L1" s="3" t="s">
        <v>11</v>
      </c>
      <c r="M1" s="2" t="s">
        <v>12</v>
      </c>
      <c r="N1" s="4" t="s">
        <v>13</v>
      </c>
      <c r="O1" s="2" t="s">
        <v>14</v>
      </c>
      <c r="P1" s="5" t="s">
        <v>15</v>
      </c>
      <c r="Q1" s="2" t="s">
        <v>16</v>
      </c>
      <c r="R1" s="1" t="s">
        <v>17</v>
      </c>
      <c r="S1" s="2" t="s">
        <v>18</v>
      </c>
      <c r="T1" s="5" t="s">
        <v>19</v>
      </c>
      <c r="U1" s="1" t="s">
        <v>20</v>
      </c>
      <c r="V1" s="1" t="s">
        <v>21</v>
      </c>
      <c r="W1" s="1" t="s">
        <v>22</v>
      </c>
      <c r="X1" s="1" t="s">
        <v>23</v>
      </c>
      <c r="Y1" s="1" t="s">
        <v>24</v>
      </c>
      <c r="Z1" s="1" t="s">
        <v>25</v>
      </c>
      <c r="AA1" s="1" t="s">
        <v>26</v>
      </c>
    </row>
    <row r="2" ht="146.25" customHeight="1">
      <c r="A2" s="6" t="s">
        <v>27</v>
      </c>
      <c r="B2" s="7" t="s">
        <v>28</v>
      </c>
      <c r="C2" s="7" t="s">
        <v>29</v>
      </c>
      <c r="D2" s="7" t="s">
        <v>28</v>
      </c>
      <c r="E2" s="7" t="s">
        <v>30</v>
      </c>
      <c r="F2" s="8" t="str">
        <f>IFERROR(__xludf.DUMMYFUNCTION("AI(""Give me a paragraph marketing spiel for product in this row, no tech specs just marketing fluff "")"),"Illuminate your architectural visions with the Top Bend IP69, a premium linear lighting solution designed to bring seamless radiance to any space. Engineered for incredible flexibility and breathtaking visual impact, this top-bending neon-style light curv"&amp;"es effortlessly to accentuate contours and create striking design statements. Whether you are transforming a high-end commercial venue or adding sophisticated atmosphere to an outdoor landscape, its pristine, uniform glow delivers an unmatched aesthetic e"&amp;"legance. Built to withstand the elements while maintaining its flawless brilliance, it is the ultimate choice for designers who refuse to compromise on beauty, adaptability, and style.")</f>
        <v>Illuminate your architectural visions with the Top Bend IP69, a premium linear lighting solution designed to bring seamless radiance to any space. Engineered for incredible flexibility and breathtaking visual impact, this top-bending neon-style light curves effortlessly to accentuate contours and create striking design statements. Whether you are transforming a high-end commercial venue or adding sophisticated atmosphere to an outdoor landscape, its pristine, uniform glow delivers an unmatched aesthetic elegance. Built to withstand the elements while maintaining its flawless brilliance, it is the ultimate choice for designers who refuse to compromise on beauty, adaptability, and style.</v>
      </c>
      <c r="G2" s="7" t="s">
        <v>31</v>
      </c>
      <c r="H2" s="8" t="str">
        <f>IFERROR(__xludf.DUMMYFUNCTION("AI(""Give me a paragraph marketing spiel for product in this row, no tech specs just marketing fluff under 180 characters "")"),"Bring seamless radiance to your space with Top Bend IP69, a premium linear light designed to effortlessly curve and accentuate contours with a flawless, uniform glow.")</f>
        <v>Bring seamless radiance to your space with Top Bend IP69, a premium linear light designed to effortlessly curve and accentuate contours with a flawless, uniform glow.</v>
      </c>
      <c r="I2" s="7" t="s">
        <v>32</v>
      </c>
      <c r="J2" s="9"/>
      <c r="K2" s="9"/>
      <c r="L2" s="10" t="s">
        <v>33</v>
      </c>
      <c r="M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""&amp;L2)"),"Power Consumption Rate | CCT | Voltage | IP Rating | Strip Width | Cut Interval")</f>
        <v>Power Consumption Rate | CCT | Voltage | IP Rating | Strip Width | Cut Interval</v>
      </c>
      <c r="N2" s="12" t="s">
        <v>34</v>
      </c>
      <c r="O2" s="11" t="str">
        <f>IFERROR(__xludf.DUMMYFUNCTION("AI(""Using the labels""&amp;N2&amp;"" and values ""&amp;L2&amp;"" separated by character '|', Create a JSON object"")"),"{ ""Power Consumption Rate"": ""5W/m"", ""CCT"": ""2700K"", ""Voltage"": ""24V"", ""IP Rating"": ""IP20"", ""Strip Width"": ""8mm (W)"", ""Cut Interval"": ""Free Cut"" }")</f>
        <v>{ "Power Consumption Rate": "5W/m", "CCT": "2700K", "Voltage": "24V", "IP Rating": "IP20", "Strip Width": "8mm (W)", "Cut Interval": "Free Cut" }</v>
      </c>
      <c r="P2" s="12" t="s">
        <v>35</v>
      </c>
      <c r="Q2"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P2:P25)"),"{ ""Power Consumption Rate"": [ ""5W/m"", ""10W/m"", ""15W/m"" ], ""CCT"": [ ""2700K"", ""3000K"", ""4000K"", ""6000K"" ], ""Voltage"": ""24V"", ""IP Rating"": [ ""IP20"", ""IP65 (Nano-Coated)"" ], ""Strip Width"": ""8mm (W)"", ""Cut Interval"": ""Free Cu"&amp;"t"" }")</f>
        <v>{ "Power Consumption Rate": [ "5W/m", "10W/m", "15W/m" ], "CCT": [ "2700K", "3000K", "4000K", "6000K" ], "Voltage": "24V", "IP Rating": [ "IP20", "IP65 (Nano-Coated)" ], "Strip Width": "8mm (W)", "Cut Interval": "Free Cut" }</v>
      </c>
      <c r="R2" s="13" t="s">
        <v>36</v>
      </c>
      <c r="S2"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P2:P25)"),"{
""Options"": {
""Power Consumption Rate"": [
{""name"": ""5W/m"", ""id"": ""101""},
{""name"": ""10W/m"", ""id"": ""102""},
{""name"": ""15W/m"", ""id"": ""103""}
],
""CCT"": [
{""name"": ""2700K"", ""id"": ""104""},
{""name"": ""3000K"", ""id"": ""105"&amp;"""},
{""name"": ""4000K"", ""id"": ""106""},
{""name"": ""6000K"", ""id"": ""107""}
],
""Voltage"": [
{""name"": ""24V"", ""id"": ""108""}
],
""IP Rating"": [
{""name"": ""IP20"", ""id"": ""109""},
{""name"": ""IP65 (Nano-Coated)"", ""id"": ""110""}
],
"""&amp;"Strip Width"": [
{""name"": ""8mm (W)"", ""id"": ""111""}
],
""Cut Interval"": [
{""name"": ""Free Cut"", ""id"": ""112""}
]
},
""Constraints"": {}
}")</f>
        <v>{
"Options": {
"Power Consumption Rate": [
{"name": "5W/m", "id": "101"},
{"name": "10W/m", "id": "102"},
{"name": "15W/m", "id": "103"}
],
"CCT": [
{"name": "2700K", "id": "104"},
{"name": "3000K", "id": "105"},
{"name": "4000K", "id": "106"},
{"name": "6000K", "id": "107"}
],
"Voltage": [
{"name": "24V", "id": "108"}
],
"IP Rating": [
{"name": "IP20", "id": "109"},
{"name": "IP65 (Nano-Coated)", "id": "110"}
],
"Strip Width": [
{"name": "8mm (W)", "id": "111"}
],
"Cut Interval": [
{"name": "Free Cut", "id": "112"}
]
},
"Constraints": {}
}</v>
      </c>
      <c r="T2" s="14" t="s">
        <v>37</v>
      </c>
      <c r="U2" s="13" t="s">
        <v>38</v>
      </c>
      <c r="V2" s="13" t="s">
        <v>39</v>
      </c>
      <c r="W2" s="15" t="s">
        <v>40</v>
      </c>
      <c r="X2" s="15" t="s">
        <v>41</v>
      </c>
      <c r="Y2" s="16" t="s">
        <v>42</v>
      </c>
      <c r="Z2" s="17"/>
      <c r="AA2" s="17" t="str">
        <f>IFERROR(__xludf.DUMMYFUNCTION("AI(""Generate 6 powerful unique keywords for the product in this row"")"),"Top Bend IP69, Premium Linear Lighting, Flexible Neon LED, Architectural Contour Light, Uniform Glow Strip, Waterproof Decorative Light")</f>
        <v>Top Bend IP69, Premium Linear Lighting, Flexible Neon LED, Architectural Contour Light, Uniform Glow Strip, Waterproof Decorative Light</v>
      </c>
    </row>
    <row r="3">
      <c r="A3" s="6"/>
      <c r="B3" s="17"/>
      <c r="C3" s="17"/>
      <c r="D3" s="17"/>
      <c r="E3" s="17"/>
      <c r="F3" s="17"/>
      <c r="G3" s="17"/>
      <c r="H3" s="17"/>
      <c r="I3" s="17"/>
      <c r="J3" s="17"/>
      <c r="K3" s="17"/>
      <c r="L3" s="10" t="s">
        <v>43</v>
      </c>
      <c r="M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""&amp;L3)"),"Power Consumption Rate | CCT | Voltage | IP Rating | Strip Width | Cut Interval")</f>
        <v>Power Consumption Rate | CCT | Voltage | IP Rating | Strip Width | Cut Interval</v>
      </c>
      <c r="N3" s="18" t="s">
        <v>34</v>
      </c>
      <c r="O3" s="11" t="str">
        <f>IFERROR(__xludf.DUMMYFUNCTION("AI(""Using the labels""&amp;N3&amp;"" and values ""&amp;L3&amp;"" separated by character '|', Create a JSON object"")"),"{ ""Power Consumption Rate"": ""5W/m"", ""CCT"": ""3000K"", ""Voltage"": ""24V"", ""IP Rating"": ""IP20"", ""Strip Width"": ""8mm (W)"", ""Cut Interval"": ""Free Cut"" }")</f>
        <v>{ "Power Consumption Rate": "5W/m", "CCT": "3000K", "Voltage": "24V", "IP Rating": "IP20", "Strip Width": "8mm (W)", "Cut Interval": "Free Cut" }</v>
      </c>
      <c r="P3" s="18" t="s">
        <v>44</v>
      </c>
      <c r="Q3" s="17"/>
      <c r="R3" s="17"/>
      <c r="S3" s="17"/>
      <c r="T3" s="17"/>
      <c r="U3" s="17"/>
      <c r="V3" s="17"/>
      <c r="W3" s="6" t="s">
        <v>40</v>
      </c>
      <c r="X3" s="6" t="s">
        <v>41</v>
      </c>
      <c r="Y3" s="6" t="s">
        <v>42</v>
      </c>
      <c r="Z3" s="17"/>
      <c r="AA3" s="17"/>
    </row>
    <row r="4">
      <c r="A4" s="6"/>
      <c r="B4" s="17"/>
      <c r="C4" s="17"/>
      <c r="D4" s="17"/>
      <c r="E4" s="17"/>
      <c r="F4" s="17"/>
      <c r="G4" s="17"/>
      <c r="H4" s="17"/>
      <c r="I4" s="17"/>
      <c r="J4" s="17"/>
      <c r="K4" s="17"/>
      <c r="L4" s="10" t="s">
        <v>45</v>
      </c>
      <c r="M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""&amp;L4)"),"Power Consumption Rate | CCT | Voltage | IP Rating | Strip Width | Cut Interval")</f>
        <v>Power Consumption Rate | CCT | Voltage | IP Rating | Strip Width | Cut Interval</v>
      </c>
      <c r="N4" s="18" t="s">
        <v>34</v>
      </c>
      <c r="O4" s="11" t="str">
        <f>IFERROR(__xludf.DUMMYFUNCTION("AI(""Using the labels""&amp;N4&amp;"" and values ""&amp;L4&amp;"" separated by character '|', Create a JSON object"")"),"{""Power Consumption Rate"": ""5W/m"", ""CCT"": ""4000K"", ""Voltage"": ""24V"", ""IP Rating"": ""IP20"", ""Strip Width"": ""8mm (W)"", ""Cut Interval"": ""Free Cut""}")</f>
        <v>{"Power Consumption Rate": "5W/m", "CCT": "4000K", "Voltage": "24V", "IP Rating": "IP20", "Strip Width": "8mm (W)", "Cut Interval": "Free Cut"}</v>
      </c>
      <c r="P4" s="18" t="s">
        <v>46</v>
      </c>
      <c r="Q4" s="17"/>
      <c r="R4" s="17"/>
      <c r="S4" s="17"/>
      <c r="T4" s="17"/>
      <c r="U4" s="17"/>
      <c r="V4" s="17"/>
      <c r="W4" s="6" t="s">
        <v>40</v>
      </c>
      <c r="X4" s="6" t="s">
        <v>41</v>
      </c>
      <c r="Y4" s="6" t="s">
        <v>42</v>
      </c>
      <c r="Z4" s="17"/>
      <c r="AA4" s="17"/>
    </row>
    <row r="5">
      <c r="A5" s="6"/>
      <c r="B5" s="17"/>
      <c r="C5" s="17"/>
      <c r="D5" s="17"/>
      <c r="E5" s="17"/>
      <c r="F5" s="17"/>
      <c r="G5" s="17"/>
      <c r="H5" s="17"/>
      <c r="I5" s="17"/>
      <c r="J5" s="17"/>
      <c r="K5" s="17"/>
      <c r="L5" s="10" t="s">
        <v>47</v>
      </c>
      <c r="M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""&amp;L5)"),"Power Consumption Rate | CCT | Voltage | IP Rating | Strip Width | Cut Interval")</f>
        <v>Power Consumption Rate | CCT | Voltage | IP Rating | Strip Width | Cut Interval</v>
      </c>
      <c r="N5" s="18" t="s">
        <v>34</v>
      </c>
      <c r="O5" s="11" t="str">
        <f>IFERROR(__xludf.DUMMYFUNCTION("AI(""Using the labels""&amp;N5&amp;"" and values ""&amp;L5&amp;"" separated by character '|', Create a JSON object"")"),"{ ""Power Consumption Rate"": ""5W/m"", ""CCT"": ""6000K"", ""Voltage"": ""24V"", ""IP Rating"": ""IP20"", ""Strip Width"": ""8mm (W)"", ""Cut Interval"": ""Free Cut"" }")</f>
        <v>{ "Power Consumption Rate": "5W/m", "CCT": "6000K", "Voltage": "24V", "IP Rating": "IP20", "Strip Width": "8mm (W)", "Cut Interval": "Free Cut" }</v>
      </c>
      <c r="P5" s="18" t="s">
        <v>48</v>
      </c>
      <c r="Q5" s="17"/>
      <c r="R5" s="17"/>
      <c r="S5" s="17"/>
      <c r="T5" s="17"/>
      <c r="U5" s="17"/>
      <c r="V5" s="17"/>
      <c r="W5" s="6" t="s">
        <v>40</v>
      </c>
      <c r="X5" s="6" t="s">
        <v>41</v>
      </c>
      <c r="Y5" s="6" t="s">
        <v>42</v>
      </c>
      <c r="Z5" s="17"/>
      <c r="AA5" s="17"/>
    </row>
    <row r="6">
      <c r="A6" s="6"/>
      <c r="B6" s="17"/>
      <c r="C6" s="17"/>
      <c r="D6" s="17"/>
      <c r="E6" s="17"/>
      <c r="F6" s="17"/>
      <c r="G6" s="17"/>
      <c r="H6" s="17"/>
      <c r="I6" s="17"/>
      <c r="J6" s="17"/>
      <c r="K6" s="17"/>
      <c r="L6" s="10" t="s">
        <v>49</v>
      </c>
      <c r="M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""&amp;L6)"),"Power Consumption Rate | CCT | Voltage | IP Rating | Strip Width | Cut Interval")</f>
        <v>Power Consumption Rate | CCT | Voltage | IP Rating | Strip Width | Cut Interval</v>
      </c>
      <c r="N6" s="18" t="s">
        <v>34</v>
      </c>
      <c r="O6" s="11" t="str">
        <f>IFERROR(__xludf.DUMMYFUNCTION("AI(""Using the labels""&amp;N6&amp;"" and values ""&amp;L6&amp;"" separated by character '|', Create a JSON object"")"),"{ ""Power Consumption Rate"": ""5W/m"", ""CCT"": ""2700K"", ""Voltage"": ""24V"", ""IP Rating"": ""IP65 (Nano-Coated)"", ""Strip Width"": ""8mm (W)"", ""Cut Interval"": ""Free Cut"" }")</f>
        <v>{ "Power Consumption Rate": "5W/m", "CCT": "2700K", "Voltage": "24V", "IP Rating": "IP65 (Nano-Coated)", "Strip Width": "8mm (W)", "Cut Interval": "Free Cut" }</v>
      </c>
      <c r="P6" s="18" t="s">
        <v>50</v>
      </c>
      <c r="Q6" s="17"/>
      <c r="R6" s="17"/>
      <c r="S6" s="17"/>
      <c r="T6" s="17"/>
      <c r="U6" s="17"/>
      <c r="V6" s="17"/>
      <c r="W6" s="6" t="s">
        <v>40</v>
      </c>
      <c r="X6" s="6" t="s">
        <v>41</v>
      </c>
      <c r="Y6" s="6" t="s">
        <v>42</v>
      </c>
      <c r="Z6" s="17"/>
      <c r="AA6" s="17"/>
    </row>
    <row r="7">
      <c r="A7" s="6"/>
      <c r="B7" s="17"/>
      <c r="C7" s="17"/>
      <c r="D7" s="17"/>
      <c r="E7" s="17"/>
      <c r="F7" s="17"/>
      <c r="G7" s="17"/>
      <c r="H7" s="17"/>
      <c r="I7" s="17"/>
      <c r="J7" s="17"/>
      <c r="K7" s="17"/>
      <c r="L7" s="10" t="s">
        <v>51</v>
      </c>
      <c r="M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""&amp;L7)"),"Power Consumption Rate | CCT | Voltage | IP Rating | Strip Width | Cut Interval")</f>
        <v>Power Consumption Rate | CCT | Voltage | IP Rating | Strip Width | Cut Interval</v>
      </c>
      <c r="N7" s="18" t="s">
        <v>34</v>
      </c>
      <c r="O7" s="11" t="str">
        <f>IFERROR(__xludf.DUMMYFUNCTION("AI(""Using the labels""&amp;N7&amp;"" and values ""&amp;L7&amp;"" separated by character '|', Create a JSON object"")"),"{ ""Power Consumption Rate"": ""5W/m"", ""CCT"": ""3000K"", ""Voltage"": ""24V"", ""IP Rating"": ""IP65 (Nano-Coated)"", ""Strip Width"": ""8mm (W)"", ""Cut Interval"": ""Free Cut"" }")</f>
        <v>{ "Power Consumption Rate": "5W/m", "CCT": "3000K", "Voltage": "24V", "IP Rating": "IP65 (Nano-Coated)", "Strip Width": "8mm (W)", "Cut Interval": "Free Cut" }</v>
      </c>
      <c r="P7" s="18" t="s">
        <v>52</v>
      </c>
      <c r="Q7" s="17"/>
      <c r="R7" s="17"/>
      <c r="S7" s="17"/>
      <c r="T7" s="17"/>
      <c r="U7" s="17"/>
      <c r="V7" s="17"/>
      <c r="W7" s="6" t="s">
        <v>40</v>
      </c>
      <c r="X7" s="6" t="s">
        <v>41</v>
      </c>
      <c r="Y7" s="6" t="s">
        <v>42</v>
      </c>
      <c r="Z7" s="17"/>
      <c r="AA7" s="17"/>
    </row>
    <row r="8">
      <c r="A8" s="6"/>
      <c r="B8" s="17"/>
      <c r="C8" s="17"/>
      <c r="D8" s="17"/>
      <c r="E8" s="17"/>
      <c r="F8" s="17"/>
      <c r="G8" s="17"/>
      <c r="H8" s="17"/>
      <c r="I8" s="17"/>
      <c r="J8" s="17"/>
      <c r="K8" s="17"/>
      <c r="L8" s="10" t="s">
        <v>53</v>
      </c>
      <c r="M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""&amp;L8)"),"Power Consumption Rate | CCT | Voltage | IP Rating | Strip Width | Cut Interval")</f>
        <v>Power Consumption Rate | CCT | Voltage | IP Rating | Strip Width | Cut Interval</v>
      </c>
      <c r="N8" s="18" t="s">
        <v>34</v>
      </c>
      <c r="O8" s="11" t="str">
        <f>IFERROR(__xludf.DUMMYFUNCTION("AI(""Using the labels""&amp;N8&amp;"" and values ""&amp;L8&amp;"" separated by character '|', Create a JSON object"")"),"{ ""Power Consumption Rate"": ""5W/m"", ""CCT"": ""4000K"", ""Voltage"": ""24V"", ""IP Rating"": ""IP65 (Nano-Coated)"", ""Strip Width"": ""8mm (W)"", ""Cut Interval"": ""Free Cut"" }")</f>
        <v>{ "Power Consumption Rate": "5W/m", "CCT": "4000K", "Voltage": "24V", "IP Rating": "IP65 (Nano-Coated)", "Strip Width": "8mm (W)", "Cut Interval": "Free Cut" }</v>
      </c>
      <c r="P8" s="18" t="s">
        <v>54</v>
      </c>
      <c r="Q8" s="17"/>
      <c r="R8" s="17"/>
      <c r="S8" s="17"/>
      <c r="T8" s="17"/>
      <c r="U8" s="17"/>
      <c r="V8" s="17"/>
      <c r="W8" s="6" t="s">
        <v>40</v>
      </c>
      <c r="X8" s="6" t="s">
        <v>41</v>
      </c>
      <c r="Y8" s="6" t="s">
        <v>42</v>
      </c>
      <c r="Z8" s="17"/>
      <c r="AA8" s="17"/>
    </row>
    <row r="9">
      <c r="A9" s="6"/>
      <c r="B9" s="17"/>
      <c r="C9" s="17"/>
      <c r="D9" s="17"/>
      <c r="E9" s="17"/>
      <c r="F9" s="17"/>
      <c r="G9" s="17"/>
      <c r="H9" s="17"/>
      <c r="I9" s="17"/>
      <c r="J9" s="17"/>
      <c r="K9" s="17"/>
      <c r="L9" s="10" t="s">
        <v>55</v>
      </c>
      <c r="M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""&amp;L9)"),"Power Consumption Rate | CCT | Voltage | IP Rating | Strip Width | Cut Interval")</f>
        <v>Power Consumption Rate | CCT | Voltage | IP Rating | Strip Width | Cut Interval</v>
      </c>
      <c r="N9" s="18" t="s">
        <v>34</v>
      </c>
      <c r="O9" s="11" t="str">
        <f>IFERROR(__xludf.DUMMYFUNCTION("AI(""Using the labels""&amp;N9&amp;"" and values ""&amp;L9&amp;"" separated by character '|', Create a JSON object"")"),"{ ""Power Consumption Rate"": ""5W/m"", ""CCT"": ""6000K"", ""Voltage"": ""24V"", ""IP Rating"": ""IP65 (Nano-Coated)"", ""Strip Width"": ""8mm (W)"", ""Cut Interval"": ""Free Cut"" }")</f>
        <v>{ "Power Consumption Rate": "5W/m", "CCT": "6000K", "Voltage": "24V", "IP Rating": "IP65 (Nano-Coated)", "Strip Width": "8mm (W)", "Cut Interval": "Free Cut" }</v>
      </c>
      <c r="P9" s="18" t="s">
        <v>56</v>
      </c>
      <c r="Q9" s="17"/>
      <c r="R9" s="17"/>
      <c r="S9" s="17"/>
      <c r="T9" s="17"/>
      <c r="U9" s="17"/>
      <c r="V9" s="17"/>
      <c r="W9" s="6" t="s">
        <v>40</v>
      </c>
      <c r="X9" s="6" t="s">
        <v>41</v>
      </c>
      <c r="Y9" s="6" t="s">
        <v>42</v>
      </c>
      <c r="Z9" s="17"/>
      <c r="AA9" s="17"/>
    </row>
    <row r="10">
      <c r="A10" s="6"/>
      <c r="B10" s="17"/>
      <c r="C10" s="17"/>
      <c r="D10" s="17"/>
      <c r="E10" s="17"/>
      <c r="F10" s="17"/>
      <c r="G10" s="17"/>
      <c r="H10" s="17"/>
      <c r="I10" s="17"/>
      <c r="J10" s="17"/>
      <c r="K10" s="17"/>
      <c r="L10" s="10" t="s">
        <v>57</v>
      </c>
      <c r="M1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""&amp;L10)"),"Power Consumption Rate | CCT | Voltage | IP Rating | Strip Width | Cut Interval")</f>
        <v>Power Consumption Rate | CCT | Voltage | IP Rating | Strip Width | Cut Interval</v>
      </c>
      <c r="N10" s="18" t="s">
        <v>34</v>
      </c>
      <c r="O10" s="11" t="str">
        <f>IFERROR(__xludf.DUMMYFUNCTION("AI(""Using the labels""&amp;N10&amp;"" and values ""&amp;L10&amp;"" separated by character '|', Create a JSON object"")"),"{ ""Power Consumption Rate"": ""10W/m"", ""CCT"": ""2700K"", ""Voltage"": ""24V"", ""IP Rating"": ""IP20"", ""Strip Width"": ""8mm (W)"", ""Cut Interval"": ""Free Cut"" }")</f>
        <v>{ "Power Consumption Rate": "10W/m", "CCT": "2700K", "Voltage": "24V", "IP Rating": "IP20", "Strip Width": "8mm (W)", "Cut Interval": "Free Cut" }</v>
      </c>
      <c r="P10" s="18" t="s">
        <v>58</v>
      </c>
      <c r="Q10" s="17"/>
      <c r="R10" s="17"/>
      <c r="S10" s="17"/>
      <c r="T10" s="17"/>
      <c r="U10" s="17"/>
      <c r="V10" s="17"/>
      <c r="W10" s="6" t="s">
        <v>40</v>
      </c>
      <c r="X10" s="6" t="s">
        <v>59</v>
      </c>
      <c r="Y10" s="6" t="s">
        <v>60</v>
      </c>
      <c r="Z10" s="17"/>
      <c r="AA10" s="17"/>
    </row>
    <row r="11">
      <c r="A11" s="6"/>
      <c r="B11" s="17"/>
      <c r="C11" s="17"/>
      <c r="D11" s="17"/>
      <c r="E11" s="17"/>
      <c r="F11" s="17"/>
      <c r="G11" s="17"/>
      <c r="H11" s="17"/>
      <c r="I11" s="17"/>
      <c r="J11" s="17"/>
      <c r="K11" s="17"/>
      <c r="L11" s="10" t="s">
        <v>61</v>
      </c>
      <c r="M1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""&amp;L11)"),"Power Consumption Rate | CCT | Voltage | IP Rating | Strip Width | Cut Interval")</f>
        <v>Power Consumption Rate | CCT | Voltage | IP Rating | Strip Width | Cut Interval</v>
      </c>
      <c r="N11" s="18" t="s">
        <v>34</v>
      </c>
      <c r="O11" s="11" t="str">
        <f>IFERROR(__xludf.DUMMYFUNCTION("AI(""Using the labels""&amp;N11&amp;"" and values ""&amp;L11&amp;"" separated by character '|', Create a JSON object"")"),"{""Power Consumption Rate"": ""10W/m"", ""CCT"": ""3000K"", ""Voltage"": ""24V"", ""IP Rating"": ""IP20"", ""Strip Width"": ""8mm (W)"", ""Cut Interval"": ""Free Cut""}")</f>
        <v>{"Power Consumption Rate": "10W/m", "CCT": "3000K", "Voltage": "24V", "IP Rating": "IP20", "Strip Width": "8mm (W)", "Cut Interval": "Free Cut"}</v>
      </c>
      <c r="P11" s="18" t="s">
        <v>62</v>
      </c>
      <c r="Q11" s="17"/>
      <c r="R11" s="17"/>
      <c r="S11" s="17"/>
      <c r="T11" s="17"/>
      <c r="U11" s="17"/>
      <c r="V11" s="17"/>
      <c r="W11" s="6" t="s">
        <v>40</v>
      </c>
      <c r="X11" s="6" t="s">
        <v>59</v>
      </c>
      <c r="Y11" s="6" t="s">
        <v>60</v>
      </c>
      <c r="Z11" s="17"/>
      <c r="AA11" s="17"/>
    </row>
    <row r="12">
      <c r="A12" s="6"/>
      <c r="B12" s="17"/>
      <c r="C12" s="17"/>
      <c r="D12" s="17"/>
      <c r="E12" s="17"/>
      <c r="F12" s="17"/>
      <c r="G12" s="17"/>
      <c r="H12" s="17"/>
      <c r="I12" s="17"/>
      <c r="J12" s="17"/>
      <c r="K12" s="17"/>
      <c r="L12" s="10" t="s">
        <v>63</v>
      </c>
      <c r="M1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""&amp;L12)"),"Power Consumption Rate | CCT | Voltage | IP Rating | Strip Width | Cut Interval")</f>
        <v>Power Consumption Rate | CCT | Voltage | IP Rating | Strip Width | Cut Interval</v>
      </c>
      <c r="N12" s="18" t="s">
        <v>34</v>
      </c>
      <c r="O12" s="11" t="str">
        <f>IFERROR(__xludf.DUMMYFUNCTION("AI(""Using the labels""&amp;N12&amp;"" and values ""&amp;L12&amp;"" separated by character '|', Create a JSON object"")"),"{ ""Power Consumption Rate"": ""10W/m"", ""CCT"": ""4000K"", ""Voltage"": ""24V"", ""IP Rating"": ""IP20"", ""Strip Width"": ""8mm (W)"", ""Cut Interval"": ""Free Cut"" }")</f>
        <v>{ "Power Consumption Rate": "10W/m", "CCT": "4000K", "Voltage": "24V", "IP Rating": "IP20", "Strip Width": "8mm (W)", "Cut Interval": "Free Cut" }</v>
      </c>
      <c r="P12" s="18" t="s">
        <v>64</v>
      </c>
      <c r="Q12" s="17"/>
      <c r="R12" s="17"/>
      <c r="S12" s="17"/>
      <c r="T12" s="17"/>
      <c r="U12" s="17"/>
      <c r="V12" s="17"/>
      <c r="W12" s="6" t="s">
        <v>40</v>
      </c>
      <c r="X12" s="6" t="s">
        <v>59</v>
      </c>
      <c r="Y12" s="6" t="s">
        <v>60</v>
      </c>
      <c r="Z12" s="17"/>
      <c r="AA12" s="17"/>
    </row>
    <row r="13">
      <c r="A13" s="6"/>
      <c r="B13" s="17"/>
      <c r="C13" s="17"/>
      <c r="D13" s="17"/>
      <c r="E13" s="17"/>
      <c r="F13" s="17"/>
      <c r="G13" s="17"/>
      <c r="H13" s="17"/>
      <c r="I13" s="17"/>
      <c r="J13" s="17"/>
      <c r="K13" s="17"/>
      <c r="L13" s="10" t="s">
        <v>65</v>
      </c>
      <c r="M1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""&amp;L13)"),"Power Consumption Rate | CCT | Voltage | IP Rating | Strip Width | Cut Interval")</f>
        <v>Power Consumption Rate | CCT | Voltage | IP Rating | Strip Width | Cut Interval</v>
      </c>
      <c r="N13" s="18" t="s">
        <v>34</v>
      </c>
      <c r="O13" s="11" t="str">
        <f>IFERROR(__xludf.DUMMYFUNCTION("AI(""Using the labels""&amp;N13&amp;"" and values ""&amp;L13&amp;"" separated by character '|', Create a JSON object"")"),"{ ""Power Consumption Rate"": ""10W/m"", ""CCT"": ""6000K"", ""Voltage"": ""24V"", ""IP Rating"": ""IP20"", ""Strip Width"": ""8mm (W)"", ""Cut Interval"": ""Free Cut"" }")</f>
        <v>{ "Power Consumption Rate": "10W/m", "CCT": "6000K", "Voltage": "24V", "IP Rating": "IP20", "Strip Width": "8mm (W)", "Cut Interval": "Free Cut" }</v>
      </c>
      <c r="P13" s="18" t="s">
        <v>66</v>
      </c>
      <c r="Q13" s="17"/>
      <c r="R13" s="17"/>
      <c r="S13" s="17"/>
      <c r="T13" s="17"/>
      <c r="U13" s="17"/>
      <c r="V13" s="17"/>
      <c r="W13" s="6" t="s">
        <v>40</v>
      </c>
      <c r="X13" s="6" t="s">
        <v>59</v>
      </c>
      <c r="Y13" s="6" t="s">
        <v>60</v>
      </c>
      <c r="Z13" s="17"/>
      <c r="AA13" s="17"/>
    </row>
    <row r="14">
      <c r="A14" s="6"/>
      <c r="B14" s="17"/>
      <c r="C14" s="17"/>
      <c r="D14" s="17"/>
      <c r="E14" s="17"/>
      <c r="F14" s="17"/>
      <c r="G14" s="17"/>
      <c r="H14" s="17"/>
      <c r="I14" s="17"/>
      <c r="J14" s="17"/>
      <c r="K14" s="17"/>
      <c r="L14" s="10" t="s">
        <v>67</v>
      </c>
      <c r="M1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""&amp;L14)"),"Power Consumption Rate | CCT | Voltage | IP Rating | Strip Width | Cut Interval")</f>
        <v>Power Consumption Rate | CCT | Voltage | IP Rating | Strip Width | Cut Interval</v>
      </c>
      <c r="N14" s="18" t="s">
        <v>34</v>
      </c>
      <c r="O14" s="11" t="str">
        <f>IFERROR(__xludf.DUMMYFUNCTION("AI(""Using the labels""&amp;N14&amp;"" and values ""&amp;L14&amp;"" separated by character '|', Create a JSON object"")"),"{ ""Power Consumption Rate"": ""10W/m"", ""CCT"": ""2700K"", ""Voltage"": ""24V"", ""IP Rating"": ""IP65 (Nano-Coated)"", ""Strip Width"": ""8mm (W)"", ""Cut Interval"": ""Free Cut"" }")</f>
        <v>{ "Power Consumption Rate": "10W/m", "CCT": "2700K", "Voltage": "24V", "IP Rating": "IP65 (Nano-Coated)", "Strip Width": "8mm (W)", "Cut Interval": "Free Cut" }</v>
      </c>
      <c r="P14" s="18" t="s">
        <v>68</v>
      </c>
      <c r="Q14" s="17"/>
      <c r="R14" s="17"/>
      <c r="S14" s="17"/>
      <c r="T14" s="17"/>
      <c r="U14" s="17"/>
      <c r="V14" s="17"/>
      <c r="W14" s="6" t="s">
        <v>40</v>
      </c>
      <c r="X14" s="6" t="s">
        <v>59</v>
      </c>
      <c r="Y14" s="6" t="s">
        <v>60</v>
      </c>
      <c r="Z14" s="17"/>
      <c r="AA14" s="17"/>
    </row>
    <row r="15">
      <c r="A15" s="6"/>
      <c r="B15" s="17"/>
      <c r="C15" s="17"/>
      <c r="D15" s="17"/>
      <c r="E15" s="17"/>
      <c r="F15" s="17"/>
      <c r="G15" s="17"/>
      <c r="H15" s="17"/>
      <c r="I15" s="17"/>
      <c r="J15" s="17"/>
      <c r="K15" s="17"/>
      <c r="L15" s="10" t="s">
        <v>69</v>
      </c>
      <c r="M1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""&amp;L15)"),"Power Consumption Rate | CCT | Voltage | IP Rating | Strip Width | Cut Interval")</f>
        <v>Power Consumption Rate | CCT | Voltage | IP Rating | Strip Width | Cut Interval</v>
      </c>
      <c r="N15" s="18" t="s">
        <v>34</v>
      </c>
      <c r="O15" s="11" t="str">
        <f>IFERROR(__xludf.DUMMYFUNCTION("AI(""Using the labels""&amp;N15&amp;"" and values ""&amp;L15&amp;"" separated by character '|', Create a JSON object"")"),"{ ""Power Consumption Rate"": ""10W/m"", ""CCT"": ""3000K"", ""Voltage"": ""24V"", ""IP Rating"": ""IP65 (Nano-Coated)"", ""Strip Width"": ""8mm (W)"", ""Cut Interval"": ""Free Cut"" }")</f>
        <v>{ "Power Consumption Rate": "10W/m", "CCT": "3000K", "Voltage": "24V", "IP Rating": "IP65 (Nano-Coated)", "Strip Width": "8mm (W)", "Cut Interval": "Free Cut" }</v>
      </c>
      <c r="P15" s="18" t="s">
        <v>70</v>
      </c>
      <c r="Q15" s="17"/>
      <c r="R15" s="17"/>
      <c r="S15" s="17"/>
      <c r="T15" s="17"/>
      <c r="U15" s="17"/>
      <c r="V15" s="17"/>
      <c r="W15" s="6" t="s">
        <v>40</v>
      </c>
      <c r="X15" s="6" t="s">
        <v>59</v>
      </c>
      <c r="Y15" s="6" t="s">
        <v>60</v>
      </c>
      <c r="Z15" s="17"/>
      <c r="AA15" s="17"/>
    </row>
    <row r="16">
      <c r="A16" s="6"/>
      <c r="B16" s="17"/>
      <c r="C16" s="17"/>
      <c r="D16" s="17"/>
      <c r="E16" s="17"/>
      <c r="F16" s="17"/>
      <c r="G16" s="17"/>
      <c r="H16" s="17"/>
      <c r="I16" s="17"/>
      <c r="J16" s="17"/>
      <c r="K16" s="17"/>
      <c r="L16" s="10" t="s">
        <v>71</v>
      </c>
      <c r="M1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""&amp;L16)"),"Power Consumption Rate | CCT | Voltage | IP Rating | Strip Width | Cut Interval")</f>
        <v>Power Consumption Rate | CCT | Voltage | IP Rating | Strip Width | Cut Interval</v>
      </c>
      <c r="N16" s="18" t="s">
        <v>34</v>
      </c>
      <c r="O16" s="11" t="str">
        <f>IFERROR(__xludf.DUMMYFUNCTION("AI(""Using the labels""&amp;N16&amp;"" and values ""&amp;L16&amp;"" separated by character '|', Create a JSON object"")"),"{ ""Power Consumption Rate"": ""10W/m"", ""CCT"": ""4000K"", ""Voltage"": ""24V"", ""IP Rating"": ""IP65 (Nano-Coated)"", ""Strip Width"": ""8mm (W)"", ""Cut Interval"": ""Free Cut"" }")</f>
        <v>{ "Power Consumption Rate": "10W/m", "CCT": "4000K", "Voltage": "24V", "IP Rating": "IP65 (Nano-Coated)", "Strip Width": "8mm (W)", "Cut Interval": "Free Cut" }</v>
      </c>
      <c r="P16" s="18" t="s">
        <v>72</v>
      </c>
      <c r="Q16" s="17"/>
      <c r="R16" s="17"/>
      <c r="S16" s="17"/>
      <c r="T16" s="17"/>
      <c r="U16" s="17"/>
      <c r="V16" s="17"/>
      <c r="W16" s="6" t="s">
        <v>40</v>
      </c>
      <c r="X16" s="6" t="s">
        <v>59</v>
      </c>
      <c r="Y16" s="6" t="s">
        <v>60</v>
      </c>
      <c r="Z16" s="17"/>
      <c r="AA16" s="17"/>
    </row>
    <row r="17">
      <c r="A17" s="6"/>
      <c r="B17" s="17"/>
      <c r="C17" s="17"/>
      <c r="D17" s="17"/>
      <c r="E17" s="17"/>
      <c r="F17" s="17"/>
      <c r="G17" s="17"/>
      <c r="H17" s="17"/>
      <c r="I17" s="17"/>
      <c r="J17" s="17"/>
      <c r="K17" s="17"/>
      <c r="L17" s="10" t="s">
        <v>73</v>
      </c>
      <c r="M1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""&amp;L17)"),"Power Consumption Rate | CCT | Voltage | IP Rating | Strip Width | Cut Interval")</f>
        <v>Power Consumption Rate | CCT | Voltage | IP Rating | Strip Width | Cut Interval</v>
      </c>
      <c r="N17" s="18" t="s">
        <v>34</v>
      </c>
      <c r="O17" s="11" t="str">
        <f>IFERROR(__xludf.DUMMYFUNCTION("AI(""Using the labels""&amp;N17&amp;"" and values ""&amp;L17&amp;"" separated by character '|', Create a JSON object"")"),"{ ""Power Consumption Rate"": ""10W/m"", ""CCT"": ""6000K"", ""Voltage"": ""24V"", ""IP Rating"": ""IP65 (Nano-Coated)"", ""Strip Width"": ""8mm (W)"", ""Cut Interval"": ""Free Cut"" }")</f>
        <v>{ "Power Consumption Rate": "10W/m", "CCT": "6000K", "Voltage": "24V", "IP Rating": "IP65 (Nano-Coated)", "Strip Width": "8mm (W)", "Cut Interval": "Free Cut" }</v>
      </c>
      <c r="P17" s="18" t="s">
        <v>74</v>
      </c>
      <c r="Q17" s="17"/>
      <c r="R17" s="17"/>
      <c r="S17" s="17"/>
      <c r="T17" s="17"/>
      <c r="U17" s="17"/>
      <c r="V17" s="17"/>
      <c r="W17" s="6" t="s">
        <v>40</v>
      </c>
      <c r="X17" s="6" t="s">
        <v>59</v>
      </c>
      <c r="Y17" s="6" t="s">
        <v>60</v>
      </c>
      <c r="Z17" s="17"/>
      <c r="AA17" s="17"/>
    </row>
    <row r="18">
      <c r="A18" s="6"/>
      <c r="B18" s="17"/>
      <c r="C18" s="17"/>
      <c r="D18" s="17"/>
      <c r="E18" s="17"/>
      <c r="F18" s="17"/>
      <c r="G18" s="17"/>
      <c r="H18" s="17"/>
      <c r="I18" s="17"/>
      <c r="J18" s="17"/>
      <c r="K18" s="17"/>
      <c r="L18" s="10" t="s">
        <v>75</v>
      </c>
      <c r="M1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""&amp;L18)"),"Power Consumption Rate | CCT | Voltage | IP Rating | Strip Width | Cut Interval")</f>
        <v>Power Consumption Rate | CCT | Voltage | IP Rating | Strip Width | Cut Interval</v>
      </c>
      <c r="N18" s="18" t="s">
        <v>34</v>
      </c>
      <c r="O18" s="11" t="str">
        <f>IFERROR(__xludf.DUMMYFUNCTION("AI(""Using the labels""&amp;N18&amp;"" and values ""&amp;L18&amp;"" separated by character '|', Create a JSON object"")"),"{ ""Power Consumption Rate"": ""15W/m"", ""CCT"": ""2700K"", ""Voltage"": ""24V"", ""IP Rating"": ""IP20"", ""Strip Width"": ""8mm (W)"", ""Cut Interval"": ""Free Cut"" }")</f>
        <v>{ "Power Consumption Rate": "15W/m", "CCT": "2700K", "Voltage": "24V", "IP Rating": "IP20", "Strip Width": "8mm (W)", "Cut Interval": "Free Cut" }</v>
      </c>
      <c r="P18" s="18" t="s">
        <v>76</v>
      </c>
      <c r="Q18" s="17"/>
      <c r="R18" s="17"/>
      <c r="S18" s="17"/>
      <c r="T18" s="17"/>
      <c r="U18" s="17"/>
      <c r="V18" s="17"/>
      <c r="W18" s="6" t="s">
        <v>40</v>
      </c>
      <c r="X18" s="6" t="s">
        <v>77</v>
      </c>
      <c r="Y18" s="6" t="s">
        <v>42</v>
      </c>
      <c r="Z18" s="17"/>
      <c r="AA18" s="17"/>
    </row>
    <row r="19">
      <c r="A19" s="6"/>
      <c r="B19" s="17"/>
      <c r="C19" s="17"/>
      <c r="D19" s="17"/>
      <c r="E19" s="17"/>
      <c r="F19" s="17"/>
      <c r="G19" s="17"/>
      <c r="H19" s="17"/>
      <c r="I19" s="17"/>
      <c r="J19" s="17"/>
      <c r="K19" s="17"/>
      <c r="L19" s="10" t="s">
        <v>78</v>
      </c>
      <c r="M1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""&amp;L19)"),"Power Consumption Rate | CCT | Voltage | IP Rating | Strip Width | Cut Interval")</f>
        <v>Power Consumption Rate | CCT | Voltage | IP Rating | Strip Width | Cut Interval</v>
      </c>
      <c r="N19" s="18" t="s">
        <v>34</v>
      </c>
      <c r="O19" s="11" t="str">
        <f>IFERROR(__xludf.DUMMYFUNCTION("AI(""Using the labels""&amp;N19&amp;"" and values ""&amp;L19&amp;"" separated by character '|', Create a JSON object"")"),"{ ""Power Consumption Rate"": ""15W/m"", ""CCT"": ""3000K"", ""Voltage"": ""24V"", ""IP Rating"": ""IP20"", ""Strip Width"": ""8mm (W)"", ""Cut Interval"": ""Free Cut"" }")</f>
        <v>{ "Power Consumption Rate": "15W/m", "CCT": "3000K", "Voltage": "24V", "IP Rating": "IP20", "Strip Width": "8mm (W)", "Cut Interval": "Free Cut" }</v>
      </c>
      <c r="P19" s="18" t="s">
        <v>79</v>
      </c>
      <c r="Q19" s="17"/>
      <c r="R19" s="17"/>
      <c r="S19" s="17"/>
      <c r="T19" s="17"/>
      <c r="U19" s="17"/>
      <c r="V19" s="17"/>
      <c r="W19" s="6" t="s">
        <v>40</v>
      </c>
      <c r="X19" s="6" t="s">
        <v>77</v>
      </c>
      <c r="Y19" s="6" t="s">
        <v>42</v>
      </c>
      <c r="Z19" s="17"/>
      <c r="AA19" s="17"/>
    </row>
    <row r="20">
      <c r="A20" s="6"/>
      <c r="B20" s="17"/>
      <c r="C20" s="17"/>
      <c r="D20" s="17"/>
      <c r="E20" s="17"/>
      <c r="F20" s="17"/>
      <c r="G20" s="17"/>
      <c r="H20" s="17"/>
      <c r="I20" s="17"/>
      <c r="J20" s="17"/>
      <c r="K20" s="17"/>
      <c r="L20" s="10" t="s">
        <v>80</v>
      </c>
      <c r="M2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""&amp;L20)"),"Power Consumption Rate | CCT | Voltage | IP Rating | Strip Width | Cut Interval")</f>
        <v>Power Consumption Rate | CCT | Voltage | IP Rating | Strip Width | Cut Interval</v>
      </c>
      <c r="N20" s="18" t="s">
        <v>34</v>
      </c>
      <c r="O20" s="11" t="str">
        <f>IFERROR(__xludf.DUMMYFUNCTION("AI(""Using the labels""&amp;N20&amp;"" and values ""&amp;L20&amp;"" separated by character '|', Create a JSON object"")"),"{ ""Power Consumption Rate"": ""15W/m"", ""CCT"": ""4000K"", ""Voltage"": ""24V"", ""IP Rating"": ""IP20"", ""Strip Width"": ""8mm (W)"", ""Cut Interval"": ""Free Cut"" }")</f>
        <v>{ "Power Consumption Rate": "15W/m", "CCT": "4000K", "Voltage": "24V", "IP Rating": "IP20", "Strip Width": "8mm (W)", "Cut Interval": "Free Cut" }</v>
      </c>
      <c r="P20" s="18" t="s">
        <v>81</v>
      </c>
      <c r="Q20" s="17"/>
      <c r="R20" s="17"/>
      <c r="S20" s="17"/>
      <c r="T20" s="17"/>
      <c r="U20" s="17"/>
      <c r="V20" s="17"/>
      <c r="W20" s="6" t="s">
        <v>40</v>
      </c>
      <c r="X20" s="6" t="s">
        <v>77</v>
      </c>
      <c r="Y20" s="6" t="s">
        <v>42</v>
      </c>
      <c r="Z20" s="17"/>
      <c r="AA20" s="17"/>
    </row>
    <row r="21">
      <c r="A21" s="6"/>
      <c r="B21" s="17"/>
      <c r="C21" s="17"/>
      <c r="D21" s="17"/>
      <c r="E21" s="17"/>
      <c r="F21" s="17"/>
      <c r="G21" s="17"/>
      <c r="H21" s="17"/>
      <c r="I21" s="17"/>
      <c r="J21" s="17"/>
      <c r="K21" s="17"/>
      <c r="L21" s="10" t="s">
        <v>82</v>
      </c>
      <c r="M2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""&amp;L21)"),"Power Consumption Rate | CCT | Voltage | IP Rating | Strip Width | Cut Interval")</f>
        <v>Power Consumption Rate | CCT | Voltage | IP Rating | Strip Width | Cut Interval</v>
      </c>
      <c r="N21" s="18" t="s">
        <v>34</v>
      </c>
      <c r="O21" s="11" t="str">
        <f>IFERROR(__xludf.DUMMYFUNCTION("AI(""Using the labels""&amp;N21&amp;"" and values ""&amp;L21&amp;"" separated by character '|', Create a JSON object"")"),"{ ""Power Consumption Rate"": ""15W/m"", ""CCT"": ""6000K"", ""Voltage"": ""24V"", ""IP Rating"": ""IP20"", ""Strip Width"": ""8mm (W)"", ""Cut Interval"": ""Free Cut"" }")</f>
        <v>{ "Power Consumption Rate": "15W/m", "CCT": "6000K", "Voltage": "24V", "IP Rating": "IP20", "Strip Width": "8mm (W)", "Cut Interval": "Free Cut" }</v>
      </c>
      <c r="P21" s="18" t="s">
        <v>83</v>
      </c>
      <c r="Q21" s="17"/>
      <c r="R21" s="17"/>
      <c r="S21" s="17"/>
      <c r="T21" s="17"/>
      <c r="U21" s="17"/>
      <c r="V21" s="17"/>
      <c r="W21" s="6" t="s">
        <v>40</v>
      </c>
      <c r="X21" s="6" t="s">
        <v>77</v>
      </c>
      <c r="Y21" s="6" t="s">
        <v>42</v>
      </c>
      <c r="Z21" s="17"/>
      <c r="AA21" s="17"/>
    </row>
    <row r="22">
      <c r="A22" s="6"/>
      <c r="B22" s="17"/>
      <c r="C22" s="17"/>
      <c r="D22" s="17"/>
      <c r="E22" s="17"/>
      <c r="F22" s="17"/>
      <c r="G22" s="17"/>
      <c r="H22" s="17"/>
      <c r="I22" s="17"/>
      <c r="J22" s="17"/>
      <c r="K22" s="17"/>
      <c r="L22" s="10" t="s">
        <v>84</v>
      </c>
      <c r="M2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""&amp;L22)"),"Power Consumption Rate | CCT | Voltage | IP Rating | Strip Width | Cut Interval")</f>
        <v>Power Consumption Rate | CCT | Voltage | IP Rating | Strip Width | Cut Interval</v>
      </c>
      <c r="N22" s="18" t="s">
        <v>34</v>
      </c>
      <c r="O22" s="11" t="str">
        <f>IFERROR(__xludf.DUMMYFUNCTION("AI(""Using the labels""&amp;N22&amp;"" and values ""&amp;L22&amp;"" separated by character '|', Create a JSON object"")"),"{ ""Power Consumption Rate"": ""15W/m"", ""CCT"": ""2700K"", ""Voltage"": ""24V"", ""IP Rating"": ""IP65 (Nano-Coated)"", ""Strip Width"": ""8mm (W)"", ""Cut Interval"": ""Free Cut"" }")</f>
        <v>{ "Power Consumption Rate": "15W/m", "CCT": "2700K", "Voltage": "24V", "IP Rating": "IP65 (Nano-Coated)", "Strip Width": "8mm (W)", "Cut Interval": "Free Cut" }</v>
      </c>
      <c r="P22" s="18" t="s">
        <v>85</v>
      </c>
      <c r="Q22" s="17"/>
      <c r="R22" s="17"/>
      <c r="S22" s="17"/>
      <c r="T22" s="17"/>
      <c r="U22" s="17"/>
      <c r="V22" s="17"/>
      <c r="W22" s="6" t="s">
        <v>40</v>
      </c>
      <c r="X22" s="6" t="s">
        <v>77</v>
      </c>
      <c r="Y22" s="6" t="s">
        <v>42</v>
      </c>
      <c r="Z22" s="17"/>
      <c r="AA22" s="17"/>
    </row>
    <row r="23">
      <c r="A23" s="6"/>
      <c r="B23" s="17"/>
      <c r="C23" s="17"/>
      <c r="D23" s="17"/>
      <c r="E23" s="17"/>
      <c r="F23" s="17"/>
      <c r="G23" s="17"/>
      <c r="H23" s="17"/>
      <c r="I23" s="17"/>
      <c r="J23" s="17"/>
      <c r="K23" s="17"/>
      <c r="L23" s="10" t="s">
        <v>86</v>
      </c>
      <c r="M2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""&amp;L23)"),"Power Consumption Rate | CCT | Voltage | IP Rating | Strip Width | Cut Interval")</f>
        <v>Power Consumption Rate | CCT | Voltage | IP Rating | Strip Width | Cut Interval</v>
      </c>
      <c r="N23" s="18" t="s">
        <v>34</v>
      </c>
      <c r="O23" s="11" t="str">
        <f>IFERROR(__xludf.DUMMYFUNCTION("AI(""Using the labels""&amp;N23&amp;"" and values ""&amp;L23&amp;"" separated by character '|', Create a JSON object"")"),"{ ""Power Consumption Rate"": ""15W/m"", ""CCT"": ""3000K"", ""Voltage"": ""24V"", ""IP Rating"": ""IP65 (Nano-Coated)"", ""Strip Width"": ""8mm (W)"", ""Cut Interval"": ""Free Cut"" }")</f>
        <v>{ "Power Consumption Rate": "15W/m", "CCT": "3000K", "Voltage": "24V", "IP Rating": "IP65 (Nano-Coated)", "Strip Width": "8mm (W)", "Cut Interval": "Free Cut" }</v>
      </c>
      <c r="P23" s="18" t="s">
        <v>87</v>
      </c>
      <c r="Q23" s="17"/>
      <c r="R23" s="17"/>
      <c r="S23" s="17"/>
      <c r="T23" s="17"/>
      <c r="U23" s="17"/>
      <c r="V23" s="17"/>
      <c r="W23" s="6" t="s">
        <v>40</v>
      </c>
      <c r="X23" s="6" t="s">
        <v>77</v>
      </c>
      <c r="Y23" s="6" t="s">
        <v>42</v>
      </c>
      <c r="Z23" s="17"/>
      <c r="AA23" s="17"/>
    </row>
    <row r="24">
      <c r="A24" s="6"/>
      <c r="B24" s="17"/>
      <c r="C24" s="17"/>
      <c r="D24" s="17"/>
      <c r="E24" s="17"/>
      <c r="F24" s="17"/>
      <c r="G24" s="17"/>
      <c r="H24" s="17"/>
      <c r="I24" s="17"/>
      <c r="J24" s="17"/>
      <c r="K24" s="17"/>
      <c r="L24" s="10" t="s">
        <v>88</v>
      </c>
      <c r="M2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""&amp;L24)"),"Power Consumption Rate | CCT | Voltage | IP Rating | Strip Width | Cut Interval")</f>
        <v>Power Consumption Rate | CCT | Voltage | IP Rating | Strip Width | Cut Interval</v>
      </c>
      <c r="N24" s="18" t="s">
        <v>34</v>
      </c>
      <c r="O24" s="11" t="str">
        <f>IFERROR(__xludf.DUMMYFUNCTION("AI(""Using the labels""&amp;N24&amp;"" and values ""&amp;L24&amp;"" separated by character '|', Create a JSON object"")"),"{ ""Power Consumption Rate"": ""15W/m"", ""CCT"": ""4000K"", ""Voltage"": ""24V"", ""IP Rating"": ""IP65 (Nano-Coated)"", ""Strip Width"": ""8mm (W)"", ""Cut Interval"": ""Free Cut"" }")</f>
        <v>{ "Power Consumption Rate": "15W/m", "CCT": "4000K", "Voltage": "24V", "IP Rating": "IP65 (Nano-Coated)", "Strip Width": "8mm (W)", "Cut Interval": "Free Cut" }</v>
      </c>
      <c r="P24" s="18" t="s">
        <v>89</v>
      </c>
      <c r="Q24" s="17"/>
      <c r="R24" s="17"/>
      <c r="S24" s="17"/>
      <c r="T24" s="17"/>
      <c r="U24" s="17"/>
      <c r="V24" s="17"/>
      <c r="W24" s="6" t="s">
        <v>40</v>
      </c>
      <c r="X24" s="6" t="s">
        <v>77</v>
      </c>
      <c r="Y24" s="6" t="s">
        <v>42</v>
      </c>
      <c r="Z24" s="17"/>
      <c r="AA24" s="17"/>
    </row>
    <row r="25">
      <c r="A25" s="6"/>
      <c r="B25" s="17"/>
      <c r="C25" s="17"/>
      <c r="D25" s="17"/>
      <c r="E25" s="17"/>
      <c r="F25" s="17"/>
      <c r="G25" s="17"/>
      <c r="H25" s="17"/>
      <c r="I25" s="17"/>
      <c r="J25" s="17"/>
      <c r="K25" s="17"/>
      <c r="L25" s="10" t="s">
        <v>90</v>
      </c>
      <c r="M2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""&amp;L25)"),"Power Consumption Rate | CCT | Voltage | IP Rating | Strip Width | Cut Interval")</f>
        <v>Power Consumption Rate | CCT | Voltage | IP Rating | Strip Width | Cut Interval</v>
      </c>
      <c r="N25" s="18" t="s">
        <v>34</v>
      </c>
      <c r="O25" s="11" t="str">
        <f>IFERROR(__xludf.DUMMYFUNCTION("AI(""Using the labels""&amp;N25&amp;"" and values ""&amp;L25&amp;"" separated by character '|', Create a JSON object"")"),"{ ""Power Consumption Rate"": ""15W/m"", ""CCT"": ""6000K"", ""Voltage"": ""24V"", ""IP Rating"": ""IP65 (Nano-Coated)"", ""Strip Width"": ""8mm (W)"", ""Cut Interval"": ""Free Cut"" }")</f>
        <v>{ "Power Consumption Rate": "15W/m", "CCT": "6000K", "Voltage": "24V", "IP Rating": "IP65 (Nano-Coated)", "Strip Width": "8mm (W)", "Cut Interval": "Free Cut" }</v>
      </c>
      <c r="P25" s="18" t="s">
        <v>91</v>
      </c>
      <c r="Q25" s="17"/>
      <c r="R25" s="17"/>
      <c r="S25" s="17"/>
      <c r="T25" s="17"/>
      <c r="U25" s="17"/>
      <c r="V25" s="17"/>
      <c r="W25" s="6" t="s">
        <v>40</v>
      </c>
      <c r="X25" s="6" t="s">
        <v>77</v>
      </c>
      <c r="Y25" s="6" t="s">
        <v>42</v>
      </c>
      <c r="Z25" s="17"/>
      <c r="AA25" s="17"/>
    </row>
    <row r="26">
      <c r="A26" s="6" t="s">
        <v>92</v>
      </c>
      <c r="B26" s="6" t="s">
        <v>93</v>
      </c>
      <c r="C26" s="6" t="s">
        <v>29</v>
      </c>
      <c r="D26" s="6" t="s">
        <v>28</v>
      </c>
      <c r="E26" s="7" t="s">
        <v>30</v>
      </c>
      <c r="F26" s="8" t="str">
        <f>IFERROR(__xludf.DUMMYFUNCTION("AI(""Give me a paragraph marketing spiel for product in this row, no tech specs just marketing fluff "")"),"Elevate your interior artistry with the Mini COB, a masterclass in minimalist linear lighting designed to infuse any room with a seamless, enchanting glow. Engineered to curve gracefully around the most delicate architectural details, this ultra-sleek lig"&amp;"ht source disappears into your design while making a profound visual impact. Whether you are crafting a sophisticated mood in a contemporary lounge or adding subtle, luxurious ambiance to a refined workspace, its flawless brilliance accentuates contours e"&amp;"ffortlessly. It is the perfect choice for visionary designers who wish to transform ordinary spaces into breathtaking atmospheres of pure, unadulterated style.")</f>
        <v>Elevate your interior artistry with the Mini COB, a masterclass in minimalist linear lighting designed to infuse any room with a seamless, enchanting glow. Engineered to curve gracefully around the most delicate architectural details, this ultra-sleek light source disappears into your design while making a profound visual impact. Whether you are crafting a sophisticated mood in a contemporary lounge or adding subtle, luxurious ambiance to a refined workspace, its flawless brilliance accentuates contours effortlessly. It is the perfect choice for visionary designers who wish to transform ordinary spaces into breathtaking atmospheres of pure, unadulterated style.</v>
      </c>
      <c r="G26" s="6" t="s">
        <v>94</v>
      </c>
      <c r="H26" s="8" t="str">
        <f>IFERROR(__xludf.DUMMYFUNCTION("AI(""Give me a paragraph marketing spiel for product in this row, no tech specs just marketing fluff under 180 characters "")"),"Infuse your space with a seamless, enchanting glow using Mini COB. This ultra-sleek light source curves gracefully to elevate your design with flawless, luxurious brilliance.")</f>
        <v>Infuse your space with a seamless, enchanting glow using Mini COB. This ultra-sleek light source curves gracefully to elevate your design with flawless, luxurious brilliance.</v>
      </c>
      <c r="I26" s="6" t="s">
        <v>95</v>
      </c>
      <c r="J26" s="17"/>
      <c r="K26" s="17"/>
      <c r="L26" s="10" t="s">
        <v>96</v>
      </c>
      <c r="M2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""&amp;L26)"),"Power Consumption Rate | CCT | Voltage | IP Rating | Strip Width")</f>
        <v>Power Consumption Rate | CCT | Voltage | IP Rating | Strip Width</v>
      </c>
      <c r="N26" s="18" t="s">
        <v>97</v>
      </c>
      <c r="O26" s="11" t="str">
        <f>IFERROR(__xludf.DUMMYFUNCTION("AI(""Using the labels""&amp;N26&amp;"" and values ""&amp;L26&amp;"" separated by character '|', Create a JSON object"")"),"{ ""Power Consumption Rate"": ""10W/m"", ""CCT"": ""2700K"", ""Voltage"": ""24V"", ""IP Rating"": ""IP20"", ""Strip Width"": ""4mm (W)"" }")</f>
        <v>{ "Power Consumption Rate": "10W/m", "CCT": "2700K", "Voltage": "24V", "IP Rating": "IP20", "Strip Width": "4mm (W)" }</v>
      </c>
      <c r="P26" s="18" t="s">
        <v>98</v>
      </c>
      <c r="Q26"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P26:P28)"),"{ ""Power Consumption Rate"": ""10W/m"", ""CCT"": [ ""2700K"", ""3000K"", ""4000K"" ], ""Voltage"": ""24V"", ""IP Rating"": ""IP20"", ""Strip Width"": ""4mm (W)"" }")</f>
        <v>{ "Power Consumption Rate": "10W/m", "CCT": [ "2700K", "3000K", "4000K" ], "Voltage": "24V", "IP Rating": "IP20", "Strip Width": "4mm (W)" }</v>
      </c>
      <c r="R26" s="6" t="s">
        <v>99</v>
      </c>
      <c r="S26"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P26:P28)"),"{""Options"": {""Power Consumption Rate"": [{""name"": ""10W/m"", ""id"": ""101""}], ""CCT"": [{""name"": ""2700K"", ""id"": ""102""}, {""name"": ""3000K"", ""id"": ""103""}, {""name"": ""4000K"", ""id"": ""104""}], ""Voltage"": [{""name"": ""24V"", ""id"&amp;""": ""105""}], ""IP Rating"": [{""name"": ""IP20"", ""id"": ""106""}], ""Strip Width"": [{""name"": ""4mm (W)"", ""id"": ""107""}]}, ""Constraints"": {}}")</f>
        <v>{"Options": {"Power Consumption Rate": [{"name": "10W/m", "id": "101"}], "CCT": [{"name": "2700K", "id": "102"}, {"name": "3000K", "id": "103"}, {"name": "4000K", "id": "104"}], "Voltage": [{"name": "24V", "id": "105"}], "IP Rating": [{"name": "IP20", "id": "106"}], "Strip Width": [{"name": "4mm (W)", "id": "107"}]}, "Constraints": {}}</v>
      </c>
      <c r="T26" s="6" t="s">
        <v>100</v>
      </c>
      <c r="U26" s="6" t="s">
        <v>101</v>
      </c>
      <c r="V26" s="6" t="s">
        <v>39</v>
      </c>
      <c r="W26" s="6" t="s">
        <v>40</v>
      </c>
      <c r="X26" s="6" t="s">
        <v>102</v>
      </c>
      <c r="Y26" s="6" t="s">
        <v>60</v>
      </c>
      <c r="Z26" s="17"/>
      <c r="AA26" s="17" t="str">
        <f>IFERROR(__xludf.DUMMYFUNCTION("AI(""Generate 6 powerful unique keywords for the product in this row"")"),"Mini COB, Minimalist Linear Lighting, Ultra Sleek LED, Architectural Detail Light, Flawless Brilliance Strip, Luxury Ambiance Light")</f>
        <v>Mini COB, Minimalist Linear Lighting, Ultra Sleek LED, Architectural Detail Light, Flawless Brilliance Strip, Luxury Ambiance Light</v>
      </c>
    </row>
    <row r="27">
      <c r="A27" s="6"/>
      <c r="B27" s="17"/>
      <c r="C27" s="17"/>
      <c r="D27" s="17"/>
      <c r="E27" s="17"/>
      <c r="F27" s="17"/>
      <c r="G27" s="17"/>
      <c r="H27" s="17"/>
      <c r="I27" s="17"/>
      <c r="J27" s="17"/>
      <c r="K27" s="17"/>
      <c r="L27" s="10" t="s">
        <v>103</v>
      </c>
      <c r="M2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""&amp;L27)"),"Power Consumption Rate | CCT | Voltage | IP Rating | Strip Width")</f>
        <v>Power Consumption Rate | CCT | Voltage | IP Rating | Strip Width</v>
      </c>
      <c r="N27" s="18" t="s">
        <v>97</v>
      </c>
      <c r="O27" s="11" t="str">
        <f>IFERROR(__xludf.DUMMYFUNCTION("AI(""Using the labels""&amp;N27&amp;"" and values ""&amp;L27&amp;"" separated by character '|', Create a JSON object"")"),"{ ""Power Consumption Rate"": ""10W/m"", ""CCT"": ""3000K"", ""Voltage"": ""24V"", ""IP Rating"": ""IP20"", ""Strip Width"": ""4mm (W)"" }")</f>
        <v>{ "Power Consumption Rate": "10W/m", "CCT": "3000K", "Voltage": "24V", "IP Rating": "IP20", "Strip Width": "4mm (W)" }</v>
      </c>
      <c r="P27" s="18" t="s">
        <v>104</v>
      </c>
      <c r="Q27" s="17"/>
      <c r="R27" s="17"/>
      <c r="S27" s="17"/>
      <c r="T27" s="17"/>
      <c r="U27" s="17"/>
      <c r="V27" s="17"/>
      <c r="W27" s="6" t="s">
        <v>40</v>
      </c>
      <c r="X27" s="6" t="s">
        <v>102</v>
      </c>
      <c r="Y27" s="6" t="s">
        <v>60</v>
      </c>
      <c r="Z27" s="17"/>
      <c r="AA27" s="17"/>
    </row>
    <row r="28">
      <c r="A28" s="6"/>
      <c r="B28" s="17"/>
      <c r="C28" s="17"/>
      <c r="D28" s="17"/>
      <c r="E28" s="17"/>
      <c r="F28" s="17"/>
      <c r="G28" s="17"/>
      <c r="H28" s="17"/>
      <c r="I28" s="17"/>
      <c r="J28" s="17"/>
      <c r="K28" s="17"/>
      <c r="L28" s="10" t="s">
        <v>105</v>
      </c>
      <c r="M2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""&amp;L28)"),"Power Consumption Rate | CCT | Voltage | IP Rating | Strip Width")</f>
        <v>Power Consumption Rate | CCT | Voltage | IP Rating | Strip Width</v>
      </c>
      <c r="N28" s="18" t="s">
        <v>97</v>
      </c>
      <c r="O28" s="11" t="str">
        <f>IFERROR(__xludf.DUMMYFUNCTION("AI(""Using the labels""&amp;N28&amp;"" and values ""&amp;L28&amp;"" separated by character '|', Create a JSON object"")"),"{ ""Power Consumption Rate"": ""10W/m"", ""CCT"": ""4000K"", ""Voltage"": ""24V"", ""IP Rating"": ""IP20"", ""Strip Width"": ""4mm (W)"" }")</f>
        <v>{ "Power Consumption Rate": "10W/m", "CCT": "4000K", "Voltage": "24V", "IP Rating": "IP20", "Strip Width": "4mm (W)" }</v>
      </c>
      <c r="P28" s="18" t="s">
        <v>106</v>
      </c>
      <c r="Q28" s="17"/>
      <c r="R28" s="17"/>
      <c r="S28" s="17"/>
      <c r="T28" s="17"/>
      <c r="U28" s="17"/>
      <c r="V28" s="17"/>
      <c r="W28" s="6" t="s">
        <v>40</v>
      </c>
      <c r="X28" s="6" t="s">
        <v>102</v>
      </c>
      <c r="Y28" s="6" t="s">
        <v>60</v>
      </c>
      <c r="Z28" s="17"/>
      <c r="AA28" s="17"/>
    </row>
    <row r="29">
      <c r="A29" s="6" t="s">
        <v>107</v>
      </c>
      <c r="B29" s="6" t="s">
        <v>108</v>
      </c>
      <c r="C29" s="6" t="s">
        <v>29</v>
      </c>
      <c r="D29" s="6" t="s">
        <v>28</v>
      </c>
      <c r="E29" s="7" t="s">
        <v>30</v>
      </c>
      <c r="F29" s="8" t="str">
        <f>IFERROR(__xludf.DUMMYFUNCTION("AI(""Give me a paragraph marketing spiel for product in this row, no tech specs just marketing fluff "")"),"Elevate your architectural and interior designs with this premium linear lighting solution, engineered to infuse any environment with a vibrant, sophisticated glow. Crafted for seamless flexibility and unforgettable visual allure, it effortlessly curves t"&amp;"o accentuate contours, define borders, and turn artistic visions into striking design realities. Perfect for enhancing high-end commercial spaces or bringing an ultimate touch of luxury to bespoke residential atmospheres, its flawlessly uniform brilliance"&amp;" offers an unmatched aesthetic elegance. Combining ultimate adaptability with timeless elegance, this stunning lighting choice is tailor-made for designers who want to transform spaces with captivating color and uncompromising style.")</f>
        <v>Elevate your architectural and interior designs with this premium linear lighting solution, engineered to infuse any environment with a vibrant, sophisticated glow. Crafted for seamless flexibility and unforgettable visual allure, it effortlessly curves to accentuate contours, define borders, and turn artistic visions into striking design realities. Perfect for enhancing high-end commercial spaces or bringing an ultimate touch of luxury to bespoke residential atmospheres, its flawlessly uniform brilliance offers an unmatched aesthetic elegance. Combining ultimate adaptability with timeless elegance, this stunning lighting choice is tailor-made for designers who want to transform spaces with captivating color and uncompromising style.</v>
      </c>
      <c r="G29" s="6" t="s">
        <v>109</v>
      </c>
      <c r="H29" s="8" t="str">
        <f>IFERROR(__xludf.DUMMYFUNCTION("AI(""Give me a paragraph marketing spiel for product in this row, no tech specs just marketing fluff under 180 characters "")"),"Transform your space with a vibrant, sophisticated glow. Crafted for seamless flexibility, it brings captivating color and luxury to any design reality.")</f>
        <v>Transform your space with a vibrant, sophisticated glow. Crafted for seamless flexibility, it brings captivating color and luxury to any design reality.</v>
      </c>
      <c r="I29" s="6" t="s">
        <v>110</v>
      </c>
      <c r="J29" s="17"/>
      <c r="K29" s="17"/>
      <c r="L29" s="10" t="s">
        <v>111</v>
      </c>
      <c r="M2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""&amp;L29)"),"Power Consumption Rate | Light Color | Voltage | IP Rating | Strip Width")</f>
        <v>Power Consumption Rate | Light Color | Voltage | IP Rating | Strip Width</v>
      </c>
      <c r="N29" s="18" t="s">
        <v>112</v>
      </c>
      <c r="O29" s="11" t="str">
        <f>IFERROR(__xludf.DUMMYFUNCTION("AI(""Using the labels""&amp;N29&amp;"" and values ""&amp;L29&amp;"" separated by character '|', Create a JSON object"")"),"{ ""Power Consumption Rate"": ""15W/m"", ""Light Color"": ""RGB"", ""Voltage"": ""24V"", ""IP Rating"": ""IP20"", ""Strip Width"": ""10mm (W)"" }")</f>
        <v>{ "Power Consumption Rate": "15W/m", "Light Color": "RGB", "Voltage": "24V", "IP Rating": "IP20", "Strip Width": "10mm (W)" }</v>
      </c>
      <c r="P29" s="18" t="s">
        <v>113</v>
      </c>
      <c r="Q29"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P29:P39)"),"{ ""Power Consumption Rate"": [ ""15W/m"", ""17W/m"", ""18W/m"" ], ""Light Color"": [ ""RGB"", ""RGB+TW"", ""RGBW"", ""Tuneable White"" ], ""Voltage"": ""24V"", ""IP Rating"": [ ""IP20"", ""IP65 (Nano-Coated)"", ""IP67"" ], ""Strip Width"": [ ""10mm (W)"""&amp;", ""12mm (W)"" ], ""CCT"": [ ""2700K-6500K"", ""3000K"" ], ""Control Protocol"": ""SPI"", ""Resolution"": ""12 Pixels/m"", ""Length"": ""Max 5,000mm (L)"" }")</f>
        <v>{ "Power Consumption Rate": [ "15W/m", "17W/m", "18W/m" ], "Light Color": [ "RGB", "RGB+TW", "RGBW", "Tuneable White" ], "Voltage": "24V", "IP Rating": [ "IP20", "IP65 (Nano-Coated)", "IP67" ], "Strip Width": [ "10mm (W)", "12mm (W)" ], "CCT": [ "2700K-6500K", "3000K" ], "Control Protocol": "SPI", "Resolution": "12 Pixels/m", "Length": "Max 5,000mm (L)" }</v>
      </c>
      <c r="R29" s="6" t="s">
        <v>114</v>
      </c>
      <c r="S29"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P29:P39)"),"{
""Options"": {
""Power Consumption Rate"": [
{""name"": ""15W/m"", ""id"": ""101""},
{""name"": ""17W/m"", ""id"": ""102""},
{""name"": ""18W/m"", ""id"": ""103""}
],
""Light Color"": [
{""name"": ""RGB"", ""id"": ""104""},
{""name"": ""RGB+TW"", ""id"""&amp;": ""105""},
{""name"": ""RGBW"", ""id"": ""106""},
{""name"": ""Tuneable White"", ""id"": ""107""}
],
""Voltage"": [
{""name"": ""24V"", ""id"": ""108""}
],
""IP Rating"": [
{""name"": ""IP20"", ""id"": ""109""},
{""name"": ""IP65 (Nano-Coated)"", ""id"":"&amp;" ""110""},
{""name"": ""IP67"", ""id"": ""111""}
],
""Strip Width"": [
{""name"": ""10mm (W)"", ""id"": ""112""},
{""name"": ""12mm (W)"", ""id"": ""113""}
],
""CCT"": [
{""name"": ""2700K-6500K"", ""id"": ""114""},
{""name"": ""3000K"", ""id"": ""115""}
"&amp;"],
""Control Protocol"": [
{""name"": ""SPI"", ""id"": ""116""}
],
""Resolution"": [
{""name"": ""12 Pixels/m"", ""id"": ""117""}
],
""Length"": [
{""name"": ""Max 5,000mm (L)"", ""id"": ""118""}
]
},
""Constraints"": {
""101"": [""105"", ""107"", ""113"""&amp;", ""114"", ""115"", ""116"", ""117""],
""102"": [""104"", ""107"", ""112"", ""116"", ""117"", ""118""],
""103"": [""104"", ""105"", ""111"", ""112"", ""118""],
""104"": [""102"", ""103"", ""113"", ""114"", ""115"", ""116"", ""117"", ""118""],
""105"": ["""&amp;"101"", ""103"", ""112"", ""115"", ""116"", ""117"", ""118""],
""107"": [""101"", ""102"", ""113"", ""115"", ""116"", ""117"", ""118""],
""111"": [""102"", ""103"", ""104"", ""105"", ""107"", ""112"", ""114"", ""115"", ""116"", ""117""]
}
}")</f>
        <v>{
"Options": {
"Power Consumption Rate": [
{"name": "15W/m", "id": "101"},
{"name": "17W/m", "id": "102"},
{"name": "18W/m", "id": "103"}
],
"Light Color": [
{"name": "RGB", "id": "104"},
{"name": "RGB+TW", "id": "105"},
{"name": "RGBW", "id": "106"},
{"name": "Tuneable White", "id": "107"}
],
"Voltage": [
{"name": "24V", "id": "108"}
],
"IP Rating": [
{"name": "IP20", "id": "109"},
{"name": "IP65 (Nano-Coated)", "id": "110"},
{"name": "IP67", "id": "111"}
],
"Strip Width": [
{"name": "10mm (W)", "id": "112"},
{"name": "12mm (W)", "id": "113"}
],
"CCT": [
{"name": "2700K-6500K", "id": "114"},
{"name": "3000K", "id": "115"}
],
"Control Protocol": [
{"name": "SPI", "id": "116"}
],
"Resolution": [
{"name": "12 Pixels/m", "id": "117"}
],
"Length": [
{"name": "Max 5,000mm (L)", "id": "118"}
]
},
"Constraints": {
"101": ["105", "107", "113", "114", "115", "116", "117"],
"102": ["104", "107", "112", "116", "117", "118"],
"103": ["104", "105", "111", "112", "118"],
"104": ["102", "103", "113", "114", "115", "116", "117", "118"],
"105": ["101", "103", "112", "115", "116", "117", "118"],
"107": ["101", "102", "113", "115", "116", "117", "118"],
"111": ["102", "103", "104", "105", "107", "112", "114", "115", "116", "117"]
}
}</v>
      </c>
      <c r="T29" s="6" t="s">
        <v>115</v>
      </c>
      <c r="U29" s="6" t="s">
        <v>116</v>
      </c>
      <c r="V29" s="6" t="s">
        <v>117</v>
      </c>
      <c r="W29" s="6" t="s">
        <v>40</v>
      </c>
      <c r="X29" s="6" t="s">
        <v>118</v>
      </c>
      <c r="Y29" s="6" t="s">
        <v>42</v>
      </c>
      <c r="Z29" s="17"/>
      <c r="AA29" s="17" t="str">
        <f>IFERROR(__xludf.DUMMYFUNCTION("AI(""Generate 6 powerful unique keywords for the product in this row"")"),"Colour COB, Premium Linear Lighting, Flexible LED Strip, Vibrant Uniform Glow, Architectural Contour Lighting, High-End Interior Light")</f>
        <v>Colour COB, Premium Linear Lighting, Flexible LED Strip, Vibrant Uniform Glow, Architectural Contour Lighting, High-End Interior Light</v>
      </c>
    </row>
    <row r="30">
      <c r="A30" s="6"/>
      <c r="B30" s="17"/>
      <c r="C30" s="17"/>
      <c r="D30" s="17"/>
      <c r="E30" s="17"/>
      <c r="F30" s="17"/>
      <c r="G30" s="17"/>
      <c r="H30" s="17"/>
      <c r="I30" s="17"/>
      <c r="J30" s="17"/>
      <c r="K30" s="17"/>
      <c r="L30" s="10" t="s">
        <v>119</v>
      </c>
      <c r="M3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""&amp;L30)"),"Power Consumption Rate | Light Color | Voltage | IP Rating | Strip Width")</f>
        <v>Power Consumption Rate | Light Color | Voltage | IP Rating | Strip Width</v>
      </c>
      <c r="N30" s="18" t="s">
        <v>112</v>
      </c>
      <c r="O30" s="11" t="str">
        <f>IFERROR(__xludf.DUMMYFUNCTION("AI(""Using the labels""&amp;N30&amp;"" and values ""&amp;L30&amp;"" separated by character '|', Create a JSON object"")"),"{ ""Power Consumption Rate"": ""15W/m"", ""Light Color"": ""RGB"", ""Voltage"": ""24V"", ""IP Rating"": ""IP65 (Nano-Coated)"", ""Strip Width"": ""10mm (W)"" }")</f>
        <v>{ "Power Consumption Rate": "15W/m", "Light Color": "RGB", "Voltage": "24V", "IP Rating": "IP65 (Nano-Coated)", "Strip Width": "10mm (W)" }</v>
      </c>
      <c r="P30" s="18" t="s">
        <v>120</v>
      </c>
      <c r="Q30" s="17"/>
      <c r="R30" s="17"/>
      <c r="S30" s="17"/>
      <c r="T30" s="17"/>
      <c r="U30" s="17"/>
      <c r="V30" s="17"/>
      <c r="W30" s="6" t="s">
        <v>40</v>
      </c>
      <c r="X30" s="6" t="s">
        <v>118</v>
      </c>
      <c r="Y30" s="6" t="s">
        <v>42</v>
      </c>
      <c r="Z30" s="17"/>
      <c r="AA30" s="17"/>
    </row>
    <row r="31">
      <c r="A31" s="6"/>
      <c r="B31" s="17"/>
      <c r="C31" s="17"/>
      <c r="D31" s="17"/>
      <c r="E31" s="17"/>
      <c r="F31" s="17"/>
      <c r="G31" s="17"/>
      <c r="H31" s="17"/>
      <c r="I31" s="17"/>
      <c r="J31" s="17"/>
      <c r="K31" s="17"/>
      <c r="L31" s="10" t="s">
        <v>121</v>
      </c>
      <c r="M3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""&amp;L31)"),"Power Consumption Rate | Light Color | CCT | Voltage | IP Rating | Strip Width")</f>
        <v>Power Consumption Rate | Light Color | CCT | Voltage | IP Rating | Strip Width</v>
      </c>
      <c r="N31" s="18" t="s">
        <v>122</v>
      </c>
      <c r="O31" s="11" t="str">
        <f>IFERROR(__xludf.DUMMYFUNCTION("AI(""Using the labels""&amp;N31&amp;"" and values ""&amp;L31&amp;"" separated by character '|', Create a JSON object"")"),"{ ""Power Consumption Rate"": ""17W/m"", ""Light Color"": ""RGB+TW"", ""CCT"": ""2700K-6500K"", ""Voltage"": ""24V"", ""IP Rating"": ""IP20"", ""Strip Width"": ""12mm (W)"" }")</f>
        <v>{ "Power Consumption Rate": "17W/m", "Light Color": "RGB+TW", "CCT": "2700K-6500K", "Voltage": "24V", "IP Rating": "IP20", "Strip Width": "12mm (W)" }</v>
      </c>
      <c r="P31" s="18" t="s">
        <v>123</v>
      </c>
      <c r="Q31" s="17"/>
      <c r="R31" s="17"/>
      <c r="S31" s="17"/>
      <c r="T31" s="17"/>
      <c r="U31" s="17"/>
      <c r="V31" s="17"/>
      <c r="W31" s="6" t="s">
        <v>40</v>
      </c>
      <c r="X31" s="6" t="s">
        <v>124</v>
      </c>
      <c r="Y31" s="6" t="s">
        <v>42</v>
      </c>
      <c r="Z31" s="17"/>
      <c r="AA31" s="17"/>
    </row>
    <row r="32">
      <c r="A32" s="6"/>
      <c r="B32" s="17"/>
      <c r="C32" s="17"/>
      <c r="D32" s="17"/>
      <c r="E32" s="17"/>
      <c r="F32" s="17"/>
      <c r="G32" s="17"/>
      <c r="H32" s="17"/>
      <c r="I32" s="17"/>
      <c r="J32" s="17"/>
      <c r="K32" s="17"/>
      <c r="L32" s="10" t="s">
        <v>125</v>
      </c>
      <c r="M3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""&amp;L32)"),"Power Consumption Rate | Light Color | CCT | Voltage | IP Rating | Strip Width")</f>
        <v>Power Consumption Rate | Light Color | CCT | Voltage | IP Rating | Strip Width</v>
      </c>
      <c r="N32" s="18" t="s">
        <v>122</v>
      </c>
      <c r="O32" s="11" t="str">
        <f>IFERROR(__xludf.DUMMYFUNCTION("AI(""Using the labels""&amp;N32&amp;"" and values ""&amp;L32&amp;"" separated by character '|', Create a JSON object"")"),"{ ""Power Consumption Rate"": ""17W/m"", ""Light Color"": ""RGB+TW"", ""CCT"": ""2700K-6500K"", ""Voltage"": ""24V"", ""IP Rating"": ""IP65 (Nano-Coated)"", ""Strip Width"": ""12mm (W)"" }")</f>
        <v>{ "Power Consumption Rate": "17W/m", "Light Color": "RGB+TW", "CCT": "2700K-6500K", "Voltage": "24V", "IP Rating": "IP65 (Nano-Coated)", "Strip Width": "12mm (W)" }</v>
      </c>
      <c r="P32" s="18" t="s">
        <v>126</v>
      </c>
      <c r="Q32" s="17"/>
      <c r="R32" s="17"/>
      <c r="S32" s="17"/>
      <c r="T32" s="17"/>
      <c r="U32" s="17"/>
      <c r="V32" s="17"/>
      <c r="W32" s="6" t="s">
        <v>40</v>
      </c>
      <c r="X32" s="6" t="s">
        <v>124</v>
      </c>
      <c r="Y32" s="6" t="s">
        <v>42</v>
      </c>
      <c r="Z32" s="17"/>
      <c r="AA32" s="17"/>
    </row>
    <row r="33">
      <c r="A33" s="6"/>
      <c r="B33" s="17"/>
      <c r="C33" s="17"/>
      <c r="D33" s="17"/>
      <c r="E33" s="17"/>
      <c r="F33" s="17"/>
      <c r="G33" s="17"/>
      <c r="H33" s="17"/>
      <c r="I33" s="17"/>
      <c r="J33" s="17"/>
      <c r="K33" s="17"/>
      <c r="L33" s="10" t="s">
        <v>127</v>
      </c>
      <c r="M3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""&amp;L33)"),"Power Consumption Rate | Light Color | CCT | Voltage | IP Rating | Strip Width")</f>
        <v>Power Consumption Rate | Light Color | CCT | Voltage | IP Rating | Strip Width</v>
      </c>
      <c r="N33" s="18" t="s">
        <v>122</v>
      </c>
      <c r="O33" s="11" t="str">
        <f>IFERROR(__xludf.DUMMYFUNCTION("AI(""Using the labels""&amp;N33&amp;"" and values ""&amp;L33&amp;"" separated by character '|', Create a JSON object"")"),"{ ""Power Consumption Rate"": ""17W/m"", ""Light Color"": ""RGBW"", ""CCT"": ""3000K"", ""Voltage"": ""24V"", ""IP Rating"": ""IP20"", ""Strip Width"": ""12mm (W)"" }")</f>
        <v>{ "Power Consumption Rate": "17W/m", "Light Color": "RGBW", "CCT": "3000K", "Voltage": "24V", "IP Rating": "IP20", "Strip Width": "12mm (W)" }</v>
      </c>
      <c r="P33" s="18" t="s">
        <v>128</v>
      </c>
      <c r="Q33" s="17"/>
      <c r="R33" s="17"/>
      <c r="S33" s="17"/>
      <c r="T33" s="17"/>
      <c r="U33" s="17"/>
      <c r="V33" s="17"/>
      <c r="W33" s="6" t="s">
        <v>40</v>
      </c>
      <c r="X33" s="6" t="s">
        <v>129</v>
      </c>
      <c r="Y33" s="6" t="s">
        <v>42</v>
      </c>
      <c r="Z33" s="17"/>
      <c r="AA33" s="17"/>
    </row>
    <row r="34">
      <c r="A34" s="6"/>
      <c r="B34" s="17"/>
      <c r="C34" s="17"/>
      <c r="D34" s="17"/>
      <c r="E34" s="17"/>
      <c r="F34" s="17"/>
      <c r="G34" s="17"/>
      <c r="H34" s="17"/>
      <c r="I34" s="17"/>
      <c r="J34" s="17"/>
      <c r="K34" s="17"/>
      <c r="L34" s="10" t="s">
        <v>130</v>
      </c>
      <c r="M3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""&amp;L34)"),"Power Consumption Rate | Light Color | CCT | Voltage | IP Rating | Strip Width | Control Protocol | Resolution")</f>
        <v>Power Consumption Rate | Light Color | CCT | Voltage | IP Rating | Strip Width | Control Protocol | Resolution</v>
      </c>
      <c r="N34" s="18" t="s">
        <v>131</v>
      </c>
      <c r="O34" s="11" t="str">
        <f>IFERROR(__xludf.DUMMYFUNCTION("AI(""Using the labels""&amp;N34&amp;"" and values ""&amp;L34&amp;"" separated by character '|', Create a JSON object"")"),"{ ""Power Consumption Rate"": ""18W/m"", ""Light Color"": ""RGBW"", ""CCT"": ""3000K"", ""Voltage"": ""24V"", ""IP Rating"": ""IP20"", ""Strip Width"": ""12mm (W)"", ""Control Protocol"": ""SPI"", ""Resolution"": ""12 Pixels/m"" }")</f>
        <v>{ "Power Consumption Rate": "18W/m", "Light Color": "RGBW", "CCT": "3000K", "Voltage": "24V", "IP Rating": "IP20", "Strip Width": "12mm (W)", "Control Protocol": "SPI", "Resolution": "12 Pixels/m" }</v>
      </c>
      <c r="P34" s="18" t="s">
        <v>132</v>
      </c>
      <c r="Q34" s="17"/>
      <c r="R34" s="17"/>
      <c r="S34" s="17"/>
      <c r="T34" s="17"/>
      <c r="U34" s="17"/>
      <c r="V34" s="17"/>
      <c r="W34" s="6" t="s">
        <v>40</v>
      </c>
      <c r="X34" s="6" t="s">
        <v>133</v>
      </c>
      <c r="Y34" s="6" t="s">
        <v>42</v>
      </c>
      <c r="Z34" s="17"/>
      <c r="AA34" s="17"/>
    </row>
    <row r="35">
      <c r="A35" s="6"/>
      <c r="B35" s="17"/>
      <c r="C35" s="17"/>
      <c r="D35" s="17"/>
      <c r="E35" s="17"/>
      <c r="F35" s="17"/>
      <c r="G35" s="17"/>
      <c r="H35" s="17"/>
      <c r="I35" s="17"/>
      <c r="J35" s="17"/>
      <c r="K35" s="17"/>
      <c r="L35" s="10" t="s">
        <v>134</v>
      </c>
      <c r="M3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""&amp;L35)"),"Power Consumption Rate | Light Color | CCT | Voltage | IP Rating | Strip Width")</f>
        <v>Power Consumption Rate | Light Color | CCT | Voltage | IP Rating | Strip Width</v>
      </c>
      <c r="N35" s="18" t="s">
        <v>122</v>
      </c>
      <c r="O35" s="11" t="str">
        <f>IFERROR(__xludf.DUMMYFUNCTION("AI(""Using the labels""&amp;N35&amp;"" and values ""&amp;L35&amp;"" separated by character '|', Create a JSON object"")"),"{ ""Power Consumption Rate"": ""17W/m"", ""Light Color"": ""RGBW"", ""CCT"": ""3000K"", ""Voltage"": ""24V"", ""IP Rating"": ""IP65 (Nano-Coated)"", ""Strip Width"": ""12mm (W)"" }")</f>
        <v>{ "Power Consumption Rate": "17W/m", "Light Color": "RGBW", "CCT": "3000K", "Voltage": "24V", "IP Rating": "IP65 (Nano-Coated)", "Strip Width": "12mm (W)" }</v>
      </c>
      <c r="P35" s="18" t="s">
        <v>135</v>
      </c>
      <c r="Q35" s="17"/>
      <c r="R35" s="17"/>
      <c r="S35" s="17"/>
      <c r="T35" s="17"/>
      <c r="U35" s="17"/>
      <c r="V35" s="17"/>
      <c r="W35" s="6" t="s">
        <v>40</v>
      </c>
      <c r="X35" s="6" t="s">
        <v>129</v>
      </c>
      <c r="Y35" s="6" t="s">
        <v>42</v>
      </c>
      <c r="Z35" s="17"/>
      <c r="AA35" s="17"/>
    </row>
    <row r="36">
      <c r="A36" s="6"/>
      <c r="B36" s="17"/>
      <c r="C36" s="17"/>
      <c r="D36" s="17"/>
      <c r="E36" s="17"/>
      <c r="F36" s="17"/>
      <c r="G36" s="17"/>
      <c r="H36" s="17"/>
      <c r="I36" s="17"/>
      <c r="J36" s="17"/>
      <c r="K36" s="17"/>
      <c r="L36" s="10" t="s">
        <v>136</v>
      </c>
      <c r="M3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""&amp;L36)"),"Power Consumption Rate | Light Color | CCT | Voltage | IP Rating | Strip Width | Control Protocol | Resolution")</f>
        <v>Power Consumption Rate | Light Color | CCT | Voltage | IP Rating | Strip Width | Control Protocol | Resolution</v>
      </c>
      <c r="N36" s="18" t="s">
        <v>131</v>
      </c>
      <c r="O36" s="11" t="str">
        <f>IFERROR(__xludf.DUMMYFUNCTION("AI(""Using the labels""&amp;N36&amp;"" and values ""&amp;L36&amp;"" separated by character '|', Create a JSON object"")"),"{ ""Power Consumption Rate"": ""18W/m"", ""Light Color"": ""RGBW"", ""CCT"": ""3000K"", ""Voltage"": ""24V"", ""IP Rating"": ""IP65 (Nano-Coated)"", ""Strip Width"": ""12mm (W)"", ""Control Protocol"": ""SPI"", ""Resolution"": ""12 Pixels/m"" }")</f>
        <v>{ "Power Consumption Rate": "18W/m", "Light Color": "RGBW", "CCT": "3000K", "Voltage": "24V", "IP Rating": "IP65 (Nano-Coated)", "Strip Width": "12mm (W)", "Control Protocol": "SPI", "Resolution": "12 Pixels/m" }</v>
      </c>
      <c r="P36" s="18" t="s">
        <v>137</v>
      </c>
      <c r="Q36" s="17"/>
      <c r="R36" s="17"/>
      <c r="S36" s="17"/>
      <c r="T36" s="17"/>
      <c r="U36" s="17"/>
      <c r="V36" s="17"/>
      <c r="W36" s="6" t="s">
        <v>40</v>
      </c>
      <c r="X36" s="6" t="s">
        <v>133</v>
      </c>
      <c r="Y36" s="6" t="s">
        <v>42</v>
      </c>
      <c r="Z36" s="17"/>
      <c r="AA36" s="17"/>
    </row>
    <row r="37">
      <c r="A37" s="6"/>
      <c r="B37" s="17"/>
      <c r="C37" s="17"/>
      <c r="D37" s="17"/>
      <c r="E37" s="17"/>
      <c r="F37" s="17"/>
      <c r="G37" s="17"/>
      <c r="H37" s="17"/>
      <c r="I37" s="17"/>
      <c r="J37" s="17"/>
      <c r="K37" s="17"/>
      <c r="L37" s="10" t="s">
        <v>138</v>
      </c>
      <c r="M3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""&amp;L37)"),"Power Consumption Rate | Light Color | Voltage | IP Rating | Strip Width | Length")</f>
        <v>Power Consumption Rate | Light Color | Voltage | IP Rating | Strip Width | Length</v>
      </c>
      <c r="N37" s="18" t="s">
        <v>139</v>
      </c>
      <c r="O37" s="11" t="str">
        <f>IFERROR(__xludf.DUMMYFUNCTION("AI(""Using the labels""&amp;N37&amp;"" and values ""&amp;L37&amp;"" separated by character '|', Create a JSON object"")"),"{ ""Power Consumption Rate"": ""15W/m"", ""Light Color"": ""RGBW"", ""Voltage"": ""24V"", ""IP Rating"": ""IP67"", ""Strip Width"": ""12mm (W)"", ""Length"": ""Max 5,000mm (L)"" }")</f>
        <v>{ "Power Consumption Rate": "15W/m", "Light Color": "RGBW", "Voltage": "24V", "IP Rating": "IP67", "Strip Width": "12mm (W)", "Length": "Max 5,000mm (L)" }</v>
      </c>
      <c r="P37" s="18" t="s">
        <v>140</v>
      </c>
      <c r="Q37" s="17"/>
      <c r="R37" s="17"/>
      <c r="S37" s="17"/>
      <c r="T37" s="17"/>
      <c r="U37" s="17"/>
      <c r="V37" s="17"/>
      <c r="W37" s="6" t="s">
        <v>40</v>
      </c>
      <c r="X37" s="6" t="s">
        <v>129</v>
      </c>
      <c r="Y37" s="6" t="s">
        <v>42</v>
      </c>
      <c r="Z37" s="17"/>
      <c r="AA37" s="17"/>
    </row>
    <row r="38">
      <c r="A38" s="6"/>
      <c r="B38" s="17"/>
      <c r="C38" s="17"/>
      <c r="D38" s="17"/>
      <c r="E38" s="17"/>
      <c r="F38" s="17"/>
      <c r="G38" s="17"/>
      <c r="H38" s="17"/>
      <c r="I38" s="17"/>
      <c r="J38" s="17"/>
      <c r="K38" s="17"/>
      <c r="L38" s="10" t="s">
        <v>141</v>
      </c>
      <c r="M3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""&amp;L38)"),"Power Consumption Rate | Light Color | CCT | Voltage | IP Rating | Strip Width")</f>
        <v>Power Consumption Rate | Light Color | CCT | Voltage | IP Rating | Strip Width</v>
      </c>
      <c r="N38" s="18" t="s">
        <v>122</v>
      </c>
      <c r="O38" s="11" t="str">
        <f>IFERROR(__xludf.DUMMYFUNCTION("AI(""Using the labels""&amp;N38&amp;"" and values ""&amp;L38&amp;"" separated by character '|', Create a JSON object"")"),"{ ""Power Consumption Rate"": ""18W/m"", ""Light Color"": ""Tuneable White"", ""CCT"": ""2700K-6500K"", ""Voltage"": ""24V"", ""IP Rating"": ""IP20"", ""Strip Width"": ""10mm (W)"" }")</f>
        <v>{ "Power Consumption Rate": "18W/m", "Light Color": "Tuneable White", "CCT": "2700K-6500K", "Voltage": "24V", "IP Rating": "IP20", "Strip Width": "10mm (W)" }</v>
      </c>
      <c r="P38" s="18" t="s">
        <v>142</v>
      </c>
      <c r="Q38" s="17"/>
      <c r="R38" s="17"/>
      <c r="S38" s="17"/>
      <c r="T38" s="17"/>
      <c r="U38" s="17"/>
      <c r="V38" s="17"/>
      <c r="W38" s="6" t="s">
        <v>40</v>
      </c>
      <c r="X38" s="6" t="s">
        <v>143</v>
      </c>
      <c r="Y38" s="6" t="s">
        <v>42</v>
      </c>
      <c r="Z38" s="17"/>
      <c r="AA38" s="17"/>
    </row>
    <row r="39">
      <c r="A39" s="6"/>
      <c r="B39" s="17"/>
      <c r="C39" s="17"/>
      <c r="D39" s="17"/>
      <c r="E39" s="17"/>
      <c r="F39" s="17"/>
      <c r="G39" s="17"/>
      <c r="H39" s="17"/>
      <c r="I39" s="17"/>
      <c r="J39" s="17"/>
      <c r="K39" s="17"/>
      <c r="L39" s="10" t="s">
        <v>144</v>
      </c>
      <c r="M3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""&amp;L39)"),"Power Consumption Rate | Light Color | CCT | Voltage | IP Rating | Strip Width")</f>
        <v>Power Consumption Rate | Light Color | CCT | Voltage | IP Rating | Strip Width</v>
      </c>
      <c r="N39" s="18" t="s">
        <v>122</v>
      </c>
      <c r="O39" s="11" t="str">
        <f>IFERROR(__xludf.DUMMYFUNCTION("AI(""Using the labels""&amp;N39&amp;"" and values ""&amp;L39&amp;"" separated by character '|', Create a JSON object"")"),"{ ""Power Consumption Rate"": ""18W/m"", ""Light Color"": ""Tuneable White"", ""CCT"": ""2700K-6500K"", ""Voltage"": ""24V"", ""IP Rating"": ""IP65 (Nano-Coated)"", ""Strip Width"": ""10mm (W)"" }")</f>
        <v>{ "Power Consumption Rate": "18W/m", "Light Color": "Tuneable White", "CCT": "2700K-6500K", "Voltage": "24V", "IP Rating": "IP65 (Nano-Coated)", "Strip Width": "10mm (W)" }</v>
      </c>
      <c r="P39" s="18" t="s">
        <v>145</v>
      </c>
      <c r="Q39" s="17"/>
      <c r="R39" s="17"/>
      <c r="S39" s="17"/>
      <c r="T39" s="17"/>
      <c r="U39" s="17"/>
      <c r="V39" s="17"/>
      <c r="W39" s="6" t="s">
        <v>40</v>
      </c>
      <c r="X39" s="6" t="s">
        <v>143</v>
      </c>
      <c r="Y39" s="6" t="s">
        <v>42</v>
      </c>
      <c r="Z39" s="17"/>
      <c r="AA39" s="17"/>
    </row>
    <row r="40">
      <c r="A40" s="6" t="s">
        <v>146</v>
      </c>
      <c r="B40" s="6" t="s">
        <v>147</v>
      </c>
      <c r="C40" s="6" t="s">
        <v>29</v>
      </c>
      <c r="D40" s="6" t="s">
        <v>148</v>
      </c>
      <c r="E40" s="7" t="s">
        <v>30</v>
      </c>
      <c r="F40" s="8" t="str">
        <f>IFERROR(__xludf.DUMMYFUNCTION("AI(""Give me a paragraph marketing spiel for product in this row, no tech specs just marketing fluff "")"),"Transform your surroundings with our premium neon linear lighting, expertly crafted to bring a modern, sophisticated brilliance to any setting. Designed with ultimate flexibility and artistic flair in mind, this sleek lighting solution effortlessly curves"&amp;" to follow your unique architectural contours, turning ordinary spaces into breathtaking design statements. Whether you are elevating a luxury interior or casting a captivating glow across a refined outdoor landscape, its flawless, uniform radiance offers"&amp;" an unparalleled upscale aesthetic. Embrace the perfect fusion of elegance and adaptability, and let your design visions shine with magnificent style.")</f>
        <v>Transform your surroundings with our premium neon linear lighting, expertly crafted to bring a modern, sophisticated brilliance to any setting. Designed with ultimate flexibility and artistic flair in mind, this sleek lighting solution effortlessly curves to follow your unique architectural contours, turning ordinary spaces into breathtaking design statements. Whether you are elevating a luxury interior or casting a captivating glow across a refined outdoor landscape, its flawless, uniform radiance offers an unparalleled upscale aesthetic. Embrace the perfect fusion of elegance and adaptability, and let your design visions shine with magnificent style.</v>
      </c>
      <c r="G40" s="6" t="s">
        <v>149</v>
      </c>
      <c r="H40" s="8" t="str">
        <f>IFERROR(__xludf.DUMMYFUNCTION("AI(""Give me a paragraph marketing spiel for product in this row, no tech specs just marketing fluff under 180 characters "")"),"Bring a sophisticated brilliance to your space with premium neon linear lighting. Designed for ultimate flexibility, it effortlessly shapes your vision with a flawless glow.")</f>
        <v>Bring a sophisticated brilliance to your space with premium neon linear lighting. Designed for ultimate flexibility, it effortlessly shapes your vision with a flawless glow.</v>
      </c>
      <c r="I40" s="6" t="s">
        <v>150</v>
      </c>
      <c r="J40" s="17"/>
      <c r="K40" s="17"/>
      <c r="L40" s="10" t="s">
        <v>151</v>
      </c>
      <c r="M4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""&amp;L40)"),"Power Consumption Rate | CCT | Voltage | IP Rating | Dimension | Cut Interval")</f>
        <v>Power Consumption Rate | CCT | Voltage | IP Rating | Dimension | Cut Interval</v>
      </c>
      <c r="N40" s="18" t="s">
        <v>152</v>
      </c>
      <c r="O40" s="11" t="str">
        <f>IFERROR(__xludf.DUMMYFUNCTION("AI(""Using the labels""&amp;N40&amp;"" and values ""&amp;L40&amp;"" separated by character '|', Create a JSON object"")"),"{ ""Power Consumption Rate"": ""10W/m"", ""CCT"": ""2700K"", ""Voltage"": ""24V"", ""IP Rating"": ""IP67"", ""Dimension"": ""16mm (W) x 16mm (H)"", ""Cut Interval"": ""Free-Cut"" }")</f>
        <v>{ "Power Consumption Rate": "10W/m", "CCT": "2700K", "Voltage": "24V", "IP Rating": "IP67", "Dimension": "16mm (W) x 16mm (H)", "Cut Interval": "Free-Cut" }</v>
      </c>
      <c r="P40" s="18" t="s">
        <v>153</v>
      </c>
      <c r="Q40"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P40:P46)"),"{ ""Power Consumption Rate"": [ ""10W/m"", ""12W/m"", ""14W/m"", ""17W/m"" ], ""CCT"": [ ""2700K"", ""3000K"", ""4000K"" ], ""Voltage"": ""24V"", ""IP Rating"": ""IP67"", ""Dimension"": ""16mm (W) x 16mm (H)"", ""Cut Interval"": ""Free-Cut"", ""Light Colo"&amp;"r"": [ ""RGB"", ""RGBW"" ], ""Control Protocol"": ""DMX"", ""Resolution"": ""12 Pixels/m"" }")</f>
        <v>{ "Power Consumption Rate": [ "10W/m", "12W/m", "14W/m", "17W/m" ], "CCT": [ "2700K", "3000K", "4000K" ], "Voltage": "24V", "IP Rating": "IP67", "Dimension": "16mm (W) x 16mm (H)", "Cut Interval": "Free-Cut", "Light Color": [ "RGB", "RGBW" ], "Control Protocol": "DMX", "Resolution": "12 Pixels/m" }</v>
      </c>
      <c r="R40" s="6" t="s">
        <v>154</v>
      </c>
      <c r="S40"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P40:P46)"),"{
""Options"": {
""Power Consumption Rate"": [
{""name"": ""10W/m"", ""id"": ""101""},
{""name"": ""12W/m"", ""id"": ""102""},
{""name"": ""14W/m"", ""id"": ""103""},
{""name"": ""17W/m"", ""id"": ""104""}
],
""CCT"": [
{""name"": ""2700K"", ""id"": ""105"&amp;"""},
{""name"": ""3000K"", ""id"": ""106""},
{""name"": ""4000K"", ""id"": ""107""}
],
""Voltage"": [
{""name"": ""24V"", ""id"": ""108""}
],
""IP Rating"": [
{""name"": ""IP67"", ""id"": ""109""}
],
""Dimension"": [
{""name"": ""16mm (W) x 16mm (H)"", """&amp;"id"": ""110""}
],
""Cut Interval"": [
{""name"": ""Free-Cut"", ""id"": ""111""}
],
""Light Color"": [
{""name"": ""RGB"", ""id"": ""112""},
{""name"": ""RGBW"", ""id"": ""113""}
],
""Control Protocol"": [
{""name"": ""DMX"", ""id"": ""114""}
],
""Resoluti"&amp;"on"": [
{""name"": ""12 Pixels/m"", ""id"": ""115""}
]
},
""Constraints"": {
""101"": [""112"", ""113"", ""114"", ""115""],
""102"": [""105"", ""107"", ""111"", ""114"", ""115""],
""103"": [""105"", ""106"", ""107"", ""111"", ""113""],
""104"": [""105"", "&amp;"""107"", ""111"", ""112""]
}
}")</f>
        <v>{
"Options": {
"Power Consumption Rate": [
{"name": "10W/m", "id": "101"},
{"name": "12W/m", "id": "102"},
{"name": "14W/m", "id": "103"},
{"name": "17W/m", "id": "104"}
],
"CCT": [
{"name": "2700K", "id": "105"},
{"name": "3000K", "id": "106"},
{"name": "4000K", "id": "107"}
],
"Voltage": [
{"name": "24V", "id": "108"}
],
"IP Rating": [
{"name": "IP67", "id": "109"}
],
"Dimension": [
{"name": "16mm (W) x 16mm (H)", "id": "110"}
],
"Cut Interval": [
{"name": "Free-Cut", "id": "111"}
],
"Light Color": [
{"name": "RGB", "id": "112"},
{"name": "RGBW", "id": "113"}
],
"Control Protocol": [
{"name": "DMX", "id": "114"}
],
"Resolution": [
{"name": "12 Pixels/m", "id": "115"}
]
},
"Constraints": {
"101": ["112", "113", "114", "115"],
"102": ["105", "107", "111", "114", "115"],
"103": ["105", "106", "107", "111", "113"],
"104": ["105", "107", "111", "112"]
}
}</v>
      </c>
      <c r="T40" s="6" t="s">
        <v>155</v>
      </c>
      <c r="U40" s="6" t="s">
        <v>156</v>
      </c>
      <c r="V40" s="6" t="s">
        <v>157</v>
      </c>
      <c r="W40" s="6" t="s">
        <v>40</v>
      </c>
      <c r="X40" s="6" t="s">
        <v>158</v>
      </c>
      <c r="Y40" s="6" t="s">
        <v>60</v>
      </c>
      <c r="Z40" s="17"/>
      <c r="AA40" s="17" t="str">
        <f>IFERROR(__xludf.DUMMYFUNCTION("AI(""Generate 6 powerful unique keywords for the product in this row"")"),"Neon Linear Lighting, Premium Flexible LED, Modern Architectural Contour, High-End Luxury Interior, Waterproof Landscape Glow, Flawless Uniform Radiance")</f>
        <v>Neon Linear Lighting, Premium Flexible LED, Modern Architectural Contour, High-End Luxury Interior, Waterproof Landscape Glow, Flawless Uniform Radiance</v>
      </c>
    </row>
    <row r="41">
      <c r="A41" s="6"/>
      <c r="B41" s="17"/>
      <c r="C41" s="17"/>
      <c r="D41" s="17"/>
      <c r="E41" s="17"/>
      <c r="F41" s="17"/>
      <c r="G41" s="17"/>
      <c r="H41" s="17"/>
      <c r="I41" s="17"/>
      <c r="J41" s="17"/>
      <c r="K41" s="17"/>
      <c r="L41" s="10" t="s">
        <v>159</v>
      </c>
      <c r="M4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""&amp;L41)"),"Power Consumption Rate | CCT | Voltage | IP Rating | Dimension | Cut Interval")</f>
        <v>Power Consumption Rate | CCT | Voltage | IP Rating | Dimension | Cut Interval</v>
      </c>
      <c r="N41" s="18" t="s">
        <v>152</v>
      </c>
      <c r="O41" s="11" t="str">
        <f>IFERROR(__xludf.DUMMYFUNCTION("AI(""Using the labels""&amp;N41&amp;"" and values ""&amp;L41&amp;"" separated by character '|', Create a JSON object"")"),"{ ""Power Consumption Rate"": ""10W/m"", ""CCT"": ""3000K"", ""Voltage"": ""24V"", ""IP Rating"": ""IP67"", ""Dimension"": ""16mm (W) x 16mm (H)"", ""Cut Interval"": ""Free-Cut"" }")</f>
        <v>{ "Power Consumption Rate": "10W/m", "CCT": "3000K", "Voltage": "24V", "IP Rating": "IP67", "Dimension": "16mm (W) x 16mm (H)", "Cut Interval": "Free-Cut" }</v>
      </c>
      <c r="P41" s="18" t="s">
        <v>160</v>
      </c>
      <c r="Q41" s="17"/>
      <c r="R41" s="17"/>
      <c r="S41" s="17"/>
      <c r="T41" s="17"/>
      <c r="U41" s="17"/>
      <c r="V41" s="17"/>
      <c r="W41" s="6" t="s">
        <v>40</v>
      </c>
      <c r="X41" s="6" t="s">
        <v>158</v>
      </c>
      <c r="Y41" s="6" t="s">
        <v>60</v>
      </c>
      <c r="Z41" s="17"/>
      <c r="AA41" s="17"/>
    </row>
    <row r="42">
      <c r="A42" s="6"/>
      <c r="B42" s="17"/>
      <c r="C42" s="17"/>
      <c r="D42" s="17"/>
      <c r="E42" s="17"/>
      <c r="F42" s="17"/>
      <c r="G42" s="17"/>
      <c r="H42" s="17"/>
      <c r="I42" s="17"/>
      <c r="J42" s="17"/>
      <c r="K42" s="17"/>
      <c r="L42" s="10" t="s">
        <v>161</v>
      </c>
      <c r="M4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""&amp;L42)"),"Power Consumption Rate | CCT | Voltage | IP Rating | Dimension | Cut Interval")</f>
        <v>Power Consumption Rate | CCT | Voltage | IP Rating | Dimension | Cut Interval</v>
      </c>
      <c r="N42" s="18" t="s">
        <v>152</v>
      </c>
      <c r="O42" s="11" t="str">
        <f>IFERROR(__xludf.DUMMYFUNCTION("AI(""Using the labels""&amp;N42&amp;"" and values ""&amp;L42&amp;"" separated by character '|', Create a JSON object"")"),"{ ""Power Consumption Rate"": ""10W/m"", ""CCT"": ""4000K"", ""Voltage"": ""24V"", ""IP Rating"": ""IP67"", ""Dimension"": ""16mm (W) x 16mm (H)"", ""Cut Interval"": ""Free-Cut"" }")</f>
        <v>{ "Power Consumption Rate": "10W/m", "CCT": "4000K", "Voltage": "24V", "IP Rating": "IP67", "Dimension": "16mm (W) x 16mm (H)", "Cut Interval": "Free-Cut" }</v>
      </c>
      <c r="P42" s="18" t="s">
        <v>162</v>
      </c>
      <c r="Q42" s="17"/>
      <c r="R42" s="17"/>
      <c r="S42" s="17"/>
      <c r="T42" s="17"/>
      <c r="U42" s="17"/>
      <c r="V42" s="17"/>
      <c r="W42" s="6" t="s">
        <v>40</v>
      </c>
      <c r="X42" s="6" t="s">
        <v>158</v>
      </c>
      <c r="Y42" s="6" t="s">
        <v>60</v>
      </c>
      <c r="Z42" s="17"/>
      <c r="AA42" s="17"/>
    </row>
    <row r="43">
      <c r="A43" s="6"/>
      <c r="B43" s="17"/>
      <c r="C43" s="17"/>
      <c r="D43" s="17"/>
      <c r="E43" s="17"/>
      <c r="F43" s="17"/>
      <c r="G43" s="17"/>
      <c r="H43" s="17"/>
      <c r="I43" s="17"/>
      <c r="J43" s="17"/>
      <c r="K43" s="17"/>
      <c r="L43" s="10" t="s">
        <v>163</v>
      </c>
      <c r="M4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""&amp;L43)"),"Power Consumption Rate | Light Color | Voltage | IP Rating | Dimension")</f>
        <v>Power Consumption Rate | Light Color | Voltage | IP Rating | Dimension</v>
      </c>
      <c r="N43" s="18" t="s">
        <v>164</v>
      </c>
      <c r="O43" s="11" t="str">
        <f>IFERROR(__xludf.DUMMYFUNCTION("AI(""Using the labels""&amp;N43&amp;"" and values ""&amp;L43&amp;"" separated by character '|', Create a JSON object"")"),"{ ""Power Consumption Rate"": ""12W/m"", ""Light Color"": ""RGB"", ""Voltage"": ""24V"", ""IP Rating"": ""IP67"", ""Dimension"": ""16mm (W) x 16mm (H)"" }")</f>
        <v>{ "Power Consumption Rate": "12W/m", "Light Color": "RGB", "Voltage": "24V", "IP Rating": "IP67", "Dimension": "16mm (W) x 16mm (H)" }</v>
      </c>
      <c r="P43" s="18" t="s">
        <v>165</v>
      </c>
      <c r="Q43" s="17"/>
      <c r="R43" s="17"/>
      <c r="S43" s="17"/>
      <c r="T43" s="17"/>
      <c r="U43" s="17"/>
      <c r="V43" s="17"/>
      <c r="W43" s="6" t="s">
        <v>40</v>
      </c>
      <c r="X43" s="6" t="s">
        <v>166</v>
      </c>
      <c r="Y43" s="6" t="s">
        <v>60</v>
      </c>
      <c r="Z43" s="17"/>
      <c r="AA43" s="17"/>
    </row>
    <row r="44">
      <c r="A44" s="6"/>
      <c r="B44" s="17"/>
      <c r="C44" s="17"/>
      <c r="D44" s="17"/>
      <c r="E44" s="17"/>
      <c r="F44" s="17"/>
      <c r="G44" s="17"/>
      <c r="H44" s="17"/>
      <c r="I44" s="17"/>
      <c r="J44" s="17"/>
      <c r="K44" s="17"/>
      <c r="L44" s="10" t="s">
        <v>167</v>
      </c>
      <c r="M4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""&amp;L44)"),"Power Consumption Rate | Light Color | Voltage | IP Rating | Dimension | Control Protocol | Resolution")</f>
        <v>Power Consumption Rate | Light Color | Voltage | IP Rating | Dimension | Control Protocol | Resolution</v>
      </c>
      <c r="N44" s="18" t="s">
        <v>168</v>
      </c>
      <c r="O44" s="11" t="str">
        <f>IFERROR(__xludf.DUMMYFUNCTION("AI(""Using the labels""&amp;N44&amp;"" and values ""&amp;L44&amp;"" separated by character '|', Create a JSON object"")"),"{ ""Power Consumption Rate"": ""14W/m"", ""Light Color"": ""RGB"", ""Voltage"": ""24V"", ""IP Rating"": ""IP67"", ""Dimension"": ""16mm (W) x 16mm (H)"", ""Control Protocol"": ""DMX"", ""Resolution"": ""12 Pixels/m"" }")</f>
        <v>{ "Power Consumption Rate": "14W/m", "Light Color": "RGB", "Voltage": "24V", "IP Rating": "IP67", "Dimension": "16mm (W) x 16mm (H)", "Control Protocol": "DMX", "Resolution": "12 Pixels/m" }</v>
      </c>
      <c r="P44" s="18" t="s">
        <v>169</v>
      </c>
      <c r="Q44" s="17"/>
      <c r="R44" s="17"/>
      <c r="S44" s="17"/>
      <c r="T44" s="17"/>
      <c r="U44" s="17"/>
      <c r="V44" s="17"/>
      <c r="W44" s="6" t="s">
        <v>40</v>
      </c>
      <c r="X44" s="6" t="s">
        <v>170</v>
      </c>
      <c r="Y44" s="6" t="s">
        <v>42</v>
      </c>
      <c r="Z44" s="17"/>
      <c r="AA44" s="17"/>
    </row>
    <row r="45">
      <c r="A45" s="6"/>
      <c r="B45" s="17"/>
      <c r="C45" s="17"/>
      <c r="D45" s="17"/>
      <c r="E45" s="17"/>
      <c r="F45" s="17"/>
      <c r="G45" s="17"/>
      <c r="H45" s="17"/>
      <c r="I45" s="17"/>
      <c r="J45" s="17"/>
      <c r="K45" s="17"/>
      <c r="L45" s="10" t="s">
        <v>171</v>
      </c>
      <c r="M4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""&amp;L45)"),"Power Consumption Rate | Light Color | CCT | Voltage | IP Rating | Dimension")</f>
        <v>Power Consumption Rate | Light Color | CCT | Voltage | IP Rating | Dimension</v>
      </c>
      <c r="N45" s="18" t="s">
        <v>172</v>
      </c>
      <c r="O45" s="11" t="str">
        <f>IFERROR(__xludf.DUMMYFUNCTION("AI(""Using the labels""&amp;N45&amp;"" and values ""&amp;L45&amp;"" separated by character '|', Create a JSON object"")"),"{ ""Power Consumption Rate"": ""12W/m"", ""Light Color"": ""RGBW"", ""CCT"": ""3000K"", ""Voltage"": ""24V"", ""IP Rating"": ""IP67"", ""Dimension"": ""16mm (W) x 16mm (H)"" }")</f>
        <v>{ "Power Consumption Rate": "12W/m", "Light Color": "RGBW", "CCT": "3000K", "Voltage": "24V", "IP Rating": "IP67", "Dimension": "16mm (W) x 16mm (H)" }</v>
      </c>
      <c r="P45" s="18" t="s">
        <v>173</v>
      </c>
      <c r="Q45" s="17"/>
      <c r="R45" s="17"/>
      <c r="S45" s="17"/>
      <c r="T45" s="17"/>
      <c r="U45" s="17"/>
      <c r="V45" s="17"/>
      <c r="W45" s="6" t="s">
        <v>40</v>
      </c>
      <c r="X45" s="6" t="s">
        <v>174</v>
      </c>
      <c r="Y45" s="6" t="s">
        <v>60</v>
      </c>
      <c r="Z45" s="17"/>
      <c r="AA45" s="17"/>
    </row>
    <row r="46">
      <c r="A46" s="6"/>
      <c r="B46" s="17"/>
      <c r="C46" s="17"/>
      <c r="D46" s="17"/>
      <c r="E46" s="17"/>
      <c r="F46" s="17"/>
      <c r="G46" s="17"/>
      <c r="H46" s="17"/>
      <c r="I46" s="17"/>
      <c r="J46" s="17"/>
      <c r="K46" s="17"/>
      <c r="L46" s="10" t="s">
        <v>175</v>
      </c>
      <c r="M4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""&amp;L46)"),"Power Consumption Rate | Light Color | CCT | Voltage | IP Rating | Dimension | Control Protocol | Resolution")</f>
        <v>Power Consumption Rate | Light Color | CCT | Voltage | IP Rating | Dimension | Control Protocol | Resolution</v>
      </c>
      <c r="N46" s="18" t="s">
        <v>176</v>
      </c>
      <c r="O46" s="11" t="str">
        <f>IFERROR(__xludf.DUMMYFUNCTION("AI(""Using the labels""&amp;N46&amp;"" and values ""&amp;L46&amp;"" separated by character '|', Create a JSON object"")"),"{ ""Power Consumption Rate"": ""17W/m"", ""Light Color"": ""RGBW"", ""CCT"": ""3000K"", ""Voltage"": ""24V"", ""IP Rating"": ""IP67"", ""Dimension"": ""16mm (W) x 16mm (H)"", ""Control Protocol"": ""DMX"", ""Resolution"": ""12 Pixels/m"" }")</f>
        <v>{ "Power Consumption Rate": "17W/m", "Light Color": "RGBW", "CCT": "3000K", "Voltage": "24V", "IP Rating": "IP67", "Dimension": "16mm (W) x 16mm (H)", "Control Protocol": "DMX", "Resolution": "12 Pixels/m" }</v>
      </c>
      <c r="P46" s="18" t="s">
        <v>177</v>
      </c>
      <c r="Q46" s="17"/>
      <c r="R46" s="17"/>
      <c r="S46" s="17"/>
      <c r="T46" s="17"/>
      <c r="U46" s="17"/>
      <c r="V46" s="17"/>
      <c r="W46" s="6" t="s">
        <v>40</v>
      </c>
      <c r="X46" s="6" t="s">
        <v>178</v>
      </c>
      <c r="Y46" s="6" t="s">
        <v>42</v>
      </c>
      <c r="Z46" s="17"/>
      <c r="AA46" s="17"/>
    </row>
    <row r="47">
      <c r="A47" s="6" t="s">
        <v>179</v>
      </c>
      <c r="B47" s="6" t="s">
        <v>180</v>
      </c>
      <c r="C47" s="6" t="s">
        <v>29</v>
      </c>
      <c r="D47" s="6" t="s">
        <v>181</v>
      </c>
      <c r="E47" s="6" t="s">
        <v>30</v>
      </c>
      <c r="F47" s="8" t="str">
        <f>IFERROR(__xludf.DUMMYFUNCTION("AI(""Give me a paragraph marketing spiel for product in this row, no tech specs just marketing fluff "")"),"Bring a sophisticated brilliance to your space with premium neon linear lighting. Designed for ultimate flexibility, it effortlessly shapes your vision with a flawless, uniform glow that transforms any environment into a captivating masterpiece. Perfect f"&amp;"or accentuating architectural details or creating an unforgettable ambiance, this elegant lighting solution delivers stunning visual impact while seamlessly blending style and modern luxury. Elegant, versatile, and striking, it is the premier choice for t"&amp;"hose looking to elevate their design and illuminate their world with unparalleled radiance.")</f>
        <v>Bring a sophisticated brilliance to your space with premium neon linear lighting. Designed for ultimate flexibility, it effortlessly shapes your vision with a flawless, uniform glow that transforms any environment into a captivating masterpiece. Perfect for accentuating architectural details or creating an unforgettable ambiance, this elegant lighting solution delivers stunning visual impact while seamlessly blending style and modern luxury. Elegant, versatile, and striking, it is the premier choice for those looking to elevate their design and illuminate their world with unparalleled radiance.</v>
      </c>
      <c r="G47" s="6" t="s">
        <v>182</v>
      </c>
      <c r="H47" s="8" t="str">
        <f>IFERROR(__xludf.DUMMYFUNCTION("AI(""Give me a paragraph marketing spiel for product in this row, no tech specs just marketing fluff under 180 characters "")"),"Transform your space with our premium neon linear lighting, crafted to bring a modern, sophisticated brilliance and flawless radiance to any architectural setting.")</f>
        <v>Transform your space with our premium neon linear lighting, crafted to bring a modern, sophisticated brilliance and flawless radiance to any architectural setting.</v>
      </c>
      <c r="I47" s="6" t="s">
        <v>183</v>
      </c>
      <c r="J47" s="17"/>
      <c r="K47" s="17"/>
      <c r="L47" s="10" t="s">
        <v>151</v>
      </c>
      <c r="M4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""&amp;L47)"),"Power Consumption Rate | CCT | Voltage | IP Rating | Dimension | Cut Interval")</f>
        <v>Power Consumption Rate | CCT | Voltage | IP Rating | Dimension | Cut Interval</v>
      </c>
      <c r="N47" s="18" t="s">
        <v>152</v>
      </c>
      <c r="O47" s="11" t="str">
        <f>IFERROR(__xludf.DUMMYFUNCTION("AI(""Using the labels""&amp;N47&amp;"" and values ""&amp;L47&amp;"" separated by character '|', Create a JSON object"")"),"{ ""Power Consumption Rate"": ""10W/m"", ""CCT"": ""2700K"", ""Voltage"": ""24V"", ""IP Rating"": ""IP67"", ""Dimension"": ""16mm (W) x 16mm (H)"", ""Cut Interval"": ""Free-Cut"" }")</f>
        <v>{ "Power Consumption Rate": "10W/m", "CCT": "2700K", "Voltage": "24V", "IP Rating": "IP67", "Dimension": "16mm (W) x 16mm (H)", "Cut Interval": "Free-Cut" }</v>
      </c>
      <c r="P47" s="18" t="s">
        <v>153</v>
      </c>
      <c r="Q47"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P47:P53)"),"{ ""Power Consumption Rate"": [ ""10W/m"", ""12W/m"", ""14W/m"", ""17W/m"" ], ""CCT"": [ ""2700K"", ""3000K"", ""4000K"" ], ""Voltage"": ""24V"", ""IP Rating"": ""IP67"", ""Dimension"": ""16mm (W) x 16mm (H)"", ""Cut Interval"": ""Free-Cut"", ""Light Colo"&amp;"r"": [ ""RGB"", ""RGBW"" ], ""Control Protocol"": ""DMX"", ""Resolution"": ""12 Pixels/m"" }")</f>
        <v>{ "Power Consumption Rate": [ "10W/m", "12W/m", "14W/m", "17W/m" ], "CCT": [ "2700K", "3000K", "4000K" ], "Voltage": "24V", "IP Rating": "IP67", "Dimension": "16mm (W) x 16mm (H)", "Cut Interval": "Free-Cut", "Light Color": [ "RGB", "RGBW" ], "Control Protocol": "DMX", "Resolution": "12 Pixels/m" }</v>
      </c>
      <c r="R47" s="6" t="s">
        <v>154</v>
      </c>
      <c r="S47"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P47:P53)"),"{
""Options"": {
""Power Consumption Rate"": [
{""name"": ""10W/m"", ""id"": ""101""},
{""name"": ""12W/m"", ""id"": ""109""},
{""name"": ""14W/m"", ""id"": ""111""},
{""name"": ""17W/m"", ""id"": ""115""}
],
""CCT"": [
{""name"": ""2700K"", ""id"": ""102"&amp;"""},
{""name"": ""3000K"", ""id"": ""107""},
{""name"": ""4000K"", ""id"": ""108""}
],
""Voltage"": [
{""name"": ""24V"", ""id"": ""103""}
],
""IP Rating"": [
{""name"": ""IP67"", ""id"": ""104""}
],
""Dimension"": [
{""name"": ""16mm (W) x 16mm (H)"", """&amp;"id"": ""105""}
],
""Cut Interval"": [
{""name"": ""Free-Cut"", ""id"": ""106""}
],
""Light Color"": [
{""name"": ""RGB"", ""id"": ""110""},
{""name"": ""RGBW"", ""id"": ""114""}
],
""Control Protocol"": [
{""name"": ""DMX"", ""id"": ""112""}
],
""Resoluti"&amp;"on"": [
{""name"": ""12 Pixels/m"", ""id"": ""113""}
]
},
""Constraints"": {
""101"": [""110"", ""112"", ""113"", ""114""],
""106"": [""109"", ""111"", ""115""],
""109"": [""112"", ""113""],
""110"": [""102"", ""107"", ""108""],
""111"": [""102"", ""107"""&amp;", ""108"", ""114""],
""114"": [""102"", ""108""],
""115"": [""110""]
}
}")</f>
        <v>{
"Options": {
"Power Consumption Rate": [
{"name": "10W/m", "id": "101"},
{"name": "12W/m", "id": "109"},
{"name": "14W/m", "id": "111"},
{"name": "17W/m", "id": "115"}
],
"CCT": [
{"name": "2700K", "id": "102"},
{"name": "3000K", "id": "107"},
{"name": "4000K", "id": "108"}
],
"Voltage": [
{"name": "24V", "id": "103"}
],
"IP Rating": [
{"name": "IP67", "id": "104"}
],
"Dimension": [
{"name": "16mm (W) x 16mm (H)", "id": "105"}
],
"Cut Interval": [
{"name": "Free-Cut", "id": "106"}
],
"Light Color": [
{"name": "RGB", "id": "110"},
{"name": "RGBW", "id": "114"}
],
"Control Protocol": [
{"name": "DMX", "id": "112"}
],
"Resolution": [
{"name": "12 Pixels/m", "id": "113"}
]
},
"Constraints": {
"101": ["110", "112", "113", "114"],
"106": ["109", "111", "115"],
"109": ["112", "113"],
"110": ["102", "107", "108"],
"111": ["102", "107", "108", "114"],
"114": ["102", "108"],
"115": ["110"]
}
}</v>
      </c>
      <c r="T47" s="6" t="s">
        <v>184</v>
      </c>
      <c r="U47" s="6" t="s">
        <v>185</v>
      </c>
      <c r="V47" s="6" t="s">
        <v>186</v>
      </c>
      <c r="W47" s="6" t="s">
        <v>40</v>
      </c>
      <c r="X47" s="6" t="s">
        <v>187</v>
      </c>
      <c r="Y47" s="6" t="s">
        <v>60</v>
      </c>
      <c r="Z47" s="17"/>
      <c r="AA47" s="17" t="str">
        <f>IFERROR(__xludf.DUMMYFUNCTION("AI(""Generate 6 powerful unique keywords for the product in this row"")"),"Neon Top View, Premium Linear Lighting, Flexible Neon LED, Architectural Contour Light, Uniform Radiance Strip, Waterproof Exterior Light")</f>
        <v>Neon Top View, Premium Linear Lighting, Flexible Neon LED, Architectural Contour Light, Uniform Radiance Strip, Waterproof Exterior Light</v>
      </c>
    </row>
    <row r="48">
      <c r="A48" s="6"/>
      <c r="B48" s="17"/>
      <c r="C48" s="17"/>
      <c r="D48" s="17"/>
      <c r="E48" s="17"/>
      <c r="F48" s="17"/>
      <c r="G48" s="17"/>
      <c r="H48" s="17"/>
      <c r="I48" s="17"/>
      <c r="J48" s="17"/>
      <c r="K48" s="17"/>
      <c r="L48" s="10" t="s">
        <v>159</v>
      </c>
      <c r="M4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""&amp;L48)"),"Power Consumption Rate | CCT | Voltage | IP Rating | Dimension | Cut Interval")</f>
        <v>Power Consumption Rate | CCT | Voltage | IP Rating | Dimension | Cut Interval</v>
      </c>
      <c r="N48" s="18" t="s">
        <v>152</v>
      </c>
      <c r="O48" s="11" t="str">
        <f>IFERROR(__xludf.DUMMYFUNCTION("AI(""Using the labels""&amp;N48&amp;"" and values ""&amp;L48&amp;"" separated by character '|', Create a JSON object"")"),"{ ""Power Consumption Rate"": ""10W/m"", ""CCT"": ""3000K"", ""Voltage"": ""24V"", ""IP Rating"": ""IP67"", ""Dimension"": ""16mm (W) x 16mm (H)"", ""Cut Interval"": ""Free-Cut"" }")</f>
        <v>{ "Power Consumption Rate": "10W/m", "CCT": "3000K", "Voltage": "24V", "IP Rating": "IP67", "Dimension": "16mm (W) x 16mm (H)", "Cut Interval": "Free-Cut" }</v>
      </c>
      <c r="P48" s="18" t="s">
        <v>160</v>
      </c>
      <c r="Q48" s="17"/>
      <c r="R48" s="17"/>
      <c r="S48" s="17"/>
      <c r="T48" s="17"/>
      <c r="U48" s="17"/>
      <c r="V48" s="17"/>
      <c r="W48" s="6" t="s">
        <v>40</v>
      </c>
      <c r="X48" s="6" t="s">
        <v>187</v>
      </c>
      <c r="Y48" s="6" t="s">
        <v>60</v>
      </c>
      <c r="Z48" s="17"/>
      <c r="AA48" s="17"/>
    </row>
    <row r="49">
      <c r="A49" s="6"/>
      <c r="B49" s="17"/>
      <c r="C49" s="17"/>
      <c r="D49" s="17"/>
      <c r="E49" s="17"/>
      <c r="F49" s="17"/>
      <c r="G49" s="17"/>
      <c r="H49" s="17"/>
      <c r="I49" s="17"/>
      <c r="J49" s="17"/>
      <c r="K49" s="17"/>
      <c r="L49" s="10" t="s">
        <v>161</v>
      </c>
      <c r="M4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""&amp;L49)"),"Power Consumption Rate | CCT | Voltage | IP Rating | Dimension | Cut Interval")</f>
        <v>Power Consumption Rate | CCT | Voltage | IP Rating | Dimension | Cut Interval</v>
      </c>
      <c r="N49" s="18" t="s">
        <v>152</v>
      </c>
      <c r="O49" s="11" t="str">
        <f>IFERROR(__xludf.DUMMYFUNCTION("AI(""Using the labels""&amp;N49&amp;"" and values ""&amp;L49&amp;"" separated by character '|', Create a JSON object"")"),"{ ""Power Consumption Rate"": ""10W/m"", ""CCT"": ""4000K"", ""Voltage"": ""24V"", ""IP Rating"": ""IP67"", ""Dimension"": ""16mm (W) x 16mm (H)"", ""Cut Interval"": ""Free-Cut"" }")</f>
        <v>{ "Power Consumption Rate": "10W/m", "CCT": "4000K", "Voltage": "24V", "IP Rating": "IP67", "Dimension": "16mm (W) x 16mm (H)", "Cut Interval": "Free-Cut" }</v>
      </c>
      <c r="P49" s="18" t="s">
        <v>162</v>
      </c>
      <c r="Q49" s="17"/>
      <c r="R49" s="17"/>
      <c r="S49" s="17"/>
      <c r="T49" s="17"/>
      <c r="U49" s="17"/>
      <c r="V49" s="17"/>
      <c r="W49" s="6" t="s">
        <v>40</v>
      </c>
      <c r="X49" s="6" t="s">
        <v>187</v>
      </c>
      <c r="Y49" s="6" t="s">
        <v>60</v>
      </c>
      <c r="Z49" s="17"/>
      <c r="AA49" s="17"/>
    </row>
    <row r="50">
      <c r="A50" s="6"/>
      <c r="B50" s="17"/>
      <c r="C50" s="17"/>
      <c r="D50" s="17"/>
      <c r="E50" s="17"/>
      <c r="F50" s="17"/>
      <c r="G50" s="17"/>
      <c r="H50" s="17"/>
      <c r="I50" s="17"/>
      <c r="J50" s="17"/>
      <c r="K50" s="17"/>
      <c r="L50" s="10" t="s">
        <v>163</v>
      </c>
      <c r="M5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""&amp;L50)"),"Power Consumption Rate | Light Color | Voltage | IP Rating | Dimension")</f>
        <v>Power Consumption Rate | Light Color | Voltage | IP Rating | Dimension</v>
      </c>
      <c r="N50" s="18" t="s">
        <v>164</v>
      </c>
      <c r="O50" s="11" t="str">
        <f>IFERROR(__xludf.DUMMYFUNCTION("AI(""Using the labels""&amp;N50&amp;"" and values ""&amp;L50&amp;"" separated by character '|', Create a JSON object"")"),"{ ""Power Consumption Rate"": ""12W/m"", ""Light Color"": ""RGB"", ""Voltage"": ""24V"", ""IP Rating"": ""IP67"", ""Dimension"": ""16mm (W) x 16mm (H)"" }")</f>
        <v>{ "Power Consumption Rate": "12W/m", "Light Color": "RGB", "Voltage": "24V", "IP Rating": "IP67", "Dimension": "16mm (W) x 16mm (H)" }</v>
      </c>
      <c r="P50" s="18" t="s">
        <v>165</v>
      </c>
      <c r="Q50" s="17"/>
      <c r="R50" s="17"/>
      <c r="S50" s="17"/>
      <c r="T50" s="17"/>
      <c r="U50" s="17"/>
      <c r="V50" s="17"/>
      <c r="W50" s="6" t="s">
        <v>40</v>
      </c>
      <c r="X50" s="6" t="s">
        <v>188</v>
      </c>
      <c r="Y50" s="6" t="s">
        <v>60</v>
      </c>
      <c r="Z50" s="17"/>
      <c r="AA50" s="17"/>
    </row>
    <row r="51">
      <c r="A51" s="6"/>
      <c r="B51" s="17"/>
      <c r="C51" s="17"/>
      <c r="D51" s="17"/>
      <c r="E51" s="17"/>
      <c r="F51" s="17"/>
      <c r="G51" s="17"/>
      <c r="H51" s="17"/>
      <c r="I51" s="17"/>
      <c r="J51" s="17"/>
      <c r="K51" s="17"/>
      <c r="L51" s="10" t="s">
        <v>189</v>
      </c>
      <c r="M5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""&amp;L51)"),"Power Consumption Rate | Light Color | Voltage | IP Rating | Dimension | Control Protocol | Resolution")</f>
        <v>Power Consumption Rate | Light Color | Voltage | IP Rating | Dimension | Control Protocol | Resolution</v>
      </c>
      <c r="N51" s="18" t="s">
        <v>168</v>
      </c>
      <c r="O51" s="11" t="str">
        <f>IFERROR(__xludf.DUMMYFUNCTION("AI(""Using the labels""&amp;N51&amp;"" and values ""&amp;L51&amp;"" separated by character '|', Create a JSON object"")"),"{ ""Power Consumption Rate"": ""14W/m"", ""Light Color"": ""RGB"", ""Voltage"": ""24V"", ""IP Rating"": ""IP67"", ""Dimension"": ""16mm (W) x 16mm (H)"", ""Control Protocol"": ""DMX"", ""Resolution"": ""12 Pixels/m"" }")</f>
        <v>{ "Power Consumption Rate": "14W/m", "Light Color": "RGB", "Voltage": "24V", "IP Rating": "IP67", "Dimension": "16mm (W) x 16mm (H)", "Control Protocol": "DMX", "Resolution": "12 Pixels/m" }</v>
      </c>
      <c r="P51" s="18" t="s">
        <v>169</v>
      </c>
      <c r="Q51" s="17"/>
      <c r="R51" s="17"/>
      <c r="S51" s="17"/>
      <c r="T51" s="17"/>
      <c r="U51" s="17"/>
      <c r="V51" s="17"/>
      <c r="W51" s="6" t="s">
        <v>40</v>
      </c>
      <c r="X51" s="6" t="s">
        <v>190</v>
      </c>
      <c r="Y51" s="6" t="s">
        <v>42</v>
      </c>
      <c r="Z51" s="17"/>
      <c r="AA51" s="17"/>
    </row>
    <row r="52">
      <c r="A52" s="6"/>
      <c r="B52" s="17"/>
      <c r="C52" s="17"/>
      <c r="D52" s="17"/>
      <c r="E52" s="17"/>
      <c r="F52" s="17"/>
      <c r="G52" s="17"/>
      <c r="H52" s="17"/>
      <c r="I52" s="17"/>
      <c r="J52" s="17"/>
      <c r="K52" s="17"/>
      <c r="L52" s="10" t="s">
        <v>171</v>
      </c>
      <c r="M5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""&amp;L52)"),"Power Consumption Rate | Light Color | CCT | Voltage | IP Rating | Dimension")</f>
        <v>Power Consumption Rate | Light Color | CCT | Voltage | IP Rating | Dimension</v>
      </c>
      <c r="N52" s="18" t="s">
        <v>172</v>
      </c>
      <c r="O52" s="11" t="str">
        <f>IFERROR(__xludf.DUMMYFUNCTION("AI(""Using the labels""&amp;N52&amp;"" and values ""&amp;L52&amp;"" separated by character '|', Create a JSON object"")"),"{ ""Power Consumption Rate"": ""12W/m"", ""Light Color"": ""RGBW"", ""CCT"": ""3000K"", ""Voltage"": ""24V"", ""IP Rating"": ""IP67"", ""Dimension"": ""16mm (W) x 16mm (H)"" }")</f>
        <v>{ "Power Consumption Rate": "12W/m", "Light Color": "RGBW", "CCT": "3000K", "Voltage": "24V", "IP Rating": "IP67", "Dimension": "16mm (W) x 16mm (H)" }</v>
      </c>
      <c r="P52" s="18" t="s">
        <v>173</v>
      </c>
      <c r="Q52" s="17"/>
      <c r="R52" s="17"/>
      <c r="S52" s="17"/>
      <c r="T52" s="17"/>
      <c r="U52" s="17"/>
      <c r="V52" s="17"/>
      <c r="W52" s="6" t="s">
        <v>40</v>
      </c>
      <c r="X52" s="6" t="s">
        <v>191</v>
      </c>
      <c r="Y52" s="6" t="s">
        <v>60</v>
      </c>
      <c r="Z52" s="17"/>
      <c r="AA52" s="17"/>
    </row>
    <row r="53">
      <c r="A53" s="6"/>
      <c r="B53" s="17"/>
      <c r="C53" s="17"/>
      <c r="D53" s="17"/>
      <c r="E53" s="17"/>
      <c r="F53" s="17"/>
      <c r="G53" s="17"/>
      <c r="H53" s="17"/>
      <c r="I53" s="17"/>
      <c r="J53" s="17"/>
      <c r="K53" s="17"/>
      <c r="L53" s="10" t="s">
        <v>192</v>
      </c>
      <c r="M5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""&amp;L53)"),"Power Consumption Rate | Light Color | CCT | Voltage | IP Rating | Dimension | Control Protocol | Resolution")</f>
        <v>Power Consumption Rate | Light Color | CCT | Voltage | IP Rating | Dimension | Control Protocol | Resolution</v>
      </c>
      <c r="N53" s="18" t="s">
        <v>176</v>
      </c>
      <c r="O53" s="11" t="str">
        <f>IFERROR(__xludf.DUMMYFUNCTION("AI(""Using the labels""&amp;N53&amp;"" and values ""&amp;L53&amp;"" separated by character '|', Create a JSON object"")"),"{ ""Power Consumption Rate"": ""17W/m"", ""Light Color"": ""RGBW"", ""CCT"": ""3000K"", ""Voltage"": ""24V"", ""IP Rating"": ""IP67"", ""Dimension"": ""16mm (W) x 16mm (H)"", ""Control Protocol"": ""DMX"", ""Resolution"": ""12 Pixels/m"" }")</f>
        <v>{ "Power Consumption Rate": "17W/m", "Light Color": "RGBW", "CCT": "3000K", "Voltage": "24V", "IP Rating": "IP67", "Dimension": "16mm (W) x 16mm (H)", "Control Protocol": "DMX", "Resolution": "12 Pixels/m" }</v>
      </c>
      <c r="P53" s="18" t="s">
        <v>177</v>
      </c>
      <c r="Q53" s="17"/>
      <c r="R53" s="17"/>
      <c r="S53" s="17"/>
      <c r="T53" s="17"/>
      <c r="U53" s="17"/>
      <c r="V53" s="17"/>
      <c r="W53" s="6" t="s">
        <v>40</v>
      </c>
      <c r="X53" s="6" t="s">
        <v>193</v>
      </c>
      <c r="Y53" s="6" t="s">
        <v>42</v>
      </c>
      <c r="Z53" s="17"/>
      <c r="AA53" s="17"/>
    </row>
    <row r="54">
      <c r="A54" s="6" t="s">
        <v>194</v>
      </c>
      <c r="B54" s="6" t="s">
        <v>195</v>
      </c>
      <c r="C54" s="6" t="s">
        <v>29</v>
      </c>
      <c r="D54" s="6" t="s">
        <v>196</v>
      </c>
      <c r="E54" s="7" t="s">
        <v>30</v>
      </c>
      <c r="F54" s="8" t="str">
        <f>IFERROR(__xludf.DUMMYFUNCTION("AI(""Give me a paragraph marketing spiel for product in this row, no tech specs just marketing fluff "")"),"Elevate your architectural visions with the 22W SMD, a premium linear lighting solution designed to bring seamless radiance to any space. Engineered for incredible flexibility and breathtaking visual impact, this brilliant light curves effortlessly to acc"&amp;"entuate contours and create striking design statements. Whether you are transforming a high-end commercial venue or adding a sophisticated atmosphere to an outdoor landscape, its pristine, uniform glow delivers unmatched aesthetic elegance. Built to maint"&amp;"ain its flawless brilliance, it is the ultimate choice for designers who refuse to compromise on beauty, adaptability, and style.")</f>
        <v>Elevate your architectural visions with the 22W SMD, a premium linear lighting solution designed to bring seamless radiance to any space. Engineered for incredible flexibility and breathtaking visual impact, this brilliant light curves effortlessly to accentuate contours and create striking design statements. Whether you are transforming a high-end commercial venue or adding a sophisticated atmosphere to an outdoor landscape, its pristine, uniform glow delivers unmatched aesthetic elegance. Built to maintain its flawless brilliance, it is the ultimate choice for designers who refuse to compromise on beauty, adaptability, and style.</v>
      </c>
      <c r="G54" s="6" t="s">
        <v>197</v>
      </c>
      <c r="H54" s="8" t="str">
        <f>IFERROR(__xludf.DUMMYFUNCTION("AI(""Give me a paragraph marketing spiel for product in this row, no tech specs just marketing fluff under 180 characters "")"),"Elevate your architectural vision with stunning linear lighting designed to bring seamless radiance, breathtaking visual impact, and unmatched elegance to any space.")</f>
        <v>Elevate your architectural vision with stunning linear lighting designed to bring seamless radiance, breathtaking visual impact, and unmatched elegance to any space.</v>
      </c>
      <c r="I54" s="17"/>
      <c r="J54" s="17"/>
      <c r="K54" s="17"/>
      <c r="L54" s="10" t="s">
        <v>198</v>
      </c>
      <c r="M5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""&amp;L54)"),"Power Consumption Rate | CCT | Voltage | IP Rating | Cut Interval")</f>
        <v>Power Consumption Rate | CCT | Voltage | IP Rating | Cut Interval</v>
      </c>
      <c r="N54" s="18" t="s">
        <v>199</v>
      </c>
      <c r="O54" s="11" t="str">
        <f>IFERROR(__xludf.DUMMYFUNCTION("AI(""Using the labels""&amp;N54&amp;"" and values ""&amp;L54&amp;"" separated by character '|', Create a JSON object"")"),"{ ""Power Consumption Rate"": ""22W/m"", ""CCT"": ""2700K"", ""Voltage"": ""24V"", ""IP Rating"": ""IP20"", ""Cut Interval"": ""Free Cut"" }")</f>
        <v>{ "Power Consumption Rate": "22W/m", "CCT": "2700K", "Voltage": "24V", "IP Rating": "IP20", "Cut Interval": "Free Cut" }</v>
      </c>
      <c r="P54" s="18" t="s">
        <v>200</v>
      </c>
      <c r="Q54"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P54:P61)"),"{ ""Power Consumption Rate"": ""22W/m"", ""CCT"": [ ""2700K"", ""3000K"", ""4000K"", ""6000K"" ], ""Voltage"": ""24V"", ""IP Rating"": [ ""IP20"", ""IP65 (Nano-Coated)"" ], ""Cut Interval"": ""Free Cut"" }")</f>
        <v>{ "Power Consumption Rate": "22W/m", "CCT": [ "2700K", "3000K", "4000K", "6000K" ], "Voltage": "24V", "IP Rating": [ "IP20", "IP65 (Nano-Coated)" ], "Cut Interval": "Free Cut" }</v>
      </c>
      <c r="R54" s="6" t="s">
        <v>201</v>
      </c>
      <c r="S54"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P54:P61)"),"{
""Options"": {
""Power Consumption Rate"": [
{""name"": ""22W/m"", ""id"": ""101""}
],
""CCT"": [
{""name"": ""2700K"", ""id"": ""102""},
{""name"": ""3000K"", ""id"": ""103""},
{""name"": ""4000K"", ""id"": ""104""},
{""name"": ""6000K"", ""id"": ""105"&amp;"""}
],
""Voltage"": [
{""name"": ""24V"", ""id"": ""106""}
],
""IP Rating"": [
{""name"": ""IP20"", ""id"": ""107""},
{""name"": ""IP65 (Nano-Coated)"", ""id"": ""108""}
],
""Cut Interval"": [
{""name"": ""Free Cut"", ""id"": ""109""}
]
},
""Constraints"""&amp;": {}
}")</f>
        <v>{
"Options": {
"Power Consumption Rate": [
{"name": "22W/m", "id": "101"}
],
"CCT": [
{"name": "2700K", "id": "102"},
{"name": "3000K", "id": "103"},
{"name": "4000K", "id": "104"},
{"name": "6000K", "id": "105"}
],
"Voltage": [
{"name": "24V", "id": "106"}
],
"IP Rating": [
{"name": "IP20", "id": "107"},
{"name": "IP65 (Nano-Coated)", "id": "108"}
],
"Cut Interval": [
{"name": "Free Cut", "id": "109"}
]
},
"Constraints": {}
}</v>
      </c>
      <c r="T54" s="6" t="s">
        <v>202</v>
      </c>
      <c r="U54" s="6" t="s">
        <v>203</v>
      </c>
      <c r="V54" s="6" t="s">
        <v>39</v>
      </c>
      <c r="W54" s="6" t="s">
        <v>40</v>
      </c>
      <c r="X54" s="6" t="s">
        <v>204</v>
      </c>
      <c r="Y54" s="6" t="s">
        <v>42</v>
      </c>
      <c r="Z54" s="17"/>
      <c r="AA54" s="17" t="str">
        <f>IFERROR(__xludf.DUMMYFUNCTION("AI(""Generate 6 powerful unique keywords for the product in this row"")"),"22W SMD Linear Light, Premium Linear Lighting, Flexible LED Strip, Architectural Contour Light, Uniform Glow Lighting, High Efficiency LED Tape")</f>
        <v>22W SMD Linear Light, Premium Linear Lighting, Flexible LED Strip, Architectural Contour Light, Uniform Glow Lighting, High Efficiency LED Tape</v>
      </c>
    </row>
    <row r="55">
      <c r="A55" s="6"/>
      <c r="B55" s="17"/>
      <c r="C55" s="17"/>
      <c r="D55" s="17"/>
      <c r="E55" s="17"/>
      <c r="F55" s="17"/>
      <c r="G55" s="17"/>
      <c r="H55" s="17"/>
      <c r="I55" s="17"/>
      <c r="J55" s="17"/>
      <c r="K55" s="17"/>
      <c r="L55" s="10" t="s">
        <v>205</v>
      </c>
      <c r="M5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""&amp;L55)"),"Power Consumption Rate | CCT | Voltage | IP Rating | Cut Interval")</f>
        <v>Power Consumption Rate | CCT | Voltage | IP Rating | Cut Interval</v>
      </c>
      <c r="N55" s="18" t="s">
        <v>199</v>
      </c>
      <c r="O55" s="11" t="str">
        <f>IFERROR(__xludf.DUMMYFUNCTION("AI(""Using the labels""&amp;N55&amp;"" and values ""&amp;L55&amp;"" separated by character '|', Create a JSON object"")"),"{ ""Power Consumption Rate"": ""22W/m"", ""CCT"": ""3000K"", ""Voltage"": ""24V"", ""IP Rating"": ""IP20"", ""Cut Interval"": ""Free Cut"" }")</f>
        <v>{ "Power Consumption Rate": "22W/m", "CCT": "3000K", "Voltage": "24V", "IP Rating": "IP20", "Cut Interval": "Free Cut" }</v>
      </c>
      <c r="P55" s="18" t="s">
        <v>206</v>
      </c>
      <c r="Q55" s="17"/>
      <c r="R55" s="17"/>
      <c r="S55" s="17"/>
      <c r="T55" s="17"/>
      <c r="U55" s="17"/>
      <c r="V55" s="17"/>
      <c r="W55" s="6" t="s">
        <v>40</v>
      </c>
      <c r="X55" s="6" t="s">
        <v>204</v>
      </c>
      <c r="Y55" s="6" t="s">
        <v>42</v>
      </c>
      <c r="Z55" s="17"/>
      <c r="AA55" s="17"/>
    </row>
    <row r="56">
      <c r="A56" s="6"/>
      <c r="B56" s="17"/>
      <c r="C56" s="17"/>
      <c r="D56" s="17"/>
      <c r="E56" s="17"/>
      <c r="F56" s="17"/>
      <c r="G56" s="17"/>
      <c r="H56" s="17"/>
      <c r="I56" s="17"/>
      <c r="J56" s="17"/>
      <c r="K56" s="17"/>
      <c r="L56" s="10" t="s">
        <v>207</v>
      </c>
      <c r="M5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""&amp;L56)"),"Power Consumption Rate | CCT | Voltage | IP Rating | Cut Interval")</f>
        <v>Power Consumption Rate | CCT | Voltage | IP Rating | Cut Interval</v>
      </c>
      <c r="N56" s="18" t="s">
        <v>199</v>
      </c>
      <c r="O56" s="11" t="str">
        <f>IFERROR(__xludf.DUMMYFUNCTION("AI(""Using the labels""&amp;N56&amp;"" and values ""&amp;L56&amp;"" separated by character '|', Create a JSON object"")"),"{ ""Power Consumption Rate"": ""22W/m"", ""CCT"": ""4000K"", ""Voltage"": ""24V"", ""IP Rating"": ""IP20"", ""Cut Interval"": ""Free Cut"" }")</f>
        <v>{ "Power Consumption Rate": "22W/m", "CCT": "4000K", "Voltage": "24V", "IP Rating": "IP20", "Cut Interval": "Free Cut" }</v>
      </c>
      <c r="P56" s="18" t="s">
        <v>208</v>
      </c>
      <c r="Q56" s="17"/>
      <c r="R56" s="17"/>
      <c r="S56" s="17"/>
      <c r="T56" s="17"/>
      <c r="U56" s="17"/>
      <c r="V56" s="17"/>
      <c r="W56" s="6" t="s">
        <v>40</v>
      </c>
      <c r="X56" s="6" t="s">
        <v>204</v>
      </c>
      <c r="Y56" s="6" t="s">
        <v>42</v>
      </c>
      <c r="Z56" s="17"/>
      <c r="AA56" s="17"/>
    </row>
    <row r="57">
      <c r="A57" s="6"/>
      <c r="B57" s="17"/>
      <c r="C57" s="17"/>
      <c r="D57" s="17"/>
      <c r="E57" s="17"/>
      <c r="F57" s="17"/>
      <c r="G57" s="17"/>
      <c r="H57" s="17"/>
      <c r="I57" s="17"/>
      <c r="J57" s="17"/>
      <c r="K57" s="17"/>
      <c r="L57" s="10" t="s">
        <v>209</v>
      </c>
      <c r="M5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""&amp;L57)"),"Power Consumption Rate | CCT | Voltage | IP Rating | Cut Interval")</f>
        <v>Power Consumption Rate | CCT | Voltage | IP Rating | Cut Interval</v>
      </c>
      <c r="N57" s="18" t="s">
        <v>199</v>
      </c>
      <c r="O57" s="11" t="str">
        <f>IFERROR(__xludf.DUMMYFUNCTION("AI(""Using the labels""&amp;N57&amp;"" and values ""&amp;L57&amp;"" separated by character '|', Create a JSON object"")"),"{ ""Power Consumption Rate"": ""22W/m"", ""CCT"": ""6000K"", ""Voltage"": ""24V"", ""IP Rating"": ""IP20"", ""Cut Interval"": ""Free Cut"" }")</f>
        <v>{ "Power Consumption Rate": "22W/m", "CCT": "6000K", "Voltage": "24V", "IP Rating": "IP20", "Cut Interval": "Free Cut" }</v>
      </c>
      <c r="P57" s="18" t="s">
        <v>210</v>
      </c>
      <c r="Q57" s="17"/>
      <c r="R57" s="17"/>
      <c r="S57" s="17"/>
      <c r="T57" s="17"/>
      <c r="U57" s="17"/>
      <c r="V57" s="17"/>
      <c r="W57" s="6" t="s">
        <v>40</v>
      </c>
      <c r="X57" s="6" t="s">
        <v>204</v>
      </c>
      <c r="Y57" s="6" t="s">
        <v>42</v>
      </c>
      <c r="Z57" s="17"/>
      <c r="AA57" s="17"/>
    </row>
    <row r="58">
      <c r="A58" s="6"/>
      <c r="B58" s="17"/>
      <c r="C58" s="17"/>
      <c r="D58" s="17"/>
      <c r="E58" s="17"/>
      <c r="F58" s="17"/>
      <c r="G58" s="17"/>
      <c r="H58" s="17"/>
      <c r="I58" s="17"/>
      <c r="J58" s="17"/>
      <c r="K58" s="17"/>
      <c r="L58" s="10" t="s">
        <v>211</v>
      </c>
      <c r="M5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""&amp;L58)"),"Power Consumption Rate | CCT | Voltage | IP Rating | Cut Interval")</f>
        <v>Power Consumption Rate | CCT | Voltage | IP Rating | Cut Interval</v>
      </c>
      <c r="N58" s="18" t="s">
        <v>199</v>
      </c>
      <c r="O58" s="11" t="str">
        <f>IFERROR(__xludf.DUMMYFUNCTION("AI(""Using the labels""&amp;N58&amp;"" and values ""&amp;L58&amp;"" separated by character '|', Create a JSON object"")"),"{ ""Power Consumption Rate"": ""22W/m"", ""CCT"": ""2700K"", ""Voltage"": ""24V"", ""IP Rating"": ""IP65 (Nano-Coated)"", ""Cut Interval"": ""Free Cut"" }")</f>
        <v>{ "Power Consumption Rate": "22W/m", "CCT": "2700K", "Voltage": "24V", "IP Rating": "IP65 (Nano-Coated)", "Cut Interval": "Free Cut" }</v>
      </c>
      <c r="P58" s="18" t="s">
        <v>212</v>
      </c>
      <c r="Q58" s="17"/>
      <c r="R58" s="17"/>
      <c r="S58" s="17"/>
      <c r="T58" s="17"/>
      <c r="U58" s="17"/>
      <c r="V58" s="17"/>
      <c r="W58" s="6" t="s">
        <v>40</v>
      </c>
      <c r="X58" s="6" t="s">
        <v>204</v>
      </c>
      <c r="Y58" s="6" t="s">
        <v>42</v>
      </c>
      <c r="Z58" s="17"/>
      <c r="AA58" s="17"/>
    </row>
    <row r="59">
      <c r="A59" s="6"/>
      <c r="B59" s="17"/>
      <c r="C59" s="17"/>
      <c r="D59" s="17"/>
      <c r="E59" s="17"/>
      <c r="F59" s="17"/>
      <c r="G59" s="17"/>
      <c r="H59" s="17"/>
      <c r="I59" s="17"/>
      <c r="J59" s="17"/>
      <c r="K59" s="17"/>
      <c r="L59" s="10" t="s">
        <v>213</v>
      </c>
      <c r="M5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""&amp;L59)"),"Power Consumption Rate | CCT | Voltage | IP Rating | Cut Interval")</f>
        <v>Power Consumption Rate | CCT | Voltage | IP Rating | Cut Interval</v>
      </c>
      <c r="N59" s="18" t="s">
        <v>199</v>
      </c>
      <c r="O59" s="11" t="str">
        <f>IFERROR(__xludf.DUMMYFUNCTION("AI(""Using the labels""&amp;N59&amp;"" and values ""&amp;L59&amp;"" separated by character '|', Create a JSON object"")"),"{ ""Power Consumption Rate"": ""22W/m"", ""CCT"": ""3000K"", ""Voltage"": ""24V"", ""IP Rating"": ""IP65 (Nano-Coated)"", ""Cut Interval"": ""Free Cut"" }")</f>
        <v>{ "Power Consumption Rate": "22W/m", "CCT": "3000K", "Voltage": "24V", "IP Rating": "IP65 (Nano-Coated)", "Cut Interval": "Free Cut" }</v>
      </c>
      <c r="P59" s="18" t="s">
        <v>214</v>
      </c>
      <c r="Q59" s="17"/>
      <c r="R59" s="17"/>
      <c r="S59" s="17"/>
      <c r="T59" s="17"/>
      <c r="U59" s="17"/>
      <c r="V59" s="17"/>
      <c r="W59" s="6" t="s">
        <v>40</v>
      </c>
      <c r="X59" s="6" t="s">
        <v>204</v>
      </c>
      <c r="Y59" s="6" t="s">
        <v>42</v>
      </c>
      <c r="Z59" s="17"/>
      <c r="AA59" s="17"/>
    </row>
    <row r="60">
      <c r="A60" s="6"/>
      <c r="B60" s="17"/>
      <c r="C60" s="17"/>
      <c r="D60" s="17"/>
      <c r="E60" s="17"/>
      <c r="F60" s="17"/>
      <c r="G60" s="17"/>
      <c r="H60" s="17"/>
      <c r="I60" s="17"/>
      <c r="J60" s="17"/>
      <c r="K60" s="17"/>
      <c r="L60" s="10" t="s">
        <v>215</v>
      </c>
      <c r="M6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""&amp;L60)"),"Power Consumption Rate | CCT | Voltage | IP Rating | Cut Interval")</f>
        <v>Power Consumption Rate | CCT | Voltage | IP Rating | Cut Interval</v>
      </c>
      <c r="N60" s="18" t="s">
        <v>199</v>
      </c>
      <c r="O60" s="11" t="str">
        <f>IFERROR(__xludf.DUMMYFUNCTION("AI(""Using the labels""&amp;N60&amp;"" and values ""&amp;L60&amp;"" separated by character '|', Create a JSON object"")"),"{ ""Power Consumption Rate"": ""22W/m"", ""CCT"": ""4000K"", ""Voltage"": ""24V"", ""IP Rating"": ""IP65 (Nano-Coated)"", ""Cut Interval"": ""Free Cut"" }")</f>
        <v>{ "Power Consumption Rate": "22W/m", "CCT": "4000K", "Voltage": "24V", "IP Rating": "IP65 (Nano-Coated)", "Cut Interval": "Free Cut" }</v>
      </c>
      <c r="P60" s="18" t="s">
        <v>216</v>
      </c>
      <c r="Q60" s="17"/>
      <c r="R60" s="17"/>
      <c r="S60" s="17"/>
      <c r="T60" s="17"/>
      <c r="U60" s="17"/>
      <c r="V60" s="17"/>
      <c r="W60" s="6" t="s">
        <v>40</v>
      </c>
      <c r="X60" s="6" t="s">
        <v>204</v>
      </c>
      <c r="Y60" s="6" t="s">
        <v>42</v>
      </c>
      <c r="Z60" s="17"/>
      <c r="AA60" s="17"/>
    </row>
    <row r="61">
      <c r="A61" s="6"/>
      <c r="B61" s="17"/>
      <c r="C61" s="17"/>
      <c r="D61" s="17"/>
      <c r="E61" s="17"/>
      <c r="F61" s="17"/>
      <c r="G61" s="17"/>
      <c r="H61" s="17"/>
      <c r="I61" s="17"/>
      <c r="J61" s="17"/>
      <c r="K61" s="17"/>
      <c r="L61" s="10" t="s">
        <v>217</v>
      </c>
      <c r="M6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""&amp;L61)"),"Power Consumption Rate | CCT | Voltage | IP Rating | Cut Interval")</f>
        <v>Power Consumption Rate | CCT | Voltage | IP Rating | Cut Interval</v>
      </c>
      <c r="N61" s="18" t="s">
        <v>199</v>
      </c>
      <c r="O61" s="11" t="str">
        <f>IFERROR(__xludf.DUMMYFUNCTION("AI(""Using the labels""&amp;N61&amp;"" and values ""&amp;L61&amp;"" separated by character '|', Create a JSON object"")"),"{ ""Power Consumption Rate"": ""22W/m"", ""CCT"": ""6000K"", ""Voltage"": ""24V"", ""IP Rating"": ""IP65 (Nano-Coated)"", ""Cut Interval"": ""Free Cut"" }")</f>
        <v>{ "Power Consumption Rate": "22W/m", "CCT": "6000K", "Voltage": "24V", "IP Rating": "IP65 (Nano-Coated)", "Cut Interval": "Free Cut" }</v>
      </c>
      <c r="P61" s="18" t="s">
        <v>218</v>
      </c>
      <c r="Q61" s="17"/>
      <c r="R61" s="17"/>
      <c r="S61" s="17"/>
      <c r="T61" s="17"/>
      <c r="U61" s="17"/>
      <c r="V61" s="17"/>
      <c r="W61" s="6" t="s">
        <v>40</v>
      </c>
      <c r="X61" s="6" t="s">
        <v>204</v>
      </c>
      <c r="Y61" s="6" t="s">
        <v>42</v>
      </c>
      <c r="Z61" s="17"/>
      <c r="AA61" s="17"/>
    </row>
    <row r="62">
      <c r="A62" s="6" t="s">
        <v>219</v>
      </c>
      <c r="B62" s="6" t="s">
        <v>220</v>
      </c>
      <c r="C62" s="6" t="s">
        <v>29</v>
      </c>
      <c r="D62" s="6" t="s">
        <v>196</v>
      </c>
      <c r="E62" s="7" t="s">
        <v>30</v>
      </c>
      <c r="F62" s="8" t="str">
        <f>IFERROR(__xludf.DUMMYFUNCTION("AI(""Give me a paragraph marketing spiel for product in this row, no tech specs just marketing fluff "")"),"Elevate your design visions with this premium linear lighting solution, crafted to bring seamless radiance and an unparalleled aesthetic elegance to any space. Engineered for exceptional flexibility and breathtaking visual impact, it accentuates contours "&amp;"effortlessly to create striking architectural design statements. Whether you are transforming a sophisticated commercial venue or adding a luxurious atmosphere to an interior landscape, its pristine, uniform glow delivers unmatched brilliance. It is the u"&amp;"ltimate choice for designers and creators who refuse to compromise on beauty, modern adaptability, and pure style.")</f>
        <v>Elevate your design visions with this premium linear lighting solution, crafted to bring seamless radiance and an unparalleled aesthetic elegance to any space. Engineered for exceptional flexibility and breathtaking visual impact, it accentuates contours effortlessly to create striking architectural design statements. Whether you are transforming a sophisticated commercial venue or adding a luxurious atmosphere to an interior landscape, its pristine, uniform glow delivers unmatched brilliance. It is the ultimate choice for designers and creators who refuse to compromise on beauty, modern adaptability, and pure style.</v>
      </c>
      <c r="G62" s="6" t="s">
        <v>221</v>
      </c>
      <c r="H62" s="8" t="str">
        <f>IFERROR(__xludf.DUMMYFUNCTION("AI(""Give me a paragraph marketing spiel for product in this row, no tech specs just marketing fluff under 180 characters "")"),"Elevate your design visions with this premium linear lighting solution, crafted to bring seamless radiance and an unparalleled aesthetic elegance to any space.")</f>
        <v>Elevate your design visions with this premium linear lighting solution, crafted to bring seamless radiance and an unparalleled aesthetic elegance to any space.</v>
      </c>
      <c r="I62" s="17"/>
      <c r="J62" s="17"/>
      <c r="K62" s="17"/>
      <c r="L62" s="10" t="s">
        <v>222</v>
      </c>
      <c r="M6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""&amp;L62)"),"Power Consumption Rate | CCT | Voltage | IP Rating | Strip Width")</f>
        <v>Power Consumption Rate | CCT | Voltage | IP Rating | Strip Width</v>
      </c>
      <c r="N62" s="18" t="s">
        <v>97</v>
      </c>
      <c r="O62" s="11" t="str">
        <f>IFERROR(__xludf.DUMMYFUNCTION("AI(""Using the labels""&amp;N62&amp;"" and values ""&amp;L62&amp;"" separated by character '|', Create a JSON object"")"),"{ ""Power Consumption Rate"": ""29W/m"", ""CCT"": ""2700K"", ""Voltage"": ""24V"", ""IP Rating"": ""IP20"", ""Strip Width"": ""12mm"" }")</f>
        <v>{ "Power Consumption Rate": "29W/m", "CCT": "2700K", "Voltage": "24V", "IP Rating": "IP20", "Strip Width": "12mm" }</v>
      </c>
      <c r="P62" s="18" t="s">
        <v>223</v>
      </c>
      <c r="Q62"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P62:P65)"),"{ ""Power Consumption Rate"": ""29W/m"", ""CCT"": [ ""2700K"", ""3000K"", ""4000K"", ""6000K"" ], ""Voltage"": ""24V"", ""IP Rating"": ""IP20"", ""Strip Width"": ""12mm"" }")</f>
        <v>{ "Power Consumption Rate": "29W/m", "CCT": [ "2700K", "3000K", "4000K", "6000K" ], "Voltage": "24V", "IP Rating": "IP20", "Strip Width": "12mm" }</v>
      </c>
      <c r="R62" s="6" t="s">
        <v>224</v>
      </c>
      <c r="S62"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P62:P65)"),"{
""Options"": {
""Power Consumption Rate"": [
{""name"": ""29W/m"", ""id"": ""101""}
],
""CCT"": [
{""name"": ""2700K"", ""id"": ""102""},
{""name"": ""3000K"", ""id"": ""103""},
{""name"": ""4000K"", ""id"": ""104""},
{""name"": ""6000K"", ""id"": ""105"&amp;"""}
],
""Voltage"": [
{""name"": ""24V"", ""id"": ""106""}
],
""IP Rating"": [
{""name"": ""IP20"", ""id"": ""107""}
],
""Strip Width"": [
{""name"": ""12mm"", ""id"": ""108""}
]
},
""Constraints"": {}
}")</f>
        <v>{
"Options": {
"Power Consumption Rate": [
{"name": "29W/m", "id": "101"}
],
"CCT": [
{"name": "2700K", "id": "102"},
{"name": "3000K", "id": "103"},
{"name": "4000K", "id": "104"},
{"name": "6000K", "id": "105"}
],
"Voltage": [
{"name": "24V", "id": "106"}
],
"IP Rating": [
{"name": "IP20", "id": "107"}
],
"Strip Width": [
{"name": "12mm", "id": "108"}
]
},
"Constraints": {}
}</v>
      </c>
      <c r="T62" s="6" t="s">
        <v>225</v>
      </c>
      <c r="U62" s="6" t="s">
        <v>226</v>
      </c>
      <c r="V62" s="6" t="s">
        <v>39</v>
      </c>
      <c r="W62" s="6" t="s">
        <v>40</v>
      </c>
      <c r="X62" s="6" t="s">
        <v>227</v>
      </c>
      <c r="Y62" s="6" t="s">
        <v>42</v>
      </c>
      <c r="Z62" s="17"/>
      <c r="AA62" s="17" t="str">
        <f>IFERROR(__xludf.DUMMYFUNCTION("AI(""Generate 6 powerful unique keywords for the product in this row"")"),"29W SMD, Premium Linear Lighting, Architectural Design Light, Uniform Glow Strip, Elegant Contour Light, High Power LED Strip")</f>
        <v>29W SMD, Premium Linear Lighting, Architectural Design Light, Uniform Glow Strip, Elegant Contour Light, High Power LED Strip</v>
      </c>
    </row>
    <row r="63">
      <c r="A63" s="6"/>
      <c r="B63" s="17"/>
      <c r="C63" s="17"/>
      <c r="D63" s="17"/>
      <c r="E63" s="17"/>
      <c r="F63" s="17"/>
      <c r="G63" s="17"/>
      <c r="H63" s="17"/>
      <c r="I63" s="17"/>
      <c r="J63" s="17"/>
      <c r="K63" s="17"/>
      <c r="L63" s="10" t="s">
        <v>228</v>
      </c>
      <c r="M6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""&amp;L63)"),"Power Consumption Rate | CCT | Voltage | IP Rating | Strip Width")</f>
        <v>Power Consumption Rate | CCT | Voltage | IP Rating | Strip Width</v>
      </c>
      <c r="N63" s="18" t="s">
        <v>97</v>
      </c>
      <c r="O63" s="11" t="str">
        <f>IFERROR(__xludf.DUMMYFUNCTION("AI(""Using the labels""&amp;N63&amp;"" and values ""&amp;L63&amp;"" separated by character '|', Create a JSON object"")"),"{ ""Power Consumption Rate"": ""29W/m"", ""CCT"": ""3000K"", ""Voltage"": ""24V"", ""IP Rating"": ""IP20"", ""Strip Width"": ""12mm"" }")</f>
        <v>{ "Power Consumption Rate": "29W/m", "CCT": "3000K", "Voltage": "24V", "IP Rating": "IP20", "Strip Width": "12mm" }</v>
      </c>
      <c r="P63" s="18" t="s">
        <v>229</v>
      </c>
      <c r="Q63" s="17"/>
      <c r="R63" s="17"/>
      <c r="S63" s="17"/>
      <c r="T63" s="17"/>
      <c r="U63" s="17"/>
      <c r="V63" s="17"/>
      <c r="W63" s="6" t="s">
        <v>40</v>
      </c>
      <c r="X63" s="6" t="s">
        <v>227</v>
      </c>
      <c r="Y63" s="6" t="s">
        <v>42</v>
      </c>
      <c r="Z63" s="17"/>
      <c r="AA63" s="17"/>
    </row>
    <row r="64">
      <c r="A64" s="6"/>
      <c r="B64" s="17"/>
      <c r="C64" s="17"/>
      <c r="D64" s="17"/>
      <c r="E64" s="17"/>
      <c r="F64" s="17"/>
      <c r="G64" s="17"/>
      <c r="H64" s="17"/>
      <c r="I64" s="17"/>
      <c r="J64" s="17"/>
      <c r="K64" s="17"/>
      <c r="L64" s="10" t="s">
        <v>230</v>
      </c>
      <c r="M6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""&amp;L64)"),"Power Consumption Rate | CCT | Voltage | IP Rating | Strip Width")</f>
        <v>Power Consumption Rate | CCT | Voltage | IP Rating | Strip Width</v>
      </c>
      <c r="N64" s="18" t="s">
        <v>97</v>
      </c>
      <c r="O64" s="11" t="str">
        <f>IFERROR(__xludf.DUMMYFUNCTION("AI(""Using the labels""&amp;N64&amp;"" and values ""&amp;L64&amp;"" separated by character '|', Create a JSON object"")"),"{ ""Power Consumption Rate"": ""29W/m"", ""CCT"": ""4000K"", ""Voltage"": ""24V"", ""IP Rating"": ""IP20"", ""Strip Width"": ""12mm"" }")</f>
        <v>{ "Power Consumption Rate": "29W/m", "CCT": "4000K", "Voltage": "24V", "IP Rating": "IP20", "Strip Width": "12mm" }</v>
      </c>
      <c r="P64" s="18" t="s">
        <v>231</v>
      </c>
      <c r="Q64" s="17"/>
      <c r="R64" s="17"/>
      <c r="S64" s="17"/>
      <c r="T64" s="17"/>
      <c r="U64" s="17"/>
      <c r="V64" s="17"/>
      <c r="W64" s="6" t="s">
        <v>40</v>
      </c>
      <c r="X64" s="6" t="s">
        <v>227</v>
      </c>
      <c r="Y64" s="6" t="s">
        <v>42</v>
      </c>
      <c r="Z64" s="17"/>
      <c r="AA64" s="17"/>
    </row>
    <row r="65">
      <c r="A65" s="6"/>
      <c r="B65" s="17"/>
      <c r="C65" s="17"/>
      <c r="D65" s="17"/>
      <c r="E65" s="17"/>
      <c r="F65" s="17"/>
      <c r="G65" s="17"/>
      <c r="H65" s="17"/>
      <c r="I65" s="17"/>
      <c r="J65" s="17"/>
      <c r="K65" s="17"/>
      <c r="L65" s="10" t="s">
        <v>232</v>
      </c>
      <c r="M6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""&amp;L65)"),"Power Consumption Rate | CCT | Voltage | IP Rating | Strip Width")</f>
        <v>Power Consumption Rate | CCT | Voltage | IP Rating | Strip Width</v>
      </c>
      <c r="N65" s="18" t="s">
        <v>97</v>
      </c>
      <c r="O65" s="11" t="str">
        <f>IFERROR(__xludf.DUMMYFUNCTION("AI(""Using the labels""&amp;N65&amp;"" and values ""&amp;L65&amp;"" separated by character '|', Create a JSON object"")"),"{ ""Power Consumption Rate"": ""29W/m"", ""CCT"": ""6000K"", ""Voltage"": ""24V"", ""IP Rating"": ""IP20"", ""Strip Width"": ""12mm"" }")</f>
        <v>{ "Power Consumption Rate": "29W/m", "CCT": "6000K", "Voltage": "24V", "IP Rating": "IP20", "Strip Width": "12mm" }</v>
      </c>
      <c r="P65" s="18" t="s">
        <v>233</v>
      </c>
      <c r="Q65" s="17"/>
      <c r="R65" s="17"/>
      <c r="S65" s="17"/>
      <c r="T65" s="17"/>
      <c r="U65" s="17"/>
      <c r="V65" s="17"/>
      <c r="W65" s="6" t="s">
        <v>40</v>
      </c>
      <c r="X65" s="6" t="s">
        <v>227</v>
      </c>
      <c r="Y65" s="6" t="s">
        <v>42</v>
      </c>
      <c r="Z65" s="17"/>
      <c r="AA65" s="17"/>
    </row>
    <row r="66">
      <c r="A66" s="6" t="s">
        <v>234</v>
      </c>
      <c r="B66" s="6" t="s">
        <v>235</v>
      </c>
      <c r="C66" s="6" t="s">
        <v>29</v>
      </c>
      <c r="D66" s="6" t="s">
        <v>235</v>
      </c>
      <c r="E66" s="7" t="s">
        <v>30</v>
      </c>
      <c r="F66" s="8" t="str">
        <f>IFERROR(__xludf.DUMMYFUNCTION("AI(""Give me a paragraph marketing spiel for product in this row, no tech specs just marketing fluff "")"),"Elevate your design visions with Lumoflex, a premium neon lighting solution engineered to bring a seamless, captivating radiance to any space. Designed for exceptional adaptability and striking visual interest, this flexible linear light effortlessly curv"&amp;"es to accentuate modern contours and carve out bold architectural narratives. Whether transforming a refined commercial interior or casting a sophisticated, atmospheric glow across a high-end venue, its flawless uniform brilliance delivers unparalleled ae"&amp;"sthetic elegance. Perfect for creators who refuse to compromise on beauty and atmosphere, it stands as the ultimate choice for injecting modern style and timeless sophistication into any project.")</f>
        <v>Elevate your design visions with Lumoflex, a premium neon lighting solution engineered to bring a seamless, captivating radiance to any space. Designed for exceptional adaptability and striking visual interest, this flexible linear light effortlessly curves to accentuate modern contours and carve out bold architectural narratives. Whether transforming a refined commercial interior or casting a sophisticated, atmospheric glow across a high-end venue, its flawless uniform brilliance delivers unparalleled aesthetic elegance. Perfect for creators who refuse to compromise on beauty and atmosphere, it stands as the ultimate choice for injecting modern style and timeless sophistication into any project.</v>
      </c>
      <c r="G66" s="6" t="s">
        <v>236</v>
      </c>
      <c r="H66" s="8" t="str">
        <f>IFERROR(__xludf.DUMMYFUNCTION("AI(""Give me a paragraph marketing spiel for product in this row, no tech specs just marketing fluff under 180 characters "")"),"Bring seamless, captivating radiance to your space with Lumoflex, the ultimate choice for injecting modern style and timeless sophistication into any project.")</f>
        <v>Bring seamless, captivating radiance to your space with Lumoflex, the ultimate choice for injecting modern style and timeless sophistication into any project.</v>
      </c>
      <c r="I66" s="17"/>
      <c r="J66" s="17"/>
      <c r="K66" s="17"/>
      <c r="L66" s="10" t="s">
        <v>237</v>
      </c>
      <c r="M6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""&amp;L66)"),"Power Consumption Rate | CCT | Voltage | IP Rating | Depth | Beam Angle | Length")</f>
        <v>Power Consumption Rate | CCT | Voltage | IP Rating | Depth | Beam Angle | Length</v>
      </c>
      <c r="N66" s="18" t="s">
        <v>238</v>
      </c>
      <c r="O66" s="11" t="str">
        <f>IFERROR(__xludf.DUMMYFUNCTION("AI(""Using the labels""&amp;N66&amp;"" and values ""&amp;L66&amp;"" separated by character '|', Create a JSON object"")"),"{ ""Power Consumption Rate"": ""9W/m"", ""CCT"": ""2700K"", ""Voltage"": ""24V"", ""IP Rating"": ""IP65"", ""Depth"": ""13mm (D)"", ""Beam Angle"": ""360°"", ""Length"": ""Max 5,000mm (L)"" }")</f>
        <v>{ "Power Consumption Rate": "9W/m", "CCT": "2700K", "Voltage": "24V", "IP Rating": "IP65", "Depth": "13mm (D)", "Beam Angle": "360°", "Length": "Max 5,000mm (L)" }</v>
      </c>
      <c r="P66" s="18" t="s">
        <v>239</v>
      </c>
      <c r="Q66"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P66:P84)"),"{ ""Power Consumption Rate"": [ ""9W/m"", ""15W/m"", ""13W/m"", ""18W/m"" ], ""CCT"": [ ""2700K"", ""3000K"", ""4000K"", ""2300K-4000K"" ], ""Voltage"": ""24V"", ""IP Rating"": ""IP65"", ""Depth"": [ ""13mm (D)"", ""18mm (D)"", ""25mm (D)"", ""30mm (D)"","&amp;" ""40mm (D)"" ], ""Beam Angle"": ""360°"", ""Length"": ""Max 5,000mm (L)"", ""Light Color"": [ ""RGB"", ""RGBW"" ] }")</f>
        <v>{ "Power Consumption Rate": [ "9W/m", "15W/m", "13W/m", "18W/m" ], "CCT": [ "2700K", "3000K", "4000K", "2300K-4000K" ], "Voltage": "24V", "IP Rating": "IP65", "Depth": [ "13mm (D)", "18mm (D)", "25mm (D)", "30mm (D)", "40mm (D)" ], "Beam Angle": "360°", "Length": "Max 5,000mm (L)", "Light Color": [ "RGB", "RGBW" ] }</v>
      </c>
      <c r="R66" s="6" t="s">
        <v>240</v>
      </c>
      <c r="S66"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P66:P84)"),"{""Options"": {""Power Consumption Rate"": [{""name"": ""9W/m"", ""id"": ""101""}, {""name"": ""15W/m"", ""id"": ""110""}, {""name"": ""13W/m"", ""id"": ""112""}, {""name"": ""18W/m"", ""id"": ""116""}], ""CCT"": [{""name"": ""2700K"", ""id"": ""102""}, {"&amp;"""name"": ""3000K"", ""id"": ""108""}, {""name"": ""4000K"", ""id"": ""109""}, {""name"": ""2300K-4000K"", ""id"": ""114""}], ""Voltage"": [{""name"": ""24V"", ""id"": ""103""}], ""IP Rating"": [{""name"": ""IP65"", ""id"": ""104""}], ""Depth"": [{""name"&amp;""": ""13mm (D)"", ""id"": ""105""}, {""name"": ""18mm (D)"", ""id"": ""111""}, {""name"": ""25mm (D)"", ""id"": ""115""}, {""name"": ""30mm (D)"", ""id"": ""118""}, {""name"": ""40mm (D)"", ""id"": ""119""}], ""Beam Angle"": [{""name"": ""360°"", ""id"": "&amp;"""106""}], ""Length"": [{""name"": ""Max 5,000mm (L)"", ""id"": ""107""}], ""Light Color"": [{""name"": ""RGB"", ""id"": ""113""}, {""name"": ""RGBW"", ""id"": ""117""}]}, ""Constraints"": {""101"": [""102"", ""103"", ""104"", ""105"", ""106"", ""107"", "&amp;"""108"", ""109""], ""110"": [""102"", ""103"", ""104"", ""106"", ""107"", ""108"", ""109"", ""111"", ""113"", ""114"", ""115"", ""118""], ""112"": [""103"", ""104"", ""106"", ""107"", ""111"", ""113""], ""116"": [""103"", ""104"", ""106"", ""107"", ""108"&amp;""", ""115"", ""117"", ""118"", ""119""]}}")</f>
        <v>{"Options": {"Power Consumption Rate": [{"name": "9W/m", "id": "101"}, {"name": "15W/m", "id": "110"}, {"name": "13W/m", "id": "112"}, {"name": "18W/m", "id": "116"}], "CCT": [{"name": "2700K", "id": "102"}, {"name": "3000K", "id": "108"}, {"name": "4000K", "id": "109"}, {"name": "2300K-4000K", "id": "114"}], "Voltage": [{"name": "24V", "id": "103"}], "IP Rating": [{"name": "IP65", "id": "104"}], "Depth": [{"name": "13mm (D)", "id": "105"}, {"name": "18mm (D)", "id": "111"}, {"name": "25mm (D)", "id": "115"}, {"name": "30mm (D)", "id": "118"}, {"name": "40mm (D)", "id": "119"}], "Beam Angle": [{"name": "360°", "id": "106"}], "Length": [{"name": "Max 5,000mm (L)", "id": "107"}], "Light Color": [{"name": "RGB", "id": "113"}, {"name": "RGBW", "id": "117"}]}, "Constraints": {"101": ["102", "103", "104", "105", "106", "107", "108", "109"], "110": ["102", "103", "104", "106", "107", "108", "109", "111", "113", "114", "115", "118"], "112": ["103", "104", "106", "107", "111", "113"], "116": ["103", "104", "106", "107", "108", "115", "117", "118", "119"]}}</v>
      </c>
      <c r="T66" s="6" t="s">
        <v>241</v>
      </c>
      <c r="U66" s="6" t="s">
        <v>242</v>
      </c>
      <c r="V66" s="6" t="s">
        <v>243</v>
      </c>
      <c r="W66" s="6" t="s">
        <v>40</v>
      </c>
      <c r="X66" s="6" t="s">
        <v>244</v>
      </c>
      <c r="Y66" s="6" t="s">
        <v>42</v>
      </c>
      <c r="Z66" s="17"/>
      <c r="AA66" s="17" t="str">
        <f>IFERROR(__xludf.DUMMYFUNCTION("AI(""Generate 6 powerful unique keywords for the product in this row"")"),"Lumoflex Neon, Premium Flexible Lighting, 360 Degree LED Neon, Architectural Linear Light, Waterproof Decorative Neon, Uniform Glow Light Strip")</f>
        <v>Lumoflex Neon, Premium Flexible Lighting, 360 Degree LED Neon, Architectural Linear Light, Waterproof Decorative Neon, Uniform Glow Light Strip</v>
      </c>
    </row>
    <row r="67">
      <c r="A67" s="6"/>
      <c r="B67" s="17"/>
      <c r="C67" s="17"/>
      <c r="D67" s="17"/>
      <c r="E67" s="17"/>
      <c r="F67" s="17"/>
      <c r="G67" s="17"/>
      <c r="H67" s="17"/>
      <c r="I67" s="17"/>
      <c r="J67" s="17"/>
      <c r="K67" s="17"/>
      <c r="L67" s="10" t="s">
        <v>245</v>
      </c>
      <c r="M6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""&amp;L67)"),"Power Consumption Rate | CCT | Voltage | IP Rating | Depth | Beam Angle | Length")</f>
        <v>Power Consumption Rate | CCT | Voltage | IP Rating | Depth | Beam Angle | Length</v>
      </c>
      <c r="N67" s="18" t="s">
        <v>238</v>
      </c>
      <c r="O67" s="11" t="str">
        <f>IFERROR(__xludf.DUMMYFUNCTION("AI(""Using the labels""&amp;N67&amp;"" and values ""&amp;L67&amp;"" separated by character '|', Create a JSON object"")"),"{ ""Power Consumption Rate"": ""9W/m"", ""CCT"": ""3000K"", ""Voltage"": ""24V"", ""IP Rating"": ""IP65"", ""Depth"": ""13mm (D)"", ""Beam Angle"": ""360°"", ""Length"": ""Max 5,000mm (L)"" }")</f>
        <v>{ "Power Consumption Rate": "9W/m", "CCT": "3000K", "Voltage": "24V", "IP Rating": "IP65", "Depth": "13mm (D)", "Beam Angle": "360°", "Length": "Max 5,000mm (L)" }</v>
      </c>
      <c r="P67" s="18" t="s">
        <v>246</v>
      </c>
      <c r="Q67" s="17"/>
      <c r="R67" s="17"/>
      <c r="S67" s="17"/>
      <c r="T67" s="17"/>
      <c r="U67" s="17"/>
      <c r="V67" s="17"/>
      <c r="W67" s="6" t="s">
        <v>40</v>
      </c>
      <c r="X67" s="6" t="s">
        <v>244</v>
      </c>
      <c r="Y67" s="6" t="s">
        <v>42</v>
      </c>
      <c r="Z67" s="17"/>
      <c r="AA67" s="17"/>
    </row>
    <row r="68">
      <c r="A68" s="6"/>
      <c r="B68" s="17"/>
      <c r="C68" s="17"/>
      <c r="D68" s="17"/>
      <c r="E68" s="17"/>
      <c r="F68" s="17"/>
      <c r="G68" s="17"/>
      <c r="H68" s="17"/>
      <c r="I68" s="17"/>
      <c r="J68" s="17"/>
      <c r="K68" s="17"/>
      <c r="L68" s="10" t="s">
        <v>247</v>
      </c>
      <c r="M6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""&amp;L68)"),"Power Consumption Rate | CCT | Voltage | IP Rating | Depth | Beam Angle | Length")</f>
        <v>Power Consumption Rate | CCT | Voltage | IP Rating | Depth | Beam Angle | Length</v>
      </c>
      <c r="N68" s="18" t="s">
        <v>238</v>
      </c>
      <c r="O68" s="11" t="str">
        <f>IFERROR(__xludf.DUMMYFUNCTION("AI(""Using the labels""&amp;N68&amp;"" and values ""&amp;L68&amp;"" separated by character '|', Create a JSON object"")"),"{ ""Power Consumption Rate"": ""9W/m"", ""CCT"": ""4000K"", ""Voltage"": ""24V"", ""IP Rating"": ""IP65"", ""Depth"": ""13mm (D)"", ""Beam Angle"": ""360°"", ""Length"": ""Max 5,000mm (L)"" }")</f>
        <v>{ "Power Consumption Rate": "9W/m", "CCT": "4000K", "Voltage": "24V", "IP Rating": "IP65", "Depth": "13mm (D)", "Beam Angle": "360°", "Length": "Max 5,000mm (L)" }</v>
      </c>
      <c r="P68" s="18" t="s">
        <v>248</v>
      </c>
      <c r="Q68" s="17"/>
      <c r="R68" s="17"/>
      <c r="S68" s="17"/>
      <c r="T68" s="17"/>
      <c r="U68" s="17"/>
      <c r="V68" s="17"/>
      <c r="W68" s="6" t="s">
        <v>40</v>
      </c>
      <c r="X68" s="6" t="s">
        <v>244</v>
      </c>
      <c r="Y68" s="6" t="s">
        <v>42</v>
      </c>
      <c r="Z68" s="17"/>
      <c r="AA68" s="17"/>
    </row>
    <row r="69">
      <c r="A69" s="6"/>
      <c r="B69" s="17"/>
      <c r="C69" s="17"/>
      <c r="D69" s="17"/>
      <c r="E69" s="17"/>
      <c r="F69" s="17"/>
      <c r="G69" s="17"/>
      <c r="H69" s="17"/>
      <c r="I69" s="17"/>
      <c r="J69" s="17"/>
      <c r="K69" s="17"/>
      <c r="L69" s="10" t="s">
        <v>249</v>
      </c>
      <c r="M6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""&amp;L69)"),"Power Consumption Rate | CCT | Voltage | IP Rating | Depth | Beam Angle | Length")</f>
        <v>Power Consumption Rate | CCT | Voltage | IP Rating | Depth | Beam Angle | Length</v>
      </c>
      <c r="N69" s="18" t="s">
        <v>238</v>
      </c>
      <c r="O69" s="11" t="str">
        <f>IFERROR(__xludf.DUMMYFUNCTION("AI(""Using the labels""&amp;N69&amp;"" and values ""&amp;L69&amp;"" separated by character '|', Create a JSON object"")"),"{ ""Power Consumption Rate"": ""15W/m"", ""CCT"": ""2700K"", ""Voltage"": ""24V"", ""IP Rating"": ""IP65"", ""Depth"": ""18mm (D)"", ""Beam Angle"": ""360°"", ""Length"": ""Max 5,000mm (L)"" }")</f>
        <v>{ "Power Consumption Rate": "15W/m", "CCT": "2700K", "Voltage": "24V", "IP Rating": "IP65", "Depth": "18mm (D)", "Beam Angle": "360°", "Length": "Max 5,000mm (L)" }</v>
      </c>
      <c r="P69" s="18" t="s">
        <v>250</v>
      </c>
      <c r="Q69" s="17"/>
      <c r="R69" s="17"/>
      <c r="S69" s="17"/>
      <c r="T69" s="17"/>
      <c r="U69" s="17"/>
      <c r="V69" s="17"/>
      <c r="W69" s="6" t="s">
        <v>40</v>
      </c>
      <c r="X69" s="6" t="s">
        <v>251</v>
      </c>
      <c r="Y69" s="6" t="s">
        <v>42</v>
      </c>
      <c r="Z69" s="17"/>
      <c r="AA69" s="17"/>
    </row>
    <row r="70">
      <c r="A70" s="6"/>
      <c r="B70" s="17"/>
      <c r="C70" s="17"/>
      <c r="D70" s="17"/>
      <c r="E70" s="17"/>
      <c r="F70" s="17"/>
      <c r="G70" s="17"/>
      <c r="H70" s="17"/>
      <c r="I70" s="17"/>
      <c r="J70" s="17"/>
      <c r="K70" s="17"/>
      <c r="L70" s="10" t="s">
        <v>252</v>
      </c>
      <c r="M7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""&amp;L70)"),"Power Consumption Rate | CCT | Voltage | IP Rating | Depth | Beam Angle | Length")</f>
        <v>Power Consumption Rate | CCT | Voltage | IP Rating | Depth | Beam Angle | Length</v>
      </c>
      <c r="N70" s="18" t="s">
        <v>238</v>
      </c>
      <c r="O70" s="11" t="str">
        <f>IFERROR(__xludf.DUMMYFUNCTION("AI(""Using the labels""&amp;N70&amp;"" and values ""&amp;L70&amp;"" separated by character '|', Create a JSON object"")"),"{ ""Power Consumption Rate"": ""15W/m"", ""CCT"": ""3000K"", ""Voltage"": ""24V"", ""IP Rating"": ""IP65"", ""Depth"": ""18mm (D)"", ""Beam Angle"": ""360°"", ""Length"": ""Max 5,000mm (L)"" }")</f>
        <v>{ "Power Consumption Rate": "15W/m", "CCT": "3000K", "Voltage": "24V", "IP Rating": "IP65", "Depth": "18mm (D)", "Beam Angle": "360°", "Length": "Max 5,000mm (L)" }</v>
      </c>
      <c r="P70" s="18" t="s">
        <v>253</v>
      </c>
      <c r="Q70" s="17"/>
      <c r="R70" s="17"/>
      <c r="S70" s="17"/>
      <c r="T70" s="17"/>
      <c r="U70" s="17"/>
      <c r="V70" s="17"/>
      <c r="W70" s="6" t="s">
        <v>40</v>
      </c>
      <c r="X70" s="6" t="s">
        <v>251</v>
      </c>
      <c r="Y70" s="6" t="s">
        <v>42</v>
      </c>
      <c r="Z70" s="17"/>
      <c r="AA70" s="17"/>
    </row>
    <row r="71">
      <c r="A71" s="6"/>
      <c r="B71" s="17"/>
      <c r="C71" s="17"/>
      <c r="D71" s="17"/>
      <c r="E71" s="17"/>
      <c r="F71" s="17"/>
      <c r="G71" s="17"/>
      <c r="H71" s="17"/>
      <c r="I71" s="17"/>
      <c r="J71" s="17"/>
      <c r="K71" s="17"/>
      <c r="L71" s="10" t="s">
        <v>254</v>
      </c>
      <c r="M7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""&amp;L71)"),"Power Consumption Rate | CCT | Voltage | IP Rating | Depth | Beam Angle | Length")</f>
        <v>Power Consumption Rate | CCT | Voltage | IP Rating | Depth | Beam Angle | Length</v>
      </c>
      <c r="N71" s="18" t="s">
        <v>238</v>
      </c>
      <c r="O71" s="11" t="str">
        <f>IFERROR(__xludf.DUMMYFUNCTION("AI(""Using the labels""&amp;N71&amp;"" and values ""&amp;L71&amp;"" separated by character '|', Create a JSON object"")"),"{ ""Power Consumption Rate"": ""15W/m"", ""CCT"": ""4000K"", ""Voltage"": ""24V"", ""IP Rating"": ""IP65"", ""Depth"": ""18mm (D)"", ""Beam Angle"": ""360°"", ""Length"": ""Max 5,000mm (L)"" }")</f>
        <v>{ "Power Consumption Rate": "15W/m", "CCT": "4000K", "Voltage": "24V", "IP Rating": "IP65", "Depth": "18mm (D)", "Beam Angle": "360°", "Length": "Max 5,000mm (L)" }</v>
      </c>
      <c r="P71" s="18" t="s">
        <v>255</v>
      </c>
      <c r="Q71" s="17"/>
      <c r="R71" s="17"/>
      <c r="S71" s="17"/>
      <c r="T71" s="17"/>
      <c r="U71" s="17"/>
      <c r="V71" s="17"/>
      <c r="W71" s="6" t="s">
        <v>40</v>
      </c>
      <c r="X71" s="6" t="s">
        <v>251</v>
      </c>
      <c r="Y71" s="6" t="s">
        <v>42</v>
      </c>
      <c r="Z71" s="17"/>
      <c r="AA71" s="17"/>
    </row>
    <row r="72">
      <c r="A72" s="6"/>
      <c r="B72" s="17"/>
      <c r="C72" s="17"/>
      <c r="D72" s="17"/>
      <c r="E72" s="17"/>
      <c r="F72" s="17"/>
      <c r="G72" s="17"/>
      <c r="H72" s="17"/>
      <c r="I72" s="17"/>
      <c r="J72" s="17"/>
      <c r="K72" s="17"/>
      <c r="L72" s="10" t="s">
        <v>256</v>
      </c>
      <c r="M7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""&amp;L72)"),"Power Consumption Rate | Light Color | Voltage | IP Rating | Depth | Beam Angle | Length")</f>
        <v>Power Consumption Rate | Light Color | Voltage | IP Rating | Depth | Beam Angle | Length</v>
      </c>
      <c r="N72" s="18" t="s">
        <v>257</v>
      </c>
      <c r="O72" s="11" t="str">
        <f>IFERROR(__xludf.DUMMYFUNCTION("AI(""Using the labels""&amp;N72&amp;"" and values ""&amp;L72&amp;"" separated by character '|', Create a JSON object"")"),"{ ""Power Consumption Rate"": ""13W/m"", ""Light Color"": ""RGB"", ""Voltage"": ""24V"", ""IP Rating"": ""IP65"", ""Depth"": ""18mm (D)"", ""Beam Angle"": ""360°"", ""Length"": ""Max 5,000mm (L)"" }")</f>
        <v>{ "Power Consumption Rate": "13W/m", "Light Color": "RGB", "Voltage": "24V", "IP Rating": "IP65", "Depth": "18mm (D)", "Beam Angle": "360°", "Length": "Max 5,000mm (L)" }</v>
      </c>
      <c r="P72" s="18" t="s">
        <v>258</v>
      </c>
      <c r="Q72" s="17"/>
      <c r="R72" s="17"/>
      <c r="S72" s="17"/>
      <c r="T72" s="17"/>
      <c r="U72" s="17"/>
      <c r="V72" s="17"/>
      <c r="W72" s="6" t="s">
        <v>40</v>
      </c>
      <c r="X72" s="6" t="s">
        <v>259</v>
      </c>
      <c r="Y72" s="6" t="s">
        <v>42</v>
      </c>
      <c r="Z72" s="17"/>
      <c r="AA72" s="17"/>
    </row>
    <row r="73">
      <c r="A73" s="6"/>
      <c r="B73" s="17"/>
      <c r="C73" s="17"/>
      <c r="D73" s="17"/>
      <c r="E73" s="17"/>
      <c r="F73" s="17"/>
      <c r="G73" s="17"/>
      <c r="H73" s="17"/>
      <c r="I73" s="17"/>
      <c r="J73" s="17"/>
      <c r="K73" s="17"/>
      <c r="L73" s="10" t="s">
        <v>260</v>
      </c>
      <c r="M7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""&amp;L73)"),"Power Consumption Rate | CCT | Voltage | IP Rating | Depth | Beam Angle | Length")</f>
        <v>Power Consumption Rate | CCT | Voltage | IP Rating | Depth | Beam Angle | Length</v>
      </c>
      <c r="N73" s="18" t="s">
        <v>238</v>
      </c>
      <c r="O73" s="11" t="str">
        <f>IFERROR(__xludf.DUMMYFUNCTION("AI(""Using the labels""&amp;N73&amp;"" and values ""&amp;L73&amp;"" separated by character '|', Create a JSON object"")"),"{ ""Power Consumption Rate"": ""15W/m"", ""CCT"": ""2300K-4000K"", ""Voltage"": ""24V"", ""IP Rating"": ""IP65"", ""Depth"": ""18mm (D)"", ""Beam Angle"": ""360°"", ""Length"": ""Max 5,000mm (L)"" }")</f>
        <v>{ "Power Consumption Rate": "15W/m", "CCT": "2300K-4000K", "Voltage": "24V", "IP Rating": "IP65", "Depth": "18mm (D)", "Beam Angle": "360°", "Length": "Max 5,000mm (L)" }</v>
      </c>
      <c r="P73" s="18" t="s">
        <v>261</v>
      </c>
      <c r="Q73" s="17"/>
      <c r="R73" s="17"/>
      <c r="S73" s="17"/>
      <c r="T73" s="17"/>
      <c r="U73" s="17"/>
      <c r="V73" s="17"/>
      <c r="W73" s="6" t="s">
        <v>40</v>
      </c>
      <c r="X73" s="6" t="s">
        <v>262</v>
      </c>
      <c r="Y73" s="6" t="s">
        <v>42</v>
      </c>
      <c r="Z73" s="17"/>
      <c r="AA73" s="17"/>
    </row>
    <row r="74">
      <c r="A74" s="6"/>
      <c r="B74" s="17"/>
      <c r="C74" s="17"/>
      <c r="D74" s="17"/>
      <c r="E74" s="17"/>
      <c r="F74" s="17"/>
      <c r="G74" s="17"/>
      <c r="H74" s="17"/>
      <c r="I74" s="17"/>
      <c r="J74" s="17"/>
      <c r="K74" s="17"/>
      <c r="L74" s="10" t="s">
        <v>263</v>
      </c>
      <c r="M7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""&amp;L74)"),"Power Consumption Rate | CCT | Voltage | IP Rating | Depth | Beam Angle | Length")</f>
        <v>Power Consumption Rate | CCT | Voltage | IP Rating | Depth | Beam Angle | Length</v>
      </c>
      <c r="N74" s="18" t="s">
        <v>238</v>
      </c>
      <c r="O74" s="11" t="str">
        <f>IFERROR(__xludf.DUMMYFUNCTION("AI(""Using the labels""&amp;N74&amp;"" and values ""&amp;L74&amp;"" separated by character '|', Create a JSON object"")"),"{ ""Power Consumption Rate"": ""15W/m"", ""CCT"": ""2700K"", ""Voltage"": ""24V"", ""IP Rating"": ""IP65"", ""Depth"": ""25mm (D)"", ""Beam Angle"": ""360°"", ""Length"": ""Max 5,000mm (L)"" }")</f>
        <v>{ "Power Consumption Rate": "15W/m", "CCT": "2700K", "Voltage": "24V", "IP Rating": "IP65", "Depth": "25mm (D)", "Beam Angle": "360°", "Length": "Max 5,000mm (L)" }</v>
      </c>
      <c r="P74" s="18" t="s">
        <v>264</v>
      </c>
      <c r="Q74" s="17"/>
      <c r="R74" s="17"/>
      <c r="S74" s="17"/>
      <c r="T74" s="17"/>
      <c r="U74" s="17"/>
      <c r="V74" s="17"/>
      <c r="W74" s="6" t="s">
        <v>40</v>
      </c>
      <c r="X74" s="6" t="s">
        <v>265</v>
      </c>
      <c r="Y74" s="6" t="s">
        <v>42</v>
      </c>
      <c r="Z74" s="17"/>
      <c r="AA74" s="17"/>
    </row>
    <row r="75">
      <c r="A75" s="6"/>
      <c r="B75" s="17"/>
      <c r="C75" s="17"/>
      <c r="D75" s="17"/>
      <c r="E75" s="17"/>
      <c r="F75" s="17"/>
      <c r="G75" s="17"/>
      <c r="H75" s="17"/>
      <c r="I75" s="17"/>
      <c r="J75" s="17"/>
      <c r="K75" s="17"/>
      <c r="L75" s="10" t="s">
        <v>266</v>
      </c>
      <c r="M7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""&amp;L75)"),"Power Consumption Rate | CCT | Voltage | IP Rating | Depth | Beam Angle | Length")</f>
        <v>Power Consumption Rate | CCT | Voltage | IP Rating | Depth | Beam Angle | Length</v>
      </c>
      <c r="N75" s="18" t="s">
        <v>238</v>
      </c>
      <c r="O75" s="11" t="str">
        <f>IFERROR(__xludf.DUMMYFUNCTION("AI(""Using the labels""&amp;N75&amp;"" and values ""&amp;L75&amp;"" separated by character '|', Create a JSON object"")"),"{ ""Power Consumption Rate"": ""15W/m"", ""CCT"": ""3000K"", ""Voltage"": ""24V"", ""IP Rating"": ""IP65"", ""Depth"": ""25mm (D)"", ""Beam Angle"": ""360°"", ""Length"": ""Max 5,000mm (L)"" }")</f>
        <v>{ "Power Consumption Rate": "15W/m", "CCT": "3000K", "Voltage": "24V", "IP Rating": "IP65", "Depth": "25mm (D)", "Beam Angle": "360°", "Length": "Max 5,000mm (L)" }</v>
      </c>
      <c r="P75" s="18" t="s">
        <v>267</v>
      </c>
      <c r="Q75" s="17"/>
      <c r="R75" s="17"/>
      <c r="S75" s="17"/>
      <c r="T75" s="17"/>
      <c r="U75" s="17"/>
      <c r="V75" s="17"/>
      <c r="W75" s="6" t="s">
        <v>40</v>
      </c>
      <c r="X75" s="6" t="s">
        <v>265</v>
      </c>
      <c r="Y75" s="6" t="s">
        <v>42</v>
      </c>
      <c r="Z75" s="17"/>
      <c r="AA75" s="17"/>
    </row>
    <row r="76">
      <c r="A76" s="6"/>
      <c r="B76" s="17"/>
      <c r="C76" s="17"/>
      <c r="D76" s="17"/>
      <c r="E76" s="17"/>
      <c r="F76" s="17"/>
      <c r="G76" s="17"/>
      <c r="H76" s="17"/>
      <c r="I76" s="17"/>
      <c r="J76" s="17"/>
      <c r="K76" s="17"/>
      <c r="L76" s="10" t="s">
        <v>268</v>
      </c>
      <c r="M7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""&amp;L76)"),"Power Consumption Rate | CCT | Voltage | IP Rating | Depth | Beam Angle | Length")</f>
        <v>Power Consumption Rate | CCT | Voltage | IP Rating | Depth | Beam Angle | Length</v>
      </c>
      <c r="N76" s="18" t="s">
        <v>238</v>
      </c>
      <c r="O76" s="11" t="str">
        <f>IFERROR(__xludf.DUMMYFUNCTION("AI(""Using the labels""&amp;N76&amp;"" and values ""&amp;L76&amp;"" separated by character '|', Create a JSON object"")"),"{ ""Power Consumption Rate"": ""15W/m"", ""CCT"": ""4000K"", ""Voltage"": ""24V"", ""IP Rating"": ""IP65"", ""Depth"": ""25mm (D)"", ""Beam Angle"": ""360°"", ""Length"": ""Max 5,000mm (L)"" }")</f>
        <v>{ "Power Consumption Rate": "15W/m", "CCT": "4000K", "Voltage": "24V", "IP Rating": "IP65", "Depth": "25mm (D)", "Beam Angle": "360°", "Length": "Max 5,000mm (L)" }</v>
      </c>
      <c r="P76" s="18" t="s">
        <v>269</v>
      </c>
      <c r="Q76" s="17"/>
      <c r="R76" s="17"/>
      <c r="S76" s="17"/>
      <c r="T76" s="17"/>
      <c r="U76" s="17"/>
      <c r="V76" s="17"/>
      <c r="W76" s="6" t="s">
        <v>40</v>
      </c>
      <c r="X76" s="6" t="s">
        <v>265</v>
      </c>
      <c r="Y76" s="6" t="s">
        <v>42</v>
      </c>
      <c r="Z76" s="17"/>
      <c r="AA76" s="17"/>
    </row>
    <row r="77">
      <c r="A77" s="6"/>
      <c r="B77" s="17"/>
      <c r="C77" s="17"/>
      <c r="D77" s="17"/>
      <c r="E77" s="17"/>
      <c r="F77" s="17"/>
      <c r="G77" s="17"/>
      <c r="H77" s="17"/>
      <c r="I77" s="17"/>
      <c r="J77" s="17"/>
      <c r="K77" s="17"/>
      <c r="L77" s="10" t="s">
        <v>270</v>
      </c>
      <c r="M7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""&amp;L77)"),"Power Consumption Rate | Light Color | Voltage | IP Rating | Depth | Beam Angle | Length")</f>
        <v>Power Consumption Rate | Light Color | Voltage | IP Rating | Depth | Beam Angle | Length</v>
      </c>
      <c r="N77" s="18" t="s">
        <v>257</v>
      </c>
      <c r="O77" s="11" t="str">
        <f>IFERROR(__xludf.DUMMYFUNCTION("AI(""Using the labels""&amp;N77&amp;"" and values ""&amp;L77&amp;"" separated by character '|', Create a JSON object"")"),"{ ""Power Consumption Rate"": ""15W/m"", ""Light Color"": ""RGB"", ""Voltage"": ""24V"", ""IP Rating"": ""IP65"", ""Depth"": ""25mm (D)"", ""Beam Angle"": ""360°"", ""Length"": ""Max 5,000mm (L)"" }")</f>
        <v>{ "Power Consumption Rate": "15W/m", "Light Color": "RGB", "Voltage": "24V", "IP Rating": "IP65", "Depth": "25mm (D)", "Beam Angle": "360°", "Length": "Max 5,000mm (L)" }</v>
      </c>
      <c r="P77" s="18" t="s">
        <v>271</v>
      </c>
      <c r="Q77" s="17"/>
      <c r="R77" s="17"/>
      <c r="S77" s="17"/>
      <c r="T77" s="17"/>
      <c r="U77" s="17"/>
      <c r="V77" s="17"/>
      <c r="W77" s="6" t="s">
        <v>40</v>
      </c>
      <c r="X77" s="6" t="s">
        <v>272</v>
      </c>
      <c r="Y77" s="6" t="s">
        <v>42</v>
      </c>
      <c r="Z77" s="17"/>
      <c r="AA77" s="17"/>
    </row>
    <row r="78">
      <c r="A78" s="6"/>
      <c r="B78" s="17"/>
      <c r="C78" s="17"/>
      <c r="D78" s="17"/>
      <c r="E78" s="17"/>
      <c r="F78" s="17"/>
      <c r="G78" s="17"/>
      <c r="H78" s="17"/>
      <c r="I78" s="17"/>
      <c r="J78" s="17"/>
      <c r="K78" s="17"/>
      <c r="L78" s="10" t="s">
        <v>273</v>
      </c>
      <c r="M7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""&amp;L78)"),"Power Consumption Rate | CCT | Voltage | IP Rating | Depth | Beam Angle | Length")</f>
        <v>Power Consumption Rate | CCT | Voltage | IP Rating | Depth | Beam Angle | Length</v>
      </c>
      <c r="N78" s="18" t="s">
        <v>238</v>
      </c>
      <c r="O78" s="11" t="str">
        <f>IFERROR(__xludf.DUMMYFUNCTION("AI(""Using the labels""&amp;N78&amp;"" and values ""&amp;L78&amp;"" separated by character '|', Create a JSON object"")"),"{ ""Power Consumption Rate"": ""15W/m"", ""CCT"": ""2300K-4000K"", ""Voltage"": ""24V"", ""IP Rating"": ""IP65"", ""Depth"": ""25mm (D)"", ""Beam Angle"": ""360°"", ""Length"": ""Max 5,000mm (L)"" }")</f>
        <v>{ "Power Consumption Rate": "15W/m", "CCT": "2300K-4000K", "Voltage": "24V", "IP Rating": "IP65", "Depth": "25mm (D)", "Beam Angle": "360°", "Length": "Max 5,000mm (L)" }</v>
      </c>
      <c r="P78" s="18" t="s">
        <v>274</v>
      </c>
      <c r="Q78" s="17"/>
      <c r="R78" s="17"/>
      <c r="S78" s="17"/>
      <c r="T78" s="17"/>
      <c r="U78" s="17"/>
      <c r="V78" s="17"/>
      <c r="W78" s="6" t="s">
        <v>40</v>
      </c>
      <c r="X78" s="6" t="s">
        <v>275</v>
      </c>
      <c r="Y78" s="6" t="s">
        <v>42</v>
      </c>
      <c r="Z78" s="17"/>
      <c r="AA78" s="17"/>
    </row>
    <row r="79">
      <c r="A79" s="6"/>
      <c r="B79" s="17"/>
      <c r="C79" s="17"/>
      <c r="D79" s="17"/>
      <c r="E79" s="17"/>
      <c r="F79" s="17"/>
      <c r="G79" s="17"/>
      <c r="H79" s="17"/>
      <c r="I79" s="17"/>
      <c r="J79" s="17"/>
      <c r="K79" s="17"/>
      <c r="L79" s="10" t="s">
        <v>276</v>
      </c>
      <c r="M7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""&amp;L79)"),"Power Consumption Rate | Light Color | CCT | Voltage | IP Rating | Depth | Beam Angle | Length")</f>
        <v>Power Consumption Rate | Light Color | CCT | Voltage | IP Rating | Depth | Beam Angle | Length</v>
      </c>
      <c r="N79" s="18" t="s">
        <v>277</v>
      </c>
      <c r="O79" s="11" t="str">
        <f>IFERROR(__xludf.DUMMYFUNCTION("AI(""Using the labels""&amp;N79&amp;"" and values ""&amp;L79&amp;"" separated by character '|', Create a JSON object"")"),"{ ""Power Consumption Rate"": ""18W/m"", ""Light Color"": ""RGBW"", ""CCT"": ""3000K"", ""Voltage"": ""24V"", ""IP Rating"": ""IP65"", ""Depth"": ""25mm (D)"", ""Beam Angle"": ""360°"", ""Length"": ""Max 5,000mm (L)"" }")</f>
        <v>{ "Power Consumption Rate": "18W/m", "Light Color": "RGBW", "CCT": "3000K", "Voltage": "24V", "IP Rating": "IP65", "Depth": "25mm (D)", "Beam Angle": "360°", "Length": "Max 5,000mm (L)" }</v>
      </c>
      <c r="P79" s="18" t="s">
        <v>278</v>
      </c>
      <c r="Q79" s="17"/>
      <c r="R79" s="17"/>
      <c r="S79" s="17"/>
      <c r="T79" s="17"/>
      <c r="U79" s="17"/>
      <c r="V79" s="17"/>
      <c r="W79" s="6" t="s">
        <v>40</v>
      </c>
      <c r="X79" s="6" t="s">
        <v>279</v>
      </c>
      <c r="Y79" s="6" t="s">
        <v>42</v>
      </c>
      <c r="Z79" s="17"/>
      <c r="AA79" s="17"/>
    </row>
    <row r="80">
      <c r="A80" s="6"/>
      <c r="B80" s="17"/>
      <c r="C80" s="17"/>
      <c r="D80" s="17"/>
      <c r="E80" s="17"/>
      <c r="F80" s="17"/>
      <c r="G80" s="17"/>
      <c r="H80" s="17"/>
      <c r="I80" s="17"/>
      <c r="J80" s="17"/>
      <c r="K80" s="17"/>
      <c r="L80" s="10" t="s">
        <v>280</v>
      </c>
      <c r="M8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""&amp;L80)"),"Power Consumption Rate | CCT | Voltage | IP Rating | Depth | Beam Angle | Length")</f>
        <v>Power Consumption Rate | CCT | Voltage | IP Rating | Depth | Beam Angle | Length</v>
      </c>
      <c r="N80" s="18" t="s">
        <v>238</v>
      </c>
      <c r="O80" s="11" t="str">
        <f>IFERROR(__xludf.DUMMYFUNCTION("AI(""Using the labels""&amp;N80&amp;"" and values ""&amp;L80&amp;"" separated by character '|', Create a JSON object"")"),"{ ""Power Consumption Rate"": ""15W/m"", ""CCT"": ""2700K"", ""Voltage"": ""24V"", ""IP Rating"": ""IP65"", ""Depth"": ""30mm (D)"", ""Beam Angle"": ""360°"", ""Length"": ""Max 5,000mm (L)"" }")</f>
        <v>{ "Power Consumption Rate": "15W/m", "CCT": "2700K", "Voltage": "24V", "IP Rating": "IP65", "Depth": "30mm (D)", "Beam Angle": "360°", "Length": "Max 5,000mm (L)" }</v>
      </c>
      <c r="P80" s="18" t="s">
        <v>281</v>
      </c>
      <c r="Q80" s="17"/>
      <c r="R80" s="17"/>
      <c r="S80" s="17"/>
      <c r="T80" s="17"/>
      <c r="U80" s="17"/>
      <c r="V80" s="17"/>
      <c r="W80" s="6" t="s">
        <v>40</v>
      </c>
      <c r="X80" s="6" t="s">
        <v>282</v>
      </c>
      <c r="Y80" s="6" t="s">
        <v>42</v>
      </c>
      <c r="Z80" s="17"/>
      <c r="AA80" s="17"/>
    </row>
    <row r="81">
      <c r="A81" s="6"/>
      <c r="B81" s="17"/>
      <c r="C81" s="17"/>
      <c r="D81" s="17"/>
      <c r="E81" s="17"/>
      <c r="F81" s="17"/>
      <c r="G81" s="17"/>
      <c r="H81" s="17"/>
      <c r="I81" s="17"/>
      <c r="J81" s="17"/>
      <c r="K81" s="17"/>
      <c r="L81" s="10" t="s">
        <v>283</v>
      </c>
      <c r="M8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""&amp;L81)"),"Power Consumption Rate | CCT | Voltage | IP Rating | Depth | Beam Angle | Length")</f>
        <v>Power Consumption Rate | CCT | Voltage | IP Rating | Depth | Beam Angle | Length</v>
      </c>
      <c r="N81" s="18" t="s">
        <v>238</v>
      </c>
      <c r="O81" s="11" t="str">
        <f>IFERROR(__xludf.DUMMYFUNCTION("AI(""Using the labels""&amp;N81&amp;"" and values ""&amp;L81&amp;"" separated by character '|', Create a JSON object"")"),"{ ""Power Consumption Rate"": ""15W/m"", ""CCT"": ""3000K"", ""Voltage"": ""24V"", ""IP Rating"": ""IP65"", ""Depth"": ""30mm (D)"", ""Beam Angle"": ""360°"", ""Length"": ""Max 5,000mm (L)"" }")</f>
        <v>{ "Power Consumption Rate": "15W/m", "CCT": "3000K", "Voltage": "24V", "IP Rating": "IP65", "Depth": "30mm (D)", "Beam Angle": "360°", "Length": "Max 5,000mm (L)" }</v>
      </c>
      <c r="P81" s="18" t="s">
        <v>284</v>
      </c>
      <c r="Q81" s="17"/>
      <c r="R81" s="17"/>
      <c r="S81" s="17"/>
      <c r="T81" s="17"/>
      <c r="U81" s="17"/>
      <c r="V81" s="17"/>
      <c r="W81" s="6" t="s">
        <v>40</v>
      </c>
      <c r="X81" s="6" t="s">
        <v>282</v>
      </c>
      <c r="Y81" s="6" t="s">
        <v>42</v>
      </c>
      <c r="Z81" s="17"/>
      <c r="AA81" s="17"/>
    </row>
    <row r="82">
      <c r="A82" s="6"/>
      <c r="B82" s="17"/>
      <c r="C82" s="17"/>
      <c r="D82" s="17"/>
      <c r="E82" s="17"/>
      <c r="F82" s="17"/>
      <c r="G82" s="17"/>
      <c r="H82" s="17"/>
      <c r="I82" s="17"/>
      <c r="J82" s="17"/>
      <c r="K82" s="17"/>
      <c r="L82" s="10" t="s">
        <v>285</v>
      </c>
      <c r="M8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""&amp;L82)"),"Power Consumption Rate | CCT | Voltage | IP Rating | Depth | Beam Angle | Length")</f>
        <v>Power Consumption Rate | CCT | Voltage | IP Rating | Depth | Beam Angle | Length</v>
      </c>
      <c r="N82" s="18" t="s">
        <v>238</v>
      </c>
      <c r="O82" s="11" t="str">
        <f>IFERROR(__xludf.DUMMYFUNCTION("AI(""Using the labels""&amp;N82&amp;"" and values ""&amp;L82&amp;"" separated by character '|', Create a JSON object"")"),"{ ""Power Consumption Rate"": ""15W/m"", ""CCT"": ""4000K"", ""Voltage"": ""24V"", ""IP Rating"": ""IP65"", ""Depth"": ""30mm (D)"", ""Beam Angle"": ""360°"", ""Length"": ""Max 5,000mm (L)"" }")</f>
        <v>{ "Power Consumption Rate": "15W/m", "CCT": "4000K", "Voltage": "24V", "IP Rating": "IP65", "Depth": "30mm (D)", "Beam Angle": "360°", "Length": "Max 5,000mm (L)" }</v>
      </c>
      <c r="P82" s="18" t="s">
        <v>286</v>
      </c>
      <c r="Q82" s="17"/>
      <c r="R82" s="17"/>
      <c r="S82" s="17"/>
      <c r="T82" s="17"/>
      <c r="U82" s="17"/>
      <c r="V82" s="17"/>
      <c r="W82" s="6" t="s">
        <v>40</v>
      </c>
      <c r="X82" s="6" t="s">
        <v>282</v>
      </c>
      <c r="Y82" s="6" t="s">
        <v>42</v>
      </c>
      <c r="Z82" s="17"/>
      <c r="AA82" s="17"/>
    </row>
    <row r="83">
      <c r="A83" s="6"/>
      <c r="B83" s="17"/>
      <c r="C83" s="17"/>
      <c r="D83" s="17"/>
      <c r="E83" s="17"/>
      <c r="F83" s="17"/>
      <c r="G83" s="17"/>
      <c r="H83" s="17"/>
      <c r="I83" s="17"/>
      <c r="J83" s="17"/>
      <c r="K83" s="17"/>
      <c r="L83" s="10" t="s">
        <v>287</v>
      </c>
      <c r="M8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""&amp;L83)"),"Power Consumption Rate | Light Color | CCT | Voltage | IP Rating | Depth | Beam Angle | Length")</f>
        <v>Power Consumption Rate | Light Color | CCT | Voltage | IP Rating | Depth | Beam Angle | Length</v>
      </c>
      <c r="N83" s="18" t="s">
        <v>277</v>
      </c>
      <c r="O83" s="11" t="str">
        <f>IFERROR(__xludf.DUMMYFUNCTION("AI(""Using the labels""&amp;N83&amp;"" and values ""&amp;L83&amp;"" separated by character '|', Create a JSON object"")"),"{ ""Power Consumption Rate"": ""18W/m"", ""Light Color"": ""RGBW"", ""CCT"": ""3000K"", ""Voltage"": ""24V"", ""IP Rating"": ""IP65"", ""Depth"": ""30mm (D)"", ""Beam Angle"": ""360°"", ""Length"": ""Max 5,000mm (L)"" }")</f>
        <v>{ "Power Consumption Rate": "18W/m", "Light Color": "RGBW", "CCT": "3000K", "Voltage": "24V", "IP Rating": "IP65", "Depth": "30mm (D)", "Beam Angle": "360°", "Length": "Max 5,000mm (L)" }</v>
      </c>
      <c r="P83" s="18" t="s">
        <v>288</v>
      </c>
      <c r="Q83" s="17"/>
      <c r="R83" s="17"/>
      <c r="S83" s="17"/>
      <c r="T83" s="17"/>
      <c r="U83" s="17"/>
      <c r="V83" s="17"/>
      <c r="W83" s="6" t="s">
        <v>40</v>
      </c>
      <c r="X83" s="6" t="s">
        <v>289</v>
      </c>
      <c r="Y83" s="6" t="s">
        <v>42</v>
      </c>
      <c r="Z83" s="17"/>
      <c r="AA83" s="17"/>
    </row>
    <row r="84">
      <c r="A84" s="6"/>
      <c r="B84" s="17"/>
      <c r="C84" s="17"/>
      <c r="D84" s="17"/>
      <c r="E84" s="17"/>
      <c r="F84" s="17"/>
      <c r="G84" s="17"/>
      <c r="H84" s="17"/>
      <c r="I84" s="17"/>
      <c r="J84" s="17"/>
      <c r="K84" s="17"/>
      <c r="L84" s="10" t="s">
        <v>290</v>
      </c>
      <c r="M8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""&amp;L84)"),"Power Consumption Rate | Light Color | CCT | Voltage | IP Rating | Depth | Beam Angle | Length")</f>
        <v>Power Consumption Rate | Light Color | CCT | Voltage | IP Rating | Depth | Beam Angle | Length</v>
      </c>
      <c r="N84" s="18" t="s">
        <v>277</v>
      </c>
      <c r="O84" s="11" t="str">
        <f>IFERROR(__xludf.DUMMYFUNCTION("AI(""Using the labels""&amp;N84&amp;"" and values ""&amp;L84&amp;"" separated by character '|', Create a JSON object"")"),"{ ""Power Consumption Rate"": ""18W/m"", ""Light Color"": ""RGBW"", ""CCT"": ""3000K"", ""Voltage"": ""24V"", ""IP Rating"": ""IP65"", ""Depth"": ""40mm (D)"", ""Beam Angle"": ""360°"", ""Length"": ""Max 5,000mm (L)"" }")</f>
        <v>{ "Power Consumption Rate": "18W/m", "Light Color": "RGBW", "CCT": "3000K", "Voltage": "24V", "IP Rating": "IP65", "Depth": "40mm (D)", "Beam Angle": "360°", "Length": "Max 5,000mm (L)" }</v>
      </c>
      <c r="P84" s="18" t="s">
        <v>291</v>
      </c>
      <c r="Q84" s="17"/>
      <c r="R84" s="17"/>
      <c r="S84" s="17"/>
      <c r="T84" s="17"/>
      <c r="U84" s="17"/>
      <c r="V84" s="17"/>
      <c r="W84" s="6" t="s">
        <v>40</v>
      </c>
      <c r="X84" s="6" t="s">
        <v>292</v>
      </c>
      <c r="Y84" s="6" t="s">
        <v>42</v>
      </c>
      <c r="Z84" s="17"/>
      <c r="AA84" s="17"/>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row>
  </sheetData>
  <drawing r:id="rId1"/>
</worksheet>
</file>