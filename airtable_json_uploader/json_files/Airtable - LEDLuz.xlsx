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DLuz" sheetId="1" r:id="rId5"/>
  </sheets>
  <definedNames/>
  <calcPr/>
</workbook>
</file>

<file path=xl/sharedStrings.xml><?xml version="1.0" encoding="utf-8"?>
<sst xmlns="http://schemas.openxmlformats.org/spreadsheetml/2006/main" count="614" uniqueCount="327">
  <si>
    <t>Product Code</t>
  </si>
  <si>
    <t>Name</t>
  </si>
  <si>
    <t>Product type</t>
  </si>
  <si>
    <t>Categories</t>
  </si>
  <si>
    <t>Status</t>
  </si>
  <si>
    <t>AI Product description</t>
  </si>
  <si>
    <t>Product description</t>
  </si>
  <si>
    <t>AI Product short description</t>
  </si>
  <si>
    <t>Product short description</t>
  </si>
  <si>
    <t>Product image</t>
  </si>
  <si>
    <t>Product gallery</t>
  </si>
  <si>
    <t>SKU Code</t>
  </si>
  <si>
    <t>Specification</t>
  </si>
  <si>
    <t>AI Labels</t>
  </si>
  <si>
    <t>Labels</t>
  </si>
  <si>
    <t>AI Features</t>
  </si>
  <si>
    <t>Features</t>
  </si>
  <si>
    <t>AI Attributes</t>
  </si>
  <si>
    <t>Attributes</t>
  </si>
  <si>
    <t xml:space="preserve">AI Options and Constraints </t>
  </si>
  <si>
    <t>Options and Constraints</t>
  </si>
  <si>
    <t>Options</t>
  </si>
  <si>
    <t>Constraints</t>
  </si>
  <si>
    <t>SKU Mappings</t>
  </si>
  <si>
    <t>Supplier Name</t>
  </si>
  <si>
    <t>Supplier Code</t>
  </si>
  <si>
    <t>Datasheet</t>
  </si>
  <si>
    <t>Stocked Item</t>
  </si>
  <si>
    <t>AI Meta Keywords</t>
  </si>
  <si>
    <t>Meta Keywords</t>
  </si>
  <si>
    <t>PROM</t>
  </si>
  <si>
    <t>Aluminium Mini Surfaced Profile</t>
  </si>
  <si>
    <t>simple</t>
  </si>
  <si>
    <t>Mini Surfaced</t>
  </si>
  <si>
    <t>draft</t>
  </si>
  <si>
    <t>Transform your living spaces into a breathtaking visual journey with a perfect blend of elegance and modern design. This premium lighting solution offers seamless integration into your home, casting a warm, sophisticated glow that effortlessly guides the way while enhancing the natural beauty of your architecture. Crafted for those who appreciate refined detail and discreet luxury, it adds an unparalleled touch of ambiance, warmth, and captivating security to any setting, making it the ultimate choice for elevated architectural illumination.</t>
  </si>
  <si>
    <t>Elevate your space with elegant design and discreet luxury, creating a sophisticated, seamless glow.</t>
  </si>
  <si>
    <t>7.8mm (W) x 9mm (H) | Silver | 2m</t>
  </si>
  <si>
    <t>Dimension | Finish | Profile Length</t>
  </si>
  <si>
    <t>{"SKU": "PROM", "Dimension": "7.8mm (W) x 9mm (H)", "Finish": "Silver", "Profile Length": "2m"}</t>
  </si>
  <si>
    <t>{"SKU": ["PROM", "PROM-3m-silver", "PROM-B", "PROM-W"], "Dimension": "7.8mm (W) x 9mm (H)", "Finish": ["Silver", "Black", "White"], "Profile Length": ["2m", "3m"]}</t>
  </si>
  <si>
    <t>{
"Options": {
"Dimension": [
{"name": "7.8mm (W) x 9mm (H)", "id": "101"}
],
"Finish": [
{"name": "Silver", "id": "102"},
{"name": "Black", "id": "103"},
{"name": "White", "id": "104"}
],
"Profile Length": [
{"name": "2m", "id": "105"},
{"name": "3m", "id": "106"}
]
},
"Constraints": {
"103": ["106"],
"104": ["106"]
},
"sku_mappings": [
{ "sku": "PROM", "combination": ["101", "102", "105"] },
{ "sku": "PROM-3m-silver", "combination": ["101", "102", "106"] },
{ "sku": "PROM-B", "combination": ["101", "103", "105"] },
{ "sku": "PROM-W", "combination": ["101", "104", "105"] }
]
}</t>
  </si>
  <si>
    <t>CHINA - LEDLUZ CO. LIMITED</t>
  </si>
  <si>
    <t>ALP073</t>
  </si>
  <si>
    <t>Yes</t>
  </si>
  <si>
    <t>Mini surfaced profile, Aluminium LED channel, Compact linear profile, Surface mount light channel, Slim LED extrusion, Architectural mini profile</t>
  </si>
  <si>
    <t>PROM-3m-silver</t>
  </si>
  <si>
    <t>7.8mm (W) x 9mm (H) | Silver | 3m</t>
  </si>
  <si>
    <t>{"SKU": "PROM-3m-silver", "Dimension": "7.8mm (W) x 9mm (H)", "Finish": "Silver", "Profile Length": "3m"}</t>
  </si>
  <si>
    <t>PROM-B</t>
  </si>
  <si>
    <t>7.8mm (W) x 9mm (H) | Black | 2m</t>
  </si>
  <si>
    <t>{"SKU": "PROM-B", "Dimension": "7.8mm (W) x 9mm (H)", "Finish": "Black", "Profile Length": "2m"}</t>
  </si>
  <si>
    <t>PROM-W</t>
  </si>
  <si>
    <t>7.8mm (W) x 9mm (H) | White | 2m</t>
  </si>
  <si>
    <t>{"SKU": "PROM-W", "Dimension": "7.8mm (W) x 9mm (H)", "Finish": "White", "Profile Length": "2m"}</t>
  </si>
  <si>
    <t>PR001</t>
  </si>
  <si>
    <t>Aluminium Recessed Profile</t>
  </si>
  <si>
    <t>Recessed</t>
  </si>
  <si>
    <t>Transform your living spaces into a breathtaking visual journey with a perfect blend of elegance and modern design. This premium lighting solution offers seamless integration into your home, casting a warm, sophisticated glow that effortlessly guides the way while enhancing the natural beauty of your architecture. Crafted for those who appreciate refined detail and discreet luxury, it adds an unparalleled touch of ambiance, warmth, and captivating style to any setting, making it the ultimate choice for elevated architectural illumination.</t>
  </si>
  <si>
    <t>Elevate your home with seamless elegance and modern style, creating a warm, sophisticated glow that beautifully enhances your space.</t>
  </si>
  <si>
    <t>23.1mm (W) x 8.5mm (H) | Silver | 2m</t>
  </si>
  <si>
    <t>{"SKU": "PR001", "Dimension": "23.1mm (W) x 8.5mm (H)", "Finish": "Silver", "Profile Length": "2m"}</t>
  </si>
  <si>
    <t>{"SKU": ["PR001", "PR001-3m-Silver", "PR001-B", "PR001-W"], "Dimension": "23.1mm (W) x 8.5mm (H)", "Finish": ["Silver", "Black", "White"], "Profile Length": ["2m", "3m"]}</t>
  </si>
  <si>
    <t>{ "Options": { "Dimension": [ {"name": "23.1mm (W) x 8.5mm (H)", "id": "101"} ], "Finish": [ {"name": "Silver", "id": "102"}, {"name": "Black", "id": "103"}, {"name": "White", "id": "104"} ], "Profile Length": [ {"name": "2m", "id": "105"}, {"name": "3m", "id": "106"} ] }, "Constraints": { "103": ["106"], "104": ["106"] }, "sku_mappings": [ { "sku": "PR001", "combination": ["101", "102", "105"] }, { "sku": "PR001-3m-Silver", "combination": ["101", "102", "106"] }, { "sku": "PR001-B", "combination": ["101", "103", "105"] }, { "sku": "PR001-W", "combination": ["101", "104", "105"] } ] }</t>
  </si>
  <si>
    <t>ALP001-R</t>
  </si>
  <si>
    <t>Recessed LED Profile, Aluminium Light Channel, Flush Mount LED Extrusion, Architectural Linear Lighting, LED Strip Diffuser Channel, Recessed Aluminium Housing</t>
  </si>
  <si>
    <t>PR001-3m-Silver</t>
  </si>
  <si>
    <t>23.1mm (W) x 8.5mm (H) | Silver | 3m</t>
  </si>
  <si>
    <t>{"SKU": "PR001-3m-Silver", "Dimension": "23.1mm (W) x 8.5mm (H)", "Finish": "Silver", "Profile Length": "3m"}</t>
  </si>
  <si>
    <t>PR001-B</t>
  </si>
  <si>
    <t>23.1mm (W) x 8.5mm (H) | Black | 2m</t>
  </si>
  <si>
    <t>{"SKU": "PR001-B", "Dimension": "23.1mm (W) x 8.5mm (H)", "Finish": "Black", "Profile Length": "2m"}</t>
  </si>
  <si>
    <t>PR001-W</t>
  </si>
  <si>
    <t>23.1mm (W) x 8.5mm (H) | White | 2m</t>
  </si>
  <si>
    <t>{"SKU": "PR001-W", "Dimension": "23.1mm (W) x 8.5mm (H)", "Finish": "White", "Profile Length": "2m"}</t>
  </si>
  <si>
    <t>PR002</t>
  </si>
  <si>
    <t>Aluminium Surfaced Profile</t>
  </si>
  <si>
    <t>Surfaced</t>
  </si>
  <si>
    <t>17.1mm (W) x 8mm (H) | Silver | 2m</t>
  </si>
  <si>
    <t>{"SKU": "PR002", "Dimension": "17.1mm (W) x 8mm (H)", "Finish": "Silver", "Profile Length": "2m"}</t>
  </si>
  <si>
    <t>{"SKU": ["PR002", "PR002-3m-Silver", "PR002-B", "PR002-W"], "Dimension": "17.1mm (W) x 8mm (H)", "Finish": ["Silver", "Black", "White"], "Profile Length": ["2m", "3m"]}</t>
  </si>
  <si>
    <t>{
"Options": {
"Dimension": [
{
"name": "17.1mm (W) x 8mm (H)",
"id": "101"
}
],
"Finish": [
{
"name": "Silver",
"id": "102"
},
{
"name": "Black",
"id": "103"
},
{
"name": "White",
"id": "104"
}
],
"Profile Length": [
{
"name": "2m",
"id": "105"
},
{
"name": "3m",
"id": "106"
}
]
},
"Constraints": {
"103": [
"106"
],
"104": [
"106"
]
},
"sku_mappings": [
{
"sku": "PR002",
"combination": [
"101",
"102",
"105"
]
},
{
"sku": "PR002-3m-Silver",
"combination": [
"101",
"102",
"106"
]
},
{
"sku": "PR002-B",
"combination": [
"101",
"103",
"105"
]
},
{
"sku": "PR002-W",
"combination": [
"101",
"104",
"105"
]
}
]
}</t>
  </si>
  <si>
    <t>ALP002-R</t>
  </si>
  <si>
    <t>Surface Mount LED Channel, Aluminium Extrusion Profile, Linear Light Housing, LED Strip Diffuser Channel, Surface Mounted LED Housing, Architectural Linear Lighting</t>
  </si>
  <si>
    <t>PR002-3m-Silver</t>
  </si>
  <si>
    <t>17.1mm (W) x 8mm (H) | Silver | 3m</t>
  </si>
  <si>
    <t>{"SKU": "PR002-3m-Silver", "Dimension": "17.1mm (W) x 8mm (H)", "Finish": "Silver", "Profile Length": "3m"}</t>
  </si>
  <si>
    <t>PR002-B</t>
  </si>
  <si>
    <t>17.1mm (W) x 8mm (H) | Black | 2m</t>
  </si>
  <si>
    <t>{"SKU": "PR002-B", "Dimension": "17.1mm (W) x 8mm (H)", "Finish": "Black", "Profile Length": "2m"}</t>
  </si>
  <si>
    <t>PR002-W</t>
  </si>
  <si>
    <t>17.1mm (W) x 8mm (H) | White | 2m</t>
  </si>
  <si>
    <t>{"SKU": "PR002-W", "Dimension": "17.1mm (W) x 8mm (H)", "Finish": "White", "Profile Length": "2m"}</t>
  </si>
  <si>
    <t>PR005</t>
  </si>
  <si>
    <t>Deep Recessed</t>
  </si>
  <si>
    <t>Transform your home with effortless elegance and a warm, sophisticated glow that beautifully enhances your space.</t>
  </si>
  <si>
    <t>23.2mm (W) x 15.3mm (H) | Silver | 2m</t>
  </si>
  <si>
    <t>{"SKU": "PR005", "Dimension": "23.2mm (W) x 15.3mm (H)", "Finish": "Silver", "Profile Length": "2m"}</t>
  </si>
  <si>
    <t>{"SKU": ["PR005", "PR005-3m-Silver", "PR005-B", "PR005-W"], "Dimension": "23.2mm (W) x 15.3mm (H)", "Finish": ["Silver", "Black", "White"], "Profile Length": ["2m", "3m"]}</t>
  </si>
  <si>
    <t>{ "Options": { "Dimension": [ {"name": "23.2mm (W) x 15.3mm (H)", "id": "101"} ], "Finish": [ {"name": "Silver", "id": "102"}, {"name": "Black", "id": "103"}, {"name": "White", "id": "104"} ], "Profile Length": [ {"name": "2m", "id": "105"}, {"name": "3m", "id": "106"} ] }, "Constraints": { "103": ["106"], "104": ["106"] }, "sku_mappings": [ { "sku": "PR005", "combination": ["101", "102", "105"] }, { "sku": "PR005-3m-Silver", "combination": ["101", "102", "106"] }, { "sku": "PR005-B", "combination": ["101", "103", "105"] }, { "sku": "PR005-W", "combination": ["101", "104", "105"] } ] }</t>
  </si>
  <si>
    <t>ALP003-R</t>
  </si>
  <si>
    <t>Deep recessed LED channel, Aluminium extrusion profile, Architectural linear housing, Flush mount LED channel, Deep LED light diffuser, Ceiling recessed extrusion</t>
  </si>
  <si>
    <t>PR005-3m-Silver</t>
  </si>
  <si>
    <t>23.2mm (W) x 15.3mm (H) | Silver | 3m</t>
  </si>
  <si>
    <t>{"SKU": "PR005-3m-Silver", "Dimension": "23.2mm (W) x 15.3mm (H)", "Finish": "Silver", "Profile Length": "3m"}</t>
  </si>
  <si>
    <t>PR005-B</t>
  </si>
  <si>
    <t>23.2mm (W) x 15.3mm (H) | Black | 2m</t>
  </si>
  <si>
    <t>{"SKU": "PR005-B", "Dimension": "23.2mm (W) x 15.3mm (H)", "Finish": "Black", "Profile Length": "2m"}</t>
  </si>
  <si>
    <t>PR005-W</t>
  </si>
  <si>
    <t>23.2mm (W) x 15.3mm (H) | White | 2m</t>
  </si>
  <si>
    <t>{"SKU": "PR005-W", "Dimension": "23.2mm (W) x 15.3mm (H)", "Finish": "White", "Profile Length": "2m"}</t>
  </si>
  <si>
    <t>PR006</t>
  </si>
  <si>
    <t>Deep Surfaced</t>
  </si>
  <si>
    <t>17.1mm (W) x 15.3mm (H) | Silver | 2m</t>
  </si>
  <si>
    <t>{"SKU": "PR006", "Dimension": "17.1mm (W) x 15.3mm (H)", "Finish": "Silver", "Profile Length": "2m"}</t>
  </si>
  <si>
    <t>{"SKU": ["PR006", "PR006-3m-Silver", "PR006-B", "PR006-W"], "Dimension": "17.1mm (W) x 15.3mm (H)", "Finish": ["Silver", "Black", "White"], "Profile Length": ["2m", "3m"]}</t>
  </si>
  <si>
    <t>{
"Options": {
"Dimension": [
{"name": "17.1mm (W) x 15.3mm (H)", "id": "101"}
],
"Finish": [
{"name": "Silver", "id": "102"},
{"name": "Black", "id": "103"},
{"name": "White", "id": "104"}
],
"Profile Length": [
{"name": "2m", "id": "105"},
{"name": "3m", "id": "106"}
]
},
"Constraints": {
"103": ["106"],
"104": ["106"]
},
"sku_mappings": [
{ "sku": "PR006", "combination": ["101", "102", "105"] },
{ "sku": "PR006-3m-Silver", "combination": ["101", "102", "106"] },
{ "sku": "PR006-B", "combination": ["101", "103", "105"] },
{ "sku": "PR006-W", "combination": ["101", "104", "105"] }
]
}</t>
  </si>
  <si>
    <t>ALP004-R</t>
  </si>
  <si>
    <t>Deep surfaced LED profile, Aluminium surface mount extrusion, Architectural linear lighting, Deep LED strip channel, Surface mounted light diffuser, Aluminium linear housing</t>
  </si>
  <si>
    <t>PR006-3m-Silver</t>
  </si>
  <si>
    <t>17.1mm (W) x 15.3mm (H) | Silver | 3m</t>
  </si>
  <si>
    <t>{"SKU": "PR006-3m-Silver", "Dimension": "17.1mm (W) x 15.3mm (H)", "Finish": "Silver", "Profile Length": "3m"}</t>
  </si>
  <si>
    <t>PR006-B</t>
  </si>
  <si>
    <t>17.1mm (W) x 15.3mm (H) | Black | 2m</t>
  </si>
  <si>
    <t>{"SKU": "PR006-B", "Dimension": "17.1mm (W) x 15.3mm (H)", "Finish": "Black", "Profile Length": "2m"}</t>
  </si>
  <si>
    <t>PR006-W</t>
  </si>
  <si>
    <t>17.1mm (W) x 15.3mm (H) | White | 2m</t>
  </si>
  <si>
    <t>{"SKU": "PR006-W", "Dimension": "17.1mm (W) x 15.3mm (H)", "Finish": "White", "Profile Length": "2m"}</t>
  </si>
  <si>
    <t>PR007</t>
  </si>
  <si>
    <t>Aluminium Square Corner Profile</t>
  </si>
  <si>
    <t>Corner</t>
  </si>
  <si>
    <t>Enhance your interiors with modern precision and sleek architectural sophistication. Designed to tuck seamlessly into right-angle corners, this square profile delivers a clean, continuous glow that transforms ordinary spaces into stunning visual experiences. Perfect for highlighting architectural lines and adding subtle, ambient lighting, it brings an aura of contemporary elegance and discreet luxury to any room.</t>
  </si>
  <si>
    <t>Elevate your interiors with a sleek, modern touch. This corner channel delivers a seamless, sophisticated glow that transforms any ambient space effortlessly.</t>
  </si>
  <si>
    <t>16mm (W) x 16mm (H) | Silver | 2m</t>
  </si>
  <si>
    <t>{"SKU": "PR007", "Dimension": "16mm (W) x 16mm (H)", "Finish": "Silver", "Profile Length": "2m"}</t>
  </si>
  <si>
    <t>{
"Options": {
"Dimension": [
{"name": "16mm (W) x 16mm (H)", "id": "101"}
],
"Finish": [
{"name": "Silver", "id": "102"}
],
"Profile Length": [
{"name": "2m", "id": "103"}
]
},
"Constraints": {},
"sku_mappings": [
{ "sku": "PR007", "combination": ["101", "102", "103"] }
]
}</t>
  </si>
  <si>
    <t>ALP005</t>
  </si>
  <si>
    <t>Square corner LED channel, Aluminium extrusion profile, Corner LED light housing, 16mm square aluminum profile, LED strip corner channel, Silver aluminum LED profile</t>
  </si>
  <si>
    <t>PR008</t>
  </si>
  <si>
    <t>Aluminium Round Corner Profile</t>
  </si>
  <si>
    <t>Softly illuminate your environment with smooth, fluid design and understated luxury. The rounded corner profile effortlessly blends into architectural contours, casting a continuous, soft glow that gently warms up any setting. Ideal for creating inviting atmospheres and refined lighting accents, this profile offers the perfect harmony of subtle sophistication, elegant beauty, and modern ambiance.</t>
  </si>
  <si>
    <t>Bring smooth elegance and radiant warmth to your home with a beautiful curved design that creates an inviting, luxurious architectural lighting flow.</t>
  </si>
  <si>
    <t>{"SKU": "PR008", "Dimension": "16mm (W) x 16mm (H)", "Finish": "Silver", "Profile Length": "2m"}</t>
  </si>
  <si>
    <t>{"SKU": ["PR008", "PR008-3m-Silver", "PR008-B", "PR008-W"], "Dimension": "16mm (W) x 16mm (H)", "Finish": ["Silver", "Black", "White"], "Profile Length": "2m"}</t>
  </si>
  <si>
    <t>{ "Options": { "Dimension": [ {"name": "16mm (W) x 16mm (H)", "id": "101"} ], "Finish": [ {"name": "Silver", "id": "102"}, {"name": "Black", "id": "103"}, {"name": "White", "id": "104"} ], "Profile Length": [ {"name": "2m", "id": "105"} ] }, "Constraints": {}, "sku_mappings": [ { "sku": "PR008", "combination": ["101", "102", "105"] }, { "sku": "PR008-3m-Silver", "combination": ["101", "102", "105"] }, { "sku": "PR008-B", "combination": ["101", "103", "105"] }, { "sku": "PR008-W", "combination": ["101", "104", "105"] } ] }</t>
  </si>
  <si>
    <t>ALP006</t>
  </si>
  <si>
    <t>Round corner LED channel, Aluminium extrusion profile, Curved corner LED housing, 16mm round aluminum profile, LED strip corner channel, Round profile LED light diffuser</t>
  </si>
  <si>
    <t>PR008-3m-Silver</t>
  </si>
  <si>
    <t>{"SKU": "PR008-3m-Silver", "Dimension": "16mm (W) x 16mm (H)", "Finish": "Silver", "Profile Length": "2m"}</t>
  </si>
  <si>
    <t>PR008-B</t>
  </si>
  <si>
    <t>16mm (W) x 16mm (H) | Black | 2m</t>
  </si>
  <si>
    <t>{"SKU": "PR008-B", "Dimension": "16mm (W) x 16mm (H)", "Finish": "Black", "Profile Length": "2m"}</t>
  </si>
  <si>
    <t>PR008-W</t>
  </si>
  <si>
    <t>16mm (W) x 16mm (H) | White | 2m</t>
  </si>
  <si>
    <t>{"SKU": "PR008-W", "Dimension": "16mm (W) x 16mm (H)", "Finish": "White", "Profile Length": "2m"}</t>
  </si>
  <si>
    <t>PR009</t>
  </si>
  <si>
    <t>Aluminium Flat Corner Profile</t>
  </si>
  <si>
    <t>Transform your interior spaces with a seamlessly integrated architectural lighting solution designed to elevate any corner. Delivering a soft, sophisticated glow, this elegant profile creates an inviting ambiance while highlighting the unique contours of your decor. Perfect for modern spaces seeking a touch of discreet luxury, it adds subtle warmth and refined beauty to every room.</t>
  </si>
  <si>
    <t>Elevate your corners with seamless elegance, casting a warm and sophisticated glow that enhances your home's natural beauty.</t>
  </si>
  <si>
    <t>18.4mm (W) x 18.4mm (H) | Silver | 2m</t>
  </si>
  <si>
    <t>{"SKU": "PR009", "Dimension": "18.4mm (W) x 18.4mm (H)", "Finish": "Silver", "Profile Length": "2m"}</t>
  </si>
  <si>
    <t>{
"Options": {
"Dimension": [
{ "name": "18.4mm (W) x 18.4mm (H)", "id": "101" }
],
"Finish": [
{ "name": "Silver", "id": "102" }
],
"Profile Length": [
{ "name": "2m", "id": "103" }
]
},
"Constraints": {},
"sku_mappings": [
{ "sku": "PR009", "combination": ["101", "102", "103"] }
]
}</t>
  </si>
  <si>
    <t>ALP007-R</t>
  </si>
  <si>
    <t>Aluminium flat corner profile, Corner LED channel, Silver aluminum extrusion, 90 degree LED profile, Corner mounted light channel, Linear corner diffuser</t>
  </si>
  <si>
    <t>PR016</t>
  </si>
  <si>
    <t>Elevate your home's aesthetic with an ultra-sleek lighting solution that blends effortlessly onto any surface. Designed to deliver a continuous, ambient illumination, this versatile profile turns ordinary walls and ceilings into stunning architectural features. Bring modern sophistication, warmth, and timeless style to your living environment with a touch of understated luxury.</t>
  </si>
  <si>
    <t>Transform your living space with a touch of discreet luxury, bringing warmth, modern style, and ambiance to any room.</t>
  </si>
  <si>
    <t>23.5mm (W) x 10.9mm (H) | Silver | 2m</t>
  </si>
  <si>
    <t>{"SKU": "PR016", "Dimension": "23.5mm (W) x 10.9mm (H)", "Finish": "Silver", "Profile Length": "2m"}</t>
  </si>
  <si>
    <t>{"SKU": ["PR016", "PR016-3m-Silver", "PR016-B", "PR016-W"], "Dimension": "23.5mm (W) x 10.9mm (H)", "Finish": ["Silver", "Black", "White"], "Profile Length": ["2m", "3m"]}</t>
  </si>
  <si>
    <t>{
"Options": {
"Dimension": [
{"name": "23.5mm (W) x 10.9mm (H)", "id": "101"}
],
"Finish": [
{"name": "Silver", "id": "102"},
{"name": "Black", "id": "103"},
{"name": "White", "id": "104"}
],
"Profile Length": [
{"name": "2m", "id": "105"},
{"name": "3m", "id": "106"}
]
},
"Constraints": {
"103": ["106"],
"104": ["106"]
},
"sku_mappings": [
{ "sku": "PR016", "combination": ["101", "102", "105"] },
{ "sku": "PR016-3m-Silver", "combination": ["101", "102", "106"] },
{ "sku": "PR016-B", "combination": ["101", "103", "105"] },
{ "sku": "PR016-W", "combination": ["101", "104", "105"] }
]
}</t>
  </si>
  <si>
    <t>ALP014</t>
  </si>
  <si>
    <t>Surface mounted LED channel, Aluminium extrusion profile, Surface LED light housing, Slim aluminium channel, Linear LED strip diffuser, Surface mount LED profile</t>
  </si>
  <si>
    <t>PR016-3m-Silver</t>
  </si>
  <si>
    <t>23.5mm (W) x 10.9mm (H) | Silver | 3m</t>
  </si>
  <si>
    <t>{"SKU": "PR016-3m-Silver", "Dimension": "23.5mm (W) x 10.9mm (H)", "Finish": "Silver", "Profile Length": "3m"}</t>
  </si>
  <si>
    <t>PR016-B</t>
  </si>
  <si>
    <t>23.5mm (W) x 10.9mm (H) | Black | 2m</t>
  </si>
  <si>
    <t>{"SKU": "PR016-B", "Dimension": "23.5mm (W) x 10.9mm (H)", "Finish": "Black", "Profile Length": "2m"}</t>
  </si>
  <si>
    <t>PR016-W</t>
  </si>
  <si>
    <t>23.5mm (W) x 10.9mm (H) | White | 2m</t>
  </si>
  <si>
    <t>{"SKU": "PR016-W", "Dimension": "23.5mm (W) x 10.9mm (H)", "Finish": "White", "Profile Length": "2m"}</t>
  </si>
  <si>
    <t>PR017-3m-Silver</t>
  </si>
  <si>
    <t>Transform your interiors with clean, sharp architectural lines and a captivating, continuous glow. Designed to seamlessly fit into corner spaces, this elegant profile creates an inviting atmosphere of modern luxury and quiet sophistication. Perfect for highlighting architectural details or adding ambient warmth, it provides an effortlessly chic lighting experience that elevates any room into a stunning visual showcase.</t>
  </si>
  <si>
    <t>Elevate your space with sleek architectural elegance and discreet luxury, creating a sophisticated, seamless ambient glow.</t>
  </si>
  <si>
    <t>30mm (W) x 30mm (H) | Silver | 3m</t>
  </si>
  <si>
    <t>{"SKU": "PR017-3m-Silver", "Dimension": "30mm (W) x 30mm (H)", "Finish": "Silver", "Profile Length": "3m"}</t>
  </si>
  <si>
    <t>{
"Options": {
"Dimension": [
{ "name": "30mm (W) x 30mm (H)", "id": "101" }
],
"Finish": [
{ "name": "Silver", "id": "102" }
],
"Profile Length": [
{ "name": "3m", "id": "103" }
]
},
"Constraints": {},
"sku_mappings": [
{
"sku": "PR017-3m-Silver",
"combination": [ "101", "102", "103" ]
}
]
}</t>
  </si>
  <si>
    <t>ALP015-R</t>
  </si>
  <si>
    <t>No</t>
  </si>
  <si>
    <t>Aluminium square corner profile, LED corner channel, Corner LED light strip housing, Silver aluminium profile 3m, Angle LED extrusion, 30mm corner light channel</t>
  </si>
  <si>
    <t>PR018-3m-Silver</t>
  </si>
  <si>
    <t>Elevate your interior aesthetic with soft, graceful contours and a beautifully diffused ambiance. This versatile corner lighting solution gently sweeps across walls to deliver an uninterrupted, luminous glow that adds depth and warmth to your environment. Crafted for those who appreciate sleek design and subtle luxury, it brings a sense of refined harmony and modern elegance to any contemporary space.</t>
  </si>
  <si>
    <t>Enhance your interior spaces with smooth, elegant curves and discreet luxury, casting a soft, warm architectural glow.</t>
  </si>
  <si>
    <t>{"SKU": "PR018-3m-Silver", "Dimension": "30mm (W) x 30mm (H)", "Finish": "Silver", "Profile Length": "3m"}</t>
  </si>
  <si>
    <t>{ "Options": { "Dimension": [ {"name": "30mm (W) x 30mm (H)", "id": "101"} ], "Finish": [ {"name": "Silver", "id": "102"} ], "Profile Length": [ {"name": "3m", "id": "103"} ] }, "Constraints": {}, "sku_mappings": [ { "sku": "PR018-3m-Silver", "combination": ["101", "102", "103"] } ] }</t>
  </si>
  <si>
    <t>ALP016-R</t>
  </si>
  <si>
    <t>Aluminium round corner profile, Curved LED corner channel, Round corner LED diffuser, Silver aluminium profile 3m, Rounded LED extrusion, 30mm corner light channel</t>
  </si>
  <si>
    <t>PR021-3m-Silver</t>
  </si>
  <si>
    <t>Aluminium Surface/Suspended Profile</t>
  </si>
  <si>
    <t>Suspended, Surfaced</t>
  </si>
  <si>
    <t>Reframe your space with a dramatic statement of floating light and contemporary elegance. Whether surface mounted for a clean, integrated feel or gracefully suspended to define architectural zones, this premium lighting solution surrounds your room with a rich, sophisticated ambiance. Designed to inspire and impress, it seamlessly blends modern minimalism with luxury, making it the ultimate centerpiece for elevated living.</t>
  </si>
  <si>
    <t>Transform any room with modern suspended elegance, bringing refined style and captivating ambiance to your architecture.</t>
  </si>
  <si>
    <t>35mm (W) x 35mm (H) | Silver | 3m</t>
  </si>
  <si>
    <t>{"SKU": "PR021-3m-Silver", "Dimension": "35mm (W) x 35mm (H)", "Finish": "Silver", "Profile Length": "3m"}</t>
  </si>
  <si>
    <t>{"SKU": ["PR021-3m-Silver", "PR021-W", "PR021-B"], "Dimension": "35mm (W) x 35mm (H)", "Finish": ["Silver", "White", "Black"], "Profile Length": ["3m", "2m"]}</t>
  </si>
  <si>
    <t>{
"Options": {
"Dimension": [
{"name": "35mm (W) x 35mm (H)", "id": "101"}
],
"Finish": [
{"name": "Silver", "id": "102"},
{"name": "White", "id": "103"},
{"name": "Black", "id": "104"}
],
"Profile Length": [
{"name": "3m", "id": "105"},
{"name": "2m", "id": "106"}
]
},
"Constraints": {
"103": ["105"],
"104": ["105"]
},
"sku_mappings": [
{ "sku": "PR021-3m-Silver", "combination": ["101", "102", "105"] },
{ "sku": "PR021-W", "combination": ["101", "103", "106"] },
{ "sku": "PR021-B", "combination": ["101", "104", "106"] }
]
}</t>
  </si>
  <si>
    <t>ALP018-R3</t>
  </si>
  <si>
    <t>Aluminium surface mounted profile, Suspended LED channel, Hanging linear LED housing, Architectural linear light profile, Surface mount LED channel, 35mm square LED extrusion</t>
  </si>
  <si>
    <t>PR021-W</t>
  </si>
  <si>
    <t>35mm (W) x 35mm (H) | White | 2m</t>
  </si>
  <si>
    <t>{"SKU": "PR021-W", "Dimension": "35mm (W) x 35mm (H)", "Finish": "White", "Profile Length": "2m"}</t>
  </si>
  <si>
    <t>PR021-B</t>
  </si>
  <si>
    <t>35mm (W) x 35mm (H) | Black | 2m</t>
  </si>
  <si>
    <t>{"SKU": "PR021-B", "Dimension": "35mm (W) x 35mm (H)", "Finish": "Black", "Profile Length": "2m"}</t>
  </si>
  <si>
    <t>PR027</t>
  </si>
  <si>
    <t>Aluminium Stair Profile</t>
  </si>
  <si>
    <t>Stair</t>
  </si>
  <si>
    <t>Elevate your staircase with refined design and discreet luxury, casting a warm, sophisticated glow that guides every step with style.</t>
  </si>
  <si>
    <t>80mm (W) x 50mm (H) | Silver | 2m</t>
  </si>
  <si>
    <t>{"SKU": "PR027", "Dimension": "80mm (W) x 50mm (H)", "Finish": "Silver", "Profile Length": "2m"}</t>
  </si>
  <si>
    <t>{"SKU": ["PR027", "PR027-3M"], "Dimension": "80mm (W) x 50mm (H)", "Finish": "Silver", "Profile Length": ["2m", "3m"]}</t>
  </si>
  <si>
    <t>{
"Options": {
"Dimension": [
{ "name": "80mm (W) x 50mm (H)", "id": "101" }
],
"Finish": [
{ "name": "Silver", "id": "102" }
],
"Profile Length": [
{ "name": "2m", "id": "103" },
{ "name": "3m", "id": "104" }
]
},
"Constraints": {},
"sku_mappings": [
{ "sku": "PR027", "combination": ["101", "102", "103"] },
{ "sku": "PR027-3M", "combination": ["101", "102", "104"] }
]
}</t>
  </si>
  <si>
    <t>ALP024</t>
  </si>
  <si>
    <t>Aluminium stair profile, LED stair tread housing, Non-slip step channel, Architectural stair lighting, Heavy-duty step profile, LED stair extrusion</t>
  </si>
  <si>
    <t>PR027-3M</t>
  </si>
  <si>
    <t>80mm (W) x 50mm (H) | Silver | 3m</t>
  </si>
  <si>
    <t>{"SKU": "PR027-3M", "Dimension": "80mm (W) x 50mm (H)", "Finish": "Silver", "Profile Length": "3m"}</t>
  </si>
  <si>
    <t>PR036</t>
  </si>
  <si>
    <t>Transform your living spaces into a breathtaking visual journey with a perfect blend of elegance and modern design. This premium surface-mounted profile offers seamless architectural integration, casting a warm, sophisticated glow that effortlessly guides the way while enhancing the natural beauty of your decor. Crafted for those who appreciate refined detail and discreet luxury, it adds an unparalleled touch of ambiance to any setting.</t>
  </si>
  <si>
    <t>Elevate your space with modern elegance and seamless illumination, creating a warm, sophisticated ambience for any room.</t>
  </si>
  <si>
    <t>10mm (W) x 13mm (H) | Silver | 2m</t>
  </si>
  <si>
    <t>{"SKU": "PR036", "Dimension": "10mm (W) x 13mm (H)", "Finish": "Silver", "Profile Length": "2m"}</t>
  </si>
  <si>
    <t>{ "Options": { "Dimension": [ {"name": "10mm (W) x 13mm (H)", "id": "101"} ], "Finish": [ {"name": "Silver", "id": "102"} ], "Profile Length": [ {"name": "2m", "id": "103"} ] }, "Constraints": {}, "sku_mappings": [ { "sku": "PR036", "combination": ["101", "102", "103"] } ] }</t>
  </si>
  <si>
    <t>ALP035-R</t>
  </si>
  <si>
    <t>Aluminium surfaced profile, Surface mount LED channel, LED aluminium extrusion, Linear light housing, Compact LED profile, Surface LED channel</t>
  </si>
  <si>
    <t>Aluminium Trimless Plaster Profile</t>
  </si>
  <si>
    <t>Trimless</t>
  </si>
  <si>
    <t>PR114</t>
  </si>
  <si>
    <t>36.1mm (W) x 14mm (H) | Silver | 2m</t>
  </si>
  <si>
    <t>{"SKU": "PR114", "Dimension": "36.1mm (W) x 14mm (H)", "Finish": "Silver", "Profile Length": "2m"}</t>
  </si>
  <si>
    <t>{"Options": {"Dimension": [{"name": "36.1mm (W) x 14mm (H)", "id": "101"}], "Finish": [{"name": "Silver", "id": "102"}], "Profile Length": [{"name": "2m", "id": "103"}]}, "Constraints": {}, "sku_mappings": [{"sku": "PR114", "combination": ["101", "102", "103"]}]}</t>
  </si>
  <si>
    <t>ALP068-S</t>
  </si>
  <si>
    <t>Trimless plaster profile, Plaster-in LED channel, Recessed aluminium profile, Seamless LED extrusion, Plasterboard LED channel, Drywall linear profile</t>
  </si>
  <si>
    <t>PR115</t>
  </si>
  <si>
    <t>Aluminium Trimless Recessed Plaster Profile</t>
  </si>
  <si>
    <t>Redefine modern luxury with a sleek, recessed lighting solution that merges seamlessly into your walls and ceilings for a completely flush finish. This trimless plaster-in channel transforms ambient light into an artistic statement, filling your room with a soft, captivating illumination. Bring architectural depth, sophisticated warmth, and unmatched refinement to your living or commercial environment.</t>
  </si>
  <si>
    <t>Transform your home with flush, seamless lighting designed to blend effortlessly into your walls for ultimate luxury.</t>
  </si>
  <si>
    <t>61.5mm (W) x 14mm (H) | Silver | 2m</t>
  </si>
  <si>
    <t>{"SKU": "PR115", "Dimension": "61.5mm (W) x 14mm (H)", "Finish": "Silver", "Profile Length": "2m"}</t>
  </si>
  <si>
    <t>{ "Options": { "Dimension": [ {"name": "61.5mm (W) x 14mm (H)", "id": "101"} ], "Finish": [ {"name": "Silver", "id": "102"} ], "Profile Length": [ {"name": "2m", "id": "103"} ] }, "Constraints": {}, "sku_mappings": [ { "sku": "PR115", "combination": ["101", "102", "103"] } ] }</t>
  </si>
  <si>
    <t>ALP071</t>
  </si>
  <si>
    <t>Trimless recessed plaster profile, Recessed plaster-in channel, Architectural LED extrusion, Seamless drywall lighting, Flush plaster LED profile, Wide recessed channel</t>
  </si>
  <si>
    <t>PR116</t>
  </si>
  <si>
    <t>Craft an ambiance of pure architectural perfection with a borderless lighting channel designed for smooth, invisible integration into drywall. This trimless profile disappears into the structure to deliver a mesmerizing, uninterrupted flow of light. Ideal for sophisticated interiors, it brings warmth, modern charm, and a touch of effortless luxury to any space.</t>
  </si>
  <si>
    <t>Create sophisticated ambient lighting that disappears into your ceiling, leaving only a pure, breathtaking radiance.</t>
  </si>
  <si>
    <t>53mm (W) x 14mm (H) | Silver | 2m</t>
  </si>
  <si>
    <t>{"SKU": "PR116", "Dimension": "53mm (W) x 14mm (H)", "Finish": "Silver", "Profile Length": "2m"}</t>
  </si>
  <si>
    <t>{
"Options": {
"Dimension": [
{"name": "53mm (W) x 14mm (H)", "id": "101"}
],
"Finish": [
{"name": "Silver", "id": "102"}
],
"Profile Length": [
{"name": "2m", "id": "103"}
]
},
"Constraints": {},
"sku_mappings": [
{ "sku": "PR116", "combination": ["101", "102", "103"] }
]
}</t>
  </si>
  <si>
    <t>ALP068-R</t>
  </si>
  <si>
    <t>Plaster-in LED extrusion, Trimless aluminium profile, Drywall recessed channel, Seamless linear housing, Architectural plaster light, Recessed LED profile</t>
  </si>
  <si>
    <t>PR125</t>
  </si>
  <si>
    <t>Aluminium Bendable Profile</t>
  </si>
  <si>
    <t>Bendable</t>
  </si>
  <si>
    <t>Unleash your creative vision with a flexible lighting solution engineered to follow graceful curves and custom architectural contours. Perfect for creating soft, flowing lines of light, this bendable profile turns ordinary walls and ceilings into dynamic visual masterpieces. Bring artistic brilliance, ambient elegance, and captivating warmth to every corner of your interior space.</t>
  </si>
  <si>
    <t>Unleash creative freedom with flexible lighting designed to effortlessly follow every curve and contour of your space.</t>
  </si>
  <si>
    <t>18mm (W) x 5.6mm (H) | Silver | 2m</t>
  </si>
  <si>
    <t>{"SKU": "PR125", "Dimension": "18mm (W) x 5.6mm (H)", "Finish": "Silver", "Profile Length": "2m"}</t>
  </si>
  <si>
    <t>{ "Options": { "Dimension": [ {"name": "18mm (W) x 5.6mm (H)", "id": "101"} ], "Finish": [ {"name": "Silver", "id": "102"} ], "Profile Length": [ {"name": "2m", "id": "103"} ] }, "Constraints": {}, "sku_mappings": [ { "sku": "PR125", "combination": ["101", "102", "103"] } ] }</t>
  </si>
  <si>
    <t>ALP114</t>
  </si>
  <si>
    <t>Bendable aluminium profile, Flexible LED channel, Curved LED extrusion, Flexible linear housing, Bendable LED channel, Slim flexible profile</t>
  </si>
  <si>
    <t>PR126-3m-Silver</t>
  </si>
  <si>
    <t>Elevate your environment with a versatile, modern lighting profile that effortlessly adapts to either surface-mounted or suspended installations. Designed to make a striking visual statement while delivering a continuous, elegant glow, it adds dimension, warmth, and architectural drama to any high-end setting. Experience the perfect harmony of contemporary style and sophisticated ambiance.</t>
  </si>
  <si>
    <t>Make a bold statement with versatile lighting that adds striking modern luxury and ambient warmth to high-end interiors.</t>
  </si>
  <si>
    <t>25mm (W) x 25mm (H) | Silver | 3m</t>
  </si>
  <si>
    <t>{"SKU": "PR126-3m-Silver", "Dimension": "25mm (W) x 25mm (H)", "Finish": "Silver", "Profile Length": "3m"}</t>
  </si>
  <si>
    <t>{"SKU": ["PR126-3m-Silver", "PR126-3m-Black", "PR126-3m-White"], "Dimension": "25mm (W) x 25mm (H)", "Finish": ["Silver", "Black", "White"], "Profile Length": "3m"}</t>
  </si>
  <si>
    <t>{ "Options": { "Dimension": [ {"name": "25mm (W) x 25mm (H)", "id": "101"} ], "Finish": [ {"name": "Silver", "id": "102"}, {"name": "Black", "id": "103"}, {"name": "White", "id": "104"} ], "Profile Length": [ {"name": "3m", "id": "105"} ] }, "Constraints": {}, "sku_mappings": [ { "sku": "PR126-3m-Silver", "combination": ["101", "102", "105"] }, { "sku": "PR126-3m-Black", "combination": ["101", "103", "105"] }, { "sku": "PR126-3m-White", "combination": ["101", "104", "105"] } ] }</t>
  </si>
  <si>
    <t>ALP104-R</t>
  </si>
  <si>
    <t>Suspended LED profile, Surface mount aluminium channel, Square LED extrusion, Hanging linear housing, 3m aluminium profile, Architectural linear channel</t>
  </si>
  <si>
    <t>PR126-3m-Black</t>
  </si>
  <si>
    <t>25mm (W) x 25mm (H) | Black | 3m</t>
  </si>
  <si>
    <t>{"SKU": "PR126-3m-Black", "Dimension": "25mm (W) x 25mm (H)", "Finish": "Black", "Profile Length": "3m"}</t>
  </si>
  <si>
    <t>PR126-3m-White</t>
  </si>
  <si>
    <t>25mm (W) x 25mm (H) | White | 3m</t>
  </si>
  <si>
    <t>{"SKU": "PR126-3m-White", "Dimension": "25mm (W) x 25mm (H)", "Finish": "White", "Profile Length": "3m"}</t>
  </si>
  <si>
    <t>PR127-3m-Silver</t>
  </si>
  <si>
    <t>50mm (W) x 75mm (H) | Silver | 3m</t>
  </si>
  <si>
    <t>{"SKU": "PR127-3m-Silver", "Dimension": "50mm (W) x 75mm (H)", "Finish": "Silver", "Profile Length": "3m"}</t>
  </si>
  <si>
    <t>{ "Options": { "Dimension": [ {"name": "50mm (W) x 75mm (H)", "id": "101"} ], "Finish": [ {"name": "Silver", "id": "102"}, {"name": "Black", "id": "103"}, {"name": "White", "id": "104"} ], "Profile Length": [ {"name": "3m", "id": "105"} ] }, "Constraints": {}, "sku_mappings": [ { "sku": "PR127-3m-Silver", "combination": ["101", "102", "105"] }, { "sku": "PR127-3m-Black", "combination": ["101", "103", "105"] }, { "sku": "PR127-3m-White", "combination": ["101", "104", "105"] } ] }</t>
  </si>
  <si>
    <t>ALP5075-R</t>
  </si>
  <si>
    <t>Aluminium surface suspended profile, Architectural linear lighting, Suspended LED channel, Surface mount LED extrusion, High bay LED light housing, Commercial linear diffuser</t>
  </si>
  <si>
    <t>PR127-3m-Black</t>
  </si>
  <si>
    <t>50mm (W) x 75mm (H) | Black | 3m</t>
  </si>
  <si>
    <t>{"SKU": "PR127-3m-Black", "Dimension": "50mm (W) x 75mm (H)", "Finish": "Black", "Profile Length": "3m"}</t>
  </si>
  <si>
    <t>PR127-3m-White</t>
  </si>
  <si>
    <t>50mm (W) x 75mm (H) | White | 3m</t>
  </si>
  <si>
    <t>{"SKU": "PR127-3m-White", "Dimension": "50mm (W) x 75mm (H)", "Finish": "White", "Profile Length": "3m"}</t>
  </si>
  <si>
    <t>PR129</t>
  </si>
  <si>
    <t>45.7mm (W) x 50 (H) | Silver | 2m</t>
  </si>
  <si>
    <t>{"SKU": "PR129", "Dimension": "45.7mm (W) x 50 (H)", "Finish": "Silver", "Profile Length": "2m"}</t>
  </si>
  <si>
    <t>{
"Options": {
"Dimension": [
{
"name": "45.7mm (W) x 50 (H)",
"id": "101"
}
],
"Finish": [
{
"name": "Silver",
"id": "102"
}
],
"Profile Length": [
{
"name": "2m",
"id": "103"
}
]
},
"Constraints": {},
"sku_mappings": [
{
"sku": "PR129",
"combination": [
"101",
"102",
"103"
]
}
]
}</t>
  </si>
  <si>
    <t>ALP118</t>
  </si>
  <si>
    <t>Corner LED profile, Aluminium wall washer channel, Corner aluminium extrusion, Surface mount corner LED housing, Architectural wall wash lighting, Linear LED extrusion</t>
  </si>
  <si>
    <t>PR130-W</t>
  </si>
  <si>
    <t>Aluminium Trimless Deep Wall Washer Profile</t>
  </si>
  <si>
    <t>Trimless, Wall Washer</t>
  </si>
  <si>
    <t>Experience the ultimate in seamless lighting design with an ultra-clean, plaster-in wall washer that blends flawlessly into your ceilings and walls. By concealing the light source within a deep recessed profile, it delivers a stunning, dramatic wash of soft light without any visual clutter or glare. Designed for contemporary spaces seeking a sophisticated ambiance, this profile turns structural surfaces into glowing canvases of modern architectural elegance.</t>
  </si>
  <si>
    <t>Elevate your interior design with seamless trimless wall washing, casting a refined, warm glow that perfectly highlights your home's unique architecture.</t>
  </si>
  <si>
    <t>85.5mm (W) x 56.8mm (H) | White | 2m</t>
  </si>
  <si>
    <t>{"SKU": "PR130-W", "Dimension": "85.5mm (W) x 56.8mm (H)", "Finish": "White", "Profile Length": "2m"}</t>
  </si>
  <si>
    <t>{
"Options": {
"Dimension": [
{
"name": "85.5mm (W) x 56.8mm (H)",
"id": "101"
}
],
"Finish": [
{
"name": "White",
"id": "102"
}
],
"Profile Length": [
{
"name": "2m",
"id": "103"
}
]
},
"Constraints": {},
"sku_mappings": [
{
"sku": "PR130-W",
"combination": [
"101",
"102",
"103"
]
}
]
}</t>
  </si>
  <si>
    <t>ALP127</t>
  </si>
  <si>
    <t>Trimless LED wall washer, Deep recessed aluminium channel, Plaster-in LED profile, Architectural wall wash light, Recessed linear extrusion, Flush wall washer channel</t>
  </si>
  <si>
    <t>PR131-W</t>
  </si>
  <si>
    <t>Aluminium Trimless Wall Washer Profile</t>
  </si>
  <si>
    <t>Redefine your interior design with sleek, flush-mounted lighting that integrates directly into your architecture for a truly borderless aesthetic. Designed to deliver a continuous, breathtaking sweep of light along your walls, this trimless solution enhances textures and spatial dimensions while maintaining a minimalist presence. It is the ideal choice for creating refined, immersive environments filled with subtle elegance and timeless warmth.</t>
  </si>
  <si>
    <t>Bring modern elegance and discreet luxury to your walls with flush, seamless lighting that creates an inviting, sophisticated ambiance throughout your space.</t>
  </si>
  <si>
    <t>94.4mm (W) x 34mm (H) | White | 2m</t>
  </si>
  <si>
    <t>{"SKU": "PR131-W", "Dimension": "94.4mm (W) x 34mm (H)", "Finish": "White", "Profile Length": "2m"}</t>
  </si>
  <si>
    <t>{"SKU": ["PR131-W", "PR131-3m-White"], "Dimension": "94.4mm (W) x 34mm (H)", "Finish": "White", "Profile Length": ["2m", "3m"]}</t>
  </si>
  <si>
    <t>{ "Options": { "Dimension": [ {"name": "94.4mm (W) x 34mm (H)", "id": "101"} ], "Finish": [ {"name": "White", "id": "102"} ], "Profile Length": [ {"name": "2m", "id": "103"}, {"name": "3m", "id": "104"} ] }, "Constraints": {}, "sku_mappings": [ { "sku": "PR131-W", "combination": ["101", "102", "103"] }, { "sku": "PR131-3m-White", "combination": ["101", "102", "104"] } ] }</t>
  </si>
  <si>
    <t>ALP126</t>
  </si>
  <si>
    <t>Trimless LED channel, Plaster-in wall washer profile, Recessed aluminium extrusion, Linear wall washer housing, Architectural LED profile, Flush mount wall wash channel</t>
  </si>
  <si>
    <t>PR131-3m-White</t>
  </si>
  <si>
    <t>94.4mm (W) x 34mm (H) | White | 3m</t>
  </si>
  <si>
    <t>{"SKU": "PR131-3m-White", "Dimension": "94.4mm (W) x 34mm (H)", "Finish": "White", "Profile Length": "3m"}</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</si>
</sst>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0.0"/>
      <color theme="1"/>
      <name val="DM Sans"/>
    </font>
    <font>
      <b/>
      <sz val="10.0"/>
      <color rgb="FFFFFFFF"/>
      <name val="DM Sans"/>
    </font>
    <font>
      <b/>
      <sz val="10.0"/>
      <color rgb="FF434343"/>
      <name val="DM Sans"/>
    </font>
    <font>
      <b/>
      <color theme="1"/>
      <name val="DM Sans"/>
    </font>
    <font>
      <sz val="10.0"/>
      <color theme="1"/>
      <name val="DM Sans"/>
    </font>
    <font>
      <color theme="1"/>
      <name val="Arial"/>
      <scheme val="minor"/>
    </font>
    <font>
      <sz val="10.0"/>
      <color rgb="FF434343"/>
      <name val="DM Sans"/>
    </font>
    <font>
      <color rgb="FF434343"/>
      <name val="DM Sans"/>
    </font>
    <font>
      <color theme="1"/>
      <name val="DM Sans"/>
    </font>
  </fonts>
  <fills count="10">
    <fill>
      <patternFill patternType="none"/>
    </fill>
    <fill>
      <patternFill patternType="lightGray"/>
    </fill>
    <fill>
      <patternFill patternType="solid">
        <fgColor rgb="FFFFD966"/>
        <bgColor rgb="FFFFD966"/>
      </patternFill>
    </fill>
    <fill>
      <patternFill patternType="solid">
        <fgColor rgb="FF93C47D"/>
        <bgColor rgb="FF93C47D"/>
      </patternFill>
    </fill>
    <fill>
      <patternFill patternType="solid">
        <fgColor rgb="FF9900FF"/>
        <bgColor rgb="FF9900FF"/>
      </patternFill>
    </fill>
    <fill>
      <patternFill patternType="solid">
        <fgColor rgb="FF1155CC"/>
        <bgColor rgb="FF1155CC"/>
      </patternFill>
    </fill>
    <fill>
      <patternFill patternType="solid">
        <fgColor rgb="FFD9EAD3"/>
        <bgColor rgb="FFD9EAD3"/>
      </patternFill>
    </fill>
    <fill>
      <patternFill patternType="solid">
        <fgColor rgb="FFC9DAF8"/>
        <bgColor rgb="FFC9DAF8"/>
      </patternFill>
    </fill>
    <fill>
      <patternFill patternType="solid">
        <fgColor rgb="FFFFFFFF"/>
        <bgColor rgb="FFFFFFFF"/>
      </patternFill>
    </fill>
    <fill>
      <patternFill patternType="solid">
        <fgColor rgb="FFD9D2E9"/>
        <bgColor rgb="FFD9D2E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3" fontId="1" numFmtId="0" xfId="0" applyAlignment="1" applyBorder="1" applyFill="1" applyFont="1">
      <alignment horizontal="center" readingOrder="0" shrinkToFit="0" vertical="center" wrapText="1"/>
    </xf>
    <xf borderId="1" fillId="4" fontId="2" numFmtId="0" xfId="0" applyAlignment="1" applyBorder="1" applyFill="1" applyFont="1">
      <alignment horizontal="center" readingOrder="0" vertical="center"/>
    </xf>
    <xf borderId="1" fillId="4" fontId="2" numFmtId="0" xfId="0" applyAlignment="1" applyBorder="1" applyFill="1" applyFont="1">
      <alignment horizontal="center" readingOrder="0" shrinkToFit="0" vertical="center" wrapText="1"/>
    </xf>
    <xf borderId="1" fillId="5" fontId="2" numFmtId="0" xfId="0" applyAlignment="1" applyBorder="1" applyFill="1" applyFont="1">
      <alignment horizontal="center" readingOrder="0" shrinkToFit="0" vertical="center" wrapText="1"/>
    </xf>
    <xf borderId="1" fillId="5" fontId="2" numFmtId="0" xfId="0" applyAlignment="1" applyBorder="1" applyFill="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3" fontId="4" numFmtId="0" xfId="0" applyAlignment="1" applyBorder="1" applyFill="1" applyFont="1">
      <alignment horizontal="center" shrinkToFit="0" vertical="bottom" wrapText="1"/>
    </xf>
    <xf borderId="1" fillId="2" fontId="4" numFmtId="0" xfId="0" applyAlignment="1" applyBorder="1" applyFill="1" applyFont="1">
      <alignment horizontal="center" shrinkToFit="0" vertical="bottom" wrapText="1"/>
    </xf>
    <xf borderId="1" fillId="0" fontId="5"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1" fillId="6" fontId="5" numFmtId="0" xfId="0" applyAlignment="1" applyBorder="1" applyFill="1" applyFont="1">
      <alignment readingOrder="0" shrinkToFit="0" vertical="center" wrapText="1"/>
    </xf>
    <xf borderId="1" fillId="0" fontId="6" numFmtId="0" xfId="0" applyAlignment="1" applyBorder="1" applyFont="1">
      <alignment readingOrder="0" shrinkToFit="0" vertical="center" wrapText="1"/>
    </xf>
    <xf borderId="1" fillId="6" fontId="7" numFmtId="0" xfId="0" applyAlignment="1" applyBorder="1" applyFill="1" applyFont="1">
      <alignment shrinkToFit="0" vertical="center" wrapText="1"/>
    </xf>
    <xf borderId="1" fillId="7" fontId="7" numFmtId="0" xfId="0" applyAlignment="1" applyBorder="1" applyFill="1" applyFont="1">
      <alignment shrinkToFit="0" vertical="center" wrapText="1"/>
    </xf>
    <xf borderId="1" fillId="6" fontId="7" numFmtId="0" xfId="0" applyAlignment="1" applyBorder="1" applyFill="1" applyFont="1">
      <alignment readingOrder="0" shrinkToFit="0" vertical="center" wrapText="1"/>
    </xf>
    <xf borderId="1" fillId="6" fontId="7" numFmtId="0" xfId="0" applyAlignment="1" applyBorder="1" applyFill="1" applyFont="1">
      <alignment readingOrder="0" shrinkToFit="0" vertical="center" wrapText="1"/>
    </xf>
    <xf borderId="1" fillId="7" fontId="7" numFmtId="0" xfId="0" applyAlignment="1" applyBorder="1" applyFill="1" applyFont="1">
      <alignment readingOrder="0" shrinkToFit="0" vertical="center" wrapText="1"/>
    </xf>
    <xf borderId="1" fillId="8" fontId="8" numFmtId="0" xfId="0" applyAlignment="1" applyBorder="1" applyFill="1" applyFont="1">
      <alignment shrinkToFit="0" vertical="bottom" wrapText="1"/>
    </xf>
    <xf borderId="1" fillId="0" fontId="5" numFmtId="0" xfId="0" applyAlignment="1" applyBorder="1" applyFont="1">
      <alignment shrinkToFit="0" vertical="center" wrapText="1"/>
    </xf>
    <xf borderId="1" fillId="8" fontId="9" numFmtId="0" xfId="0" applyAlignment="1" applyBorder="1" applyFill="1" applyFont="1">
      <alignment shrinkToFit="0" wrapText="1"/>
    </xf>
    <xf borderId="1" fillId="0" fontId="5" numFmtId="0" xfId="0" applyAlignment="1" applyBorder="1" applyFont="1">
      <alignment readingOrder="0" shrinkToFit="0" vertical="center" wrapText="1"/>
    </xf>
    <xf borderId="1" fillId="6" fontId="5" numFmtId="0" xfId="0" applyAlignment="1" applyBorder="1" applyFill="1" applyFont="1">
      <alignment readingOrder="0" shrinkToFit="0" vertical="center" wrapText="1"/>
    </xf>
    <xf borderId="1" fillId="0" fontId="6" numFmtId="0" xfId="0" applyAlignment="1" applyBorder="1" applyFont="1">
      <alignment readingOrder="0" shrinkToFit="0" vertical="center" wrapText="1"/>
    </xf>
    <xf borderId="1" fillId="6" fontId="7" numFmtId="0" xfId="0" applyAlignment="1" applyBorder="1" applyFill="1" applyFont="1">
      <alignment readingOrder="0" shrinkToFit="0" vertical="center" wrapText="1"/>
    </xf>
    <xf borderId="1" fillId="7" fontId="7" numFmtId="0" xfId="0" applyAlignment="1" applyBorder="1" applyFill="1" applyFont="1">
      <alignment readingOrder="0" shrinkToFit="0" vertical="center" wrapText="1"/>
    </xf>
    <xf borderId="1" fillId="0" fontId="6" numFmtId="0" xfId="0" applyBorder="1" applyFont="1"/>
    <xf borderId="1" fillId="6" fontId="7" numFmtId="0" xfId="0" applyAlignment="1" applyBorder="1" applyFill="1" applyFont="1">
      <alignment shrinkToFit="0" vertical="center" wrapText="1"/>
    </xf>
    <xf borderId="1" fillId="7" fontId="7" numFmtId="0" xfId="0" applyAlignment="1" applyBorder="1" applyFill="1" applyFont="1">
      <alignment shrinkToFit="0" vertical="center" wrapText="1"/>
    </xf>
    <xf borderId="1" fillId="7" fontId="7" numFmtId="0" xfId="0" applyAlignment="1" applyBorder="1" applyFill="1" applyFont="1">
      <alignment readingOrder="0" shrinkToFit="0" vertical="center" wrapText="1"/>
    </xf>
    <xf borderId="1" fillId="8" fontId="8" numFmtId="0" xfId="0" applyAlignment="1" applyBorder="1" applyFill="1" applyFont="1">
      <alignment shrinkToFit="0" vertical="bottom" wrapText="1"/>
    </xf>
    <xf borderId="1" fillId="0" fontId="6" numFmtId="0" xfId="0" applyAlignment="1" applyBorder="1" applyFont="1">
      <alignment readingOrder="0"/>
    </xf>
    <xf borderId="1" fillId="0" fontId="5" numFmtId="0" xfId="0" applyAlignment="1" applyBorder="1" applyFont="1">
      <alignment shrinkToFit="0" vertical="center" wrapText="1"/>
    </xf>
    <xf borderId="1" fillId="9" fontId="5" numFmtId="0" xfId="0" applyAlignment="1" applyBorder="1" applyFill="1" applyFont="1">
      <alignment readingOrder="0" shrinkToFit="0" vertical="center" wrapText="1"/>
    </xf>
    <xf borderId="1" fillId="9" fontId="5" numFmtId="0" xfId="0" applyAlignment="1" applyBorder="1" applyFill="1" applyFont="1">
      <alignment readingOrder="0" shrinkToFit="0" vertical="center"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
    <tableStyle count="2" pivot="0" name="LEDLuz-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2:AA57" displayName="Table_1" 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LEDLuz-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5.13"/>
    <col customWidth="1" min="2" max="2" width="36.38"/>
    <col customWidth="1" min="3" max="3" width="11.75"/>
    <col customWidth="1" min="4" max="4" width="23.75"/>
    <col customWidth="1" min="5" max="5" width="13.25"/>
    <col customWidth="1" min="6" max="9" width="64.25"/>
    <col customWidth="1" min="10" max="11" width="28.75"/>
    <col customWidth="1" min="12" max="12" width="23.88"/>
    <col customWidth="1" min="13" max="13" width="68.75"/>
    <col customWidth="1" min="14" max="15" width="34.75"/>
    <col customWidth="1" min="16" max="24" width="50.13"/>
    <col customWidth="1" min="25" max="25" width="29.38"/>
    <col customWidth="1" min="26" max="27" width="12.63"/>
  </cols>
  <sheetData>
    <row r="1">
      <c r="A1" s="1" t="s">
        <v>0</v>
      </c>
      <c r="B1" s="1" t="s">
        <v>1</v>
      </c>
      <c r="C1" s="1" t="s">
        <v>2</v>
      </c>
      <c r="D1" s="1" t="s">
        <v>3</v>
      </c>
      <c r="E1" s="1" t="s">
        <v>4</v>
      </c>
      <c r="F1" s="2" t="s">
        <v>5</v>
      </c>
      <c r="G1" s="1" t="s">
        <v>6</v>
      </c>
      <c r="H1" s="2" t="s">
        <v>7</v>
      </c>
      <c r="I1" s="1" t="s">
        <v>8</v>
      </c>
      <c r="J1" s="1" t="s">
        <v>9</v>
      </c>
      <c r="K1" s="1" t="s">
        <v>10</v>
      </c>
      <c r="L1" s="3" t="s">
        <v>11</v>
      </c>
      <c r="M1" s="4" t="s">
        <v>12</v>
      </c>
      <c r="N1" s="2" t="s">
        <v>13</v>
      </c>
      <c r="O1" s="5" t="s">
        <v>14</v>
      </c>
      <c r="P1" s="2" t="s">
        <v>15</v>
      </c>
      <c r="Q1" s="6" t="s">
        <v>16</v>
      </c>
      <c r="R1" s="2" t="s">
        <v>17</v>
      </c>
      <c r="S1" s="1" t="s">
        <v>18</v>
      </c>
      <c r="T1" s="2" t="s">
        <v>19</v>
      </c>
      <c r="U1" s="6" t="s">
        <v>20</v>
      </c>
      <c r="V1" s="1" t="s">
        <v>21</v>
      </c>
      <c r="W1" s="1" t="s">
        <v>22</v>
      </c>
      <c r="X1" s="7" t="s">
        <v>23</v>
      </c>
      <c r="Y1" s="1" t="s">
        <v>24</v>
      </c>
      <c r="Z1" s="1" t="s">
        <v>25</v>
      </c>
      <c r="AA1" s="1" t="s">
        <v>26</v>
      </c>
      <c r="AB1" s="1" t="s">
        <v>27</v>
      </c>
      <c r="AC1" s="8" t="s">
        <v>28</v>
      </c>
      <c r="AD1" s="9" t="s">
        <v>29</v>
      </c>
    </row>
    <row r="2" ht="30.0" customHeight="1">
      <c r="A2" s="10" t="s">
        <v>30</v>
      </c>
      <c r="B2" s="10" t="s">
        <v>31</v>
      </c>
      <c r="C2" s="11" t="s">
        <v>32</v>
      </c>
      <c r="D2" s="10" t="s">
        <v>33</v>
      </c>
      <c r="E2" s="11" t="s">
        <v>34</v>
      </c>
      <c r="F2" s="12" t="str">
        <f>IFERROR(__xludf.DUMMYFUNCTION("AI(""Give me a paragraph marketing spiel for product in this row, no tech specs just marketing fluff "")"),"Transform your living spaces into a breathtaking visual journey with a perfect blend of elegance and modern design. This premium lighting solution offers seamless integration into your home, casting a warm, sophisticated glow that effortlessly guides the "&amp;"way while enhancing the natural beauty of your architecture. Crafted for those who appreciate refined detail and discreet luxury, it adds an unparalleled touch of ambiance, warmth, and captivating security to any setting, making it the ultimate choice for"&amp;" elevated architectural illumination.")</f>
        <v>Transform your living spaces into a breathtaking visual journey with a perfect blend of elegance and modern design. This premium lighting solution offers seamless integration into your home, casting a warm, sophisticated glow that effortlessly guides the way while enhancing the natural beauty of your architecture. Crafted for those who appreciate refined detail and discreet luxury, it adds an unparalleled touch of ambiance, warmth, and captivating security to any setting, making it the ultimate choice for elevated architectural illumination.</v>
      </c>
      <c r="G2" s="13" t="s">
        <v>35</v>
      </c>
      <c r="H2" s="12" t="str">
        <f>IFERROR(__xludf.DUMMYFUNCTION("AI(""Give me a paragraph marketing spiel for product in this row, no tech specs just marketing fluff under 180 characters "")"),"Elevate your space with elegant design and discreet luxury, creating a sophisticated, seamless glow.")</f>
        <v>Elevate your space with elegant design and discreet luxury, creating a sophisticated, seamless glow.</v>
      </c>
      <c r="I2" s="11" t="s">
        <v>36</v>
      </c>
      <c r="J2" s="11"/>
      <c r="K2" s="11"/>
      <c r="L2" s="11" t="s">
        <v>30</v>
      </c>
      <c r="M2" s="11" t="s">
        <v>37</v>
      </c>
      <c r="N2"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""&amp;M2)"),"Dimension | Finish | Profile Length")</f>
        <v>Dimension | Finish | Profile Length</v>
      </c>
      <c r="O2" s="15" t="s">
        <v>38</v>
      </c>
      <c r="P2" s="14" t="str">
        <f>IFERROR(__xludf.DUMMYFUNCTION("AI(""Using the labels""&amp;N2&amp;"" and values ""&amp;M2&amp;"" separated by character '|' and Using ""&amp;L2&amp;"" and key as 'SKU', Create a JSON object"")"),"{""SKU"": ""PROM"", ""Dimension"": ""7.8mm (W) x 9mm (H)"", ""Finish"": ""Silver"", ""Profile Length"": ""2m""}")</f>
        <v>{"SKU": "PROM", "Dimension": "7.8mm (W) x 9mm (H)", "Finish": "Silver", "Profile Length": "2m"}</v>
      </c>
      <c r="Q2" s="15" t="s">
        <v>39</v>
      </c>
      <c r="R2" s="16"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Q2:Q5)"),"{""SKU"": [""PROM"", ""PROM-3m-silver"", ""PROM-B"", ""PROM-W""], ""Dimension"": ""7.8mm (W) x 9mm (H)"", ""Finish"": [""Silver"", ""Black"", ""White""], ""Profile Length"": [""2m"", ""3m""]}")</f>
        <v>{"SKU": ["PROM", "PROM-3m-silver", "PROM-B", "PROM-W"], "Dimension": "7.8mm (W) x 9mm (H)", "Finish": ["Silver", "Black", "White"], "Profile Length": ["2m", "3m"]}</v>
      </c>
      <c r="S2" s="17" t="s">
        <v>40</v>
      </c>
      <c r="T2" s="16"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CCT, IP Rating, Impact Strength).
   - Assign a unique sequential integer string ID to every attribute value, starting from """"101"""" and incrementing by 1 in "&amp;"the order they appear.
   - Format each attribute as an array of objects: `[{""""name"""": """"VALUE"""", """"id"""": """"ID""""}]`.
2. **Determine Constraints (Incompatibilities):**
   - Identify attribute pairs that are impossible or missing from the v"&amp;"alid combinations.
   - Specifically, map an ID of an Option Value to an array of Option Value IDs that **cannot** be selected with it.
   - Output constraints in the format: `""""OPTION_ID"""": [INCOMPATIBLE_OPTION_ID]`.
   - Only list meaningful non-emp"&amp;"ty constraints. Express constraints using the primary driving factor (e.g., optic limitation over CCT).
3. **Determine sku_mappings:**
   - Identify the valid combination and create a array with sku and combination containing array of options ID
4. **O"&amp;"utput Format:**
   - Return strictly valid JSON containing two root keys: """"Options"""", """"Constraints"""" and """"sku_mappings"""".
   - Do not wrap the JSON in conversational filler text.
---
### Example Input:
{""""SKU"""":""""HRS001"""", """"Pow"&amp;"er"""": """"1.2W"""", """"Optics"""": """"SYM30°"""", """"CCT"""": """"3000K"""", """"IP Rating"""": """"IP67"""", """"Impact Strength"""": """"IK10""""}
{""""SKU"""":""""HRS002"""", """"Power"""": """"1.2W"""", """"Optics"""": """"SYM30°"""", """"CCT"""""&amp;": """"4000K"""", """"IP Rating"""": """"IP67"""", """"Impact Strength"""": """"IK10""""}
{""""SKU"""":""""HRS003"""", """"Power"""": """"1.2W"""", """"Optics"""": """"SYM60°"""", """"CCT"""": """"3000K"""", """"IP Rating"""": """"IP67"""", """"Impact Stre"&amp;"ngth"""": """"IK10""""}
{""""SKU"""":""""HRS004"""", """"Power"""": """"1.2W"""", """"Optics"""": """"SYM60°"""", """"CCT"""": """"4000K"""", """"IP Rating"""": """"IP67"""", """"Impact Strength"""": """"IK10""""}
{""""SKU"""":""""HRS005"""", """"Power"""&amp;""": """"1.2W"""", """"Optics"""": """"ASYM50°"""", """"CCT"""": """"3000K"""", """"IP Rating"""": """"IP67"""", """"Impact Strength"""": """"IK10""""}
### Example Output:
{
  """"Options"""": {
    """"Power"""": [
      {""""name"""": """"1.2W"""", """""&amp;"id"""": """"101""""}
    ],
    """"Optics"""": [
      {""""name"""": """"SYM30°"""", """"id"""": """"102""""},
      {""""name"""": """"SYM60°"""", """"id"""": """"103""""},
      {""""name"""": """"ASYM50°"""", """"id"""": """"104""""}
    ],
    """"C"&amp;"CT"""": [
      {""""name"""": """"3000K"""", """"id"""": """"105""""},
      {""""name"""": """"4000K"""", """"id"""": """"106""""}
    ],
    """"IP Rating"""": [
      {""""name"""": """"IP67"""", """"id"""": """"107""""}
    ],
    """"Impact Strength"&amp;""""": [
      {""""name"""": """"IK10"""", """"id"""": """"108""""}
    ]
  },
  """"Constraints"""": {
    """"104"""": [106]
  },
""""sku_mappings"""": [
      { """"sku"""": """"HRS001"""", """"combination"""": [""""101"""", """"102"""", """"105"""", "&amp;"""""107"""", """"108""""] },
      { """"sku"""": """"HRS002"""", """"combination"""": [""""101"""", """"102"""", """"106"""", """"107"""", """"108""""] },
      { """"sku"""": """"HRS003"""", """"combination"""": [""""101"""", """"103"""", """"105"""", "&amp;"""""107"""", """"108""""] },
      { """"sku"""": """"HRS004"""", """"combination"""": [""""101"""", """"103"""", """"106"""", """"107"""", """"108""""] },
      { """"sku"""": """"HRS005"""", """"combination"""": [""""101"""", """"104"""", """"105"""", "&amp;"""""107"""", """"108""""] },
      { """"sku"""": """"HRS006"""", """"combination"""": [""""101"""", """"104"""", """"106"""", """"107"""", """"108""""] }
    ]
}
Process the following product variant combinations and output the """"Options"""" and """"C"&amp;"onstraints"""" JSON:"", Q2:Q5)"),"{
""Options"": {
""Dimension"": [
{""name"": ""7.8mm (W) x 9mm (H)"", ""id"": ""101""}
],
""Finish"": [
{""name"": ""Silver"", ""id"": ""102""},
{""name"": ""Black"", ""id"": ""103""},
{""name"": ""White"", ""id"": ""104""}
],
""Profile Length"": [
{""nam"&amp;"e"": ""2m"", ""id"": ""105""},
{""name"": ""3m"", ""id"": ""106""}
]
},
""Constraints"": {
""103"": [""106""],
""104"": [""106""]
},
""sku_mappings"": [
{ ""sku"": ""PROM"", ""combination"": [""101"", ""102"", ""105""] },
{ ""sku"": ""PROM-3m-silver"", """&amp;"combination"": [""101"", ""102"", ""106""] },
{ ""sku"": ""PROM-B"", ""combination"": [""101"", ""103"", ""105""] },
{ ""sku"": ""PROM-W"", ""combination"": [""101"", ""104"", ""105""] }
]
}")</f>
        <v>{
"Options": {
"Dimension": [
{"name": "7.8mm (W) x 9mm (H)", "id": "101"}
],
"Finish": [
{"name": "Silver", "id": "102"},
{"name": "Black", "id": "103"},
{"name": "White", "id": "104"}
],
"Profile Length": [
{"name": "2m", "id": "105"},
{"name": "3m", "id": "106"}
]
},
"Constraints": {
"103": ["106"],
"104": ["106"]
},
"sku_mappings": [
{ "sku": "PROM", "combination": ["101", "102", "105"] },
{ "sku": "PROM-3m-silver", "combination": ["101", "102", "106"] },
{ "sku": "PROM-B", "combination": ["101", "103", "105"] },
{ "sku": "PROM-W", "combination": ["101", "104", "105"] }
]
}</v>
      </c>
      <c r="U2" s="18" t="s">
        <v>41</v>
      </c>
      <c r="V2" s="19" t="str">
        <f>IFERROR(__xludf.DUMMYFUNCTION("AI(""Extract options object from the json"", U2)"),"{""Dimension"": [{""name"": ""7.8mm (W) x 9mm (H)"", ""id"": ""101""}], ""Finish"": [{""name"": ""Silver"", ""id"": ""102""}, {""name"": ""Black"", ""id"": ""103""}, {""name"": ""White"", ""id"": ""104""}], ""Profile Length"": [{""name"": ""2m"", ""id"": "&amp;"""105""}, {""name"": ""3m"", ""id"": ""106""}]}")</f>
        <v>{"Dimension": [{"name": "7.8mm (W) x 9mm (H)", "id": "101"}], "Finish": [{"name": "Silver", "id": "102"}, {"name": "Black", "id": "103"}, {"name": "White", "id": "104"}], "Profile Length": [{"name": "2m", "id": "105"}, {"name": "3m", "id": "106"}]}</v>
      </c>
      <c r="W2" s="19" t="str">
        <f>IFERROR(__xludf.DUMMYFUNCTION("AI(""Extract constraints object from the json"", U2)"),"{ ""103"": [""106""], ""104"": [""106""] }")</f>
        <v>{ "103": ["106"], "104": ["106"] }</v>
      </c>
      <c r="X2" s="19" t="str">
        <f>IFERROR(__xludf.DUMMYFUNCTION("AI(""Extract sku_mappings object from the json"", U2)"),"[ { ""sku"": ""PROM"", ""combination"": [""101"", ""102"", ""105""] }, { ""sku"": ""PROM-3m-silver"", ""combination"": [""101"", ""102"", ""106""] }, { ""sku"": ""PROM-B"", ""combination"": [""101"", ""103"", ""105""] }, { ""sku"": ""PROM-W"", ""combinati"&amp;"on"": [""101"", ""104"", ""105""] } ]")</f>
        <v>[ { "sku": "PROM", "combination": ["101", "102", "105"] }, { "sku": "PROM-3m-silver", "combination": ["101", "102", "106"] }, { "sku": "PROM-B", "combination": ["101", "103", "105"] }, { "sku": "PROM-W", "combination": ["101", "104", "105"] } ]</v>
      </c>
      <c r="Y2" s="17" t="s">
        <v>42</v>
      </c>
      <c r="Z2" s="17" t="s">
        <v>43</v>
      </c>
      <c r="AA2" s="17" t="s">
        <v>44</v>
      </c>
      <c r="AB2" s="20"/>
      <c r="AC2" s="21" t="str">
        <f>IFERROR(__xludf.DUMMYFUNCTION("AI(""Generate 6 powerful unique keywords for the product in this row separated by comma"")"),"Mini surfaced profile, Aluminium LED channel, Compact linear profile, Surface mount light channel, Slim LED extrusion, Architectural mini profile")</f>
        <v>Mini surfaced profile, Aluminium LED channel, Compact linear profile, Surface mount light channel, Slim LED extrusion, Architectural mini profile</v>
      </c>
      <c r="AD2" s="20" t="s">
        <v>45</v>
      </c>
    </row>
    <row r="3" ht="30.0" customHeight="1">
      <c r="A3" s="10"/>
      <c r="B3" s="22"/>
      <c r="C3" s="22"/>
      <c r="D3" s="22"/>
      <c r="E3" s="22"/>
      <c r="F3" s="23"/>
      <c r="G3" s="24"/>
      <c r="H3" s="23"/>
      <c r="I3" s="22"/>
      <c r="J3" s="22"/>
      <c r="K3" s="22"/>
      <c r="L3" s="11" t="s">
        <v>46</v>
      </c>
      <c r="M3" s="11" t="s">
        <v>47</v>
      </c>
      <c r="N3"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""&amp;M3)"),"Dimension | Finish | Profile Length")</f>
        <v>Dimension | Finish | Profile Length</v>
      </c>
      <c r="O3" s="15" t="s">
        <v>38</v>
      </c>
      <c r="P3" s="14" t="str">
        <f>IFERROR(__xludf.DUMMYFUNCTION("AI(""Using the labels""&amp;N3&amp;"" and values ""&amp;M3&amp;"" separated by character '|' and Using ""&amp;L3&amp;"" and key as 'SKU', Create a JSON object"")"),"{""SKU"": ""PROM-3m-silver"", ""Dimension"": ""7.8mm (W) x 9mm (H)"", ""Finish"": ""Silver"", ""Profile Length"": ""3m""}")</f>
        <v>{"SKU": "PROM-3m-silver", "Dimension": "7.8mm (W) x 9mm (H)", "Finish": "Silver", "Profile Length": "3m"}</v>
      </c>
      <c r="Q3" s="15" t="s">
        <v>48</v>
      </c>
      <c r="R3" s="25"/>
      <c r="S3" s="25"/>
      <c r="T3" s="25"/>
      <c r="U3" s="26"/>
      <c r="V3" s="25"/>
      <c r="W3" s="25"/>
      <c r="X3" s="25"/>
      <c r="Y3" s="17" t="s">
        <v>42</v>
      </c>
      <c r="Z3" s="17" t="s">
        <v>43</v>
      </c>
      <c r="AA3" s="17" t="s">
        <v>44</v>
      </c>
      <c r="AB3" s="20"/>
      <c r="AC3" s="20"/>
      <c r="AD3" s="20"/>
    </row>
    <row r="4" ht="30.0" customHeight="1">
      <c r="A4" s="10"/>
      <c r="B4" s="22"/>
      <c r="C4" s="22"/>
      <c r="D4" s="22"/>
      <c r="E4" s="22"/>
      <c r="F4" s="23"/>
      <c r="G4" s="24"/>
      <c r="H4" s="23"/>
      <c r="I4" s="22"/>
      <c r="J4" s="22"/>
      <c r="K4" s="22"/>
      <c r="L4" s="11" t="s">
        <v>49</v>
      </c>
      <c r="M4" s="11" t="s">
        <v>50</v>
      </c>
      <c r="N4"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""&amp;M4)"),"Dimension | Finish | Profile Length")</f>
        <v>Dimension | Finish | Profile Length</v>
      </c>
      <c r="O4" s="15" t="s">
        <v>38</v>
      </c>
      <c r="P4" s="14" t="str">
        <f>IFERROR(__xludf.DUMMYFUNCTION("AI(""Using the labels""&amp;N4&amp;"" and values ""&amp;M4&amp;"" separated by character '|' and Using ""&amp;L4&amp;"" and key as 'SKU', Create a JSON object"")"),"{""SKU"": ""PROM-B"", ""Dimension"": ""7.8mm (W) x 9mm (H)"", ""Finish"": ""Black"", ""Profile Length"": ""2m""}")</f>
        <v>{"SKU": "PROM-B", "Dimension": "7.8mm (W) x 9mm (H)", "Finish": "Black", "Profile Length": "2m"}</v>
      </c>
      <c r="Q4" s="15" t="s">
        <v>51</v>
      </c>
      <c r="R4" s="25"/>
      <c r="S4" s="25"/>
      <c r="T4" s="25"/>
      <c r="U4" s="26"/>
      <c r="V4" s="25"/>
      <c r="W4" s="25"/>
      <c r="X4" s="25"/>
      <c r="Y4" s="17" t="s">
        <v>42</v>
      </c>
      <c r="Z4" s="17" t="s">
        <v>43</v>
      </c>
      <c r="AA4" s="17" t="s">
        <v>44</v>
      </c>
      <c r="AB4" s="20"/>
      <c r="AC4" s="20"/>
      <c r="AD4" s="20"/>
    </row>
    <row r="5" ht="30.0" customHeight="1">
      <c r="A5" s="10"/>
      <c r="B5" s="11"/>
      <c r="C5" s="11"/>
      <c r="D5" s="10"/>
      <c r="E5" s="11"/>
      <c r="F5" s="23"/>
      <c r="G5" s="24"/>
      <c r="H5" s="23"/>
      <c r="I5" s="22"/>
      <c r="J5" s="22"/>
      <c r="K5" s="22"/>
      <c r="L5" s="11" t="s">
        <v>52</v>
      </c>
      <c r="M5" s="11" t="s">
        <v>53</v>
      </c>
      <c r="N5"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""&amp;M5)"),"Dimension | Finish | Profile Length")</f>
        <v>Dimension | Finish | Profile Length</v>
      </c>
      <c r="O5" s="15" t="s">
        <v>38</v>
      </c>
      <c r="P5" s="14" t="str">
        <f>IFERROR(__xludf.DUMMYFUNCTION("AI(""Using the labels""&amp;N5&amp;"" and values ""&amp;M5&amp;"" separated by character '|' and Using ""&amp;L5&amp;"" and key as 'SKU', Create a JSON object"")"),"{""SKU"": ""PROM-W"", ""Dimension"": ""7.8mm (W) x 9mm (H)"", ""Finish"": ""White"", ""Profile Length"": ""2m""}")</f>
        <v>{"SKU": "PROM-W", "Dimension": "7.8mm (W) x 9mm (H)", "Finish": "White", "Profile Length": "2m"}</v>
      </c>
      <c r="Q5" s="15" t="s">
        <v>54</v>
      </c>
      <c r="R5" s="27"/>
      <c r="S5" s="28"/>
      <c r="T5" s="27"/>
      <c r="U5" s="29"/>
      <c r="V5" s="17"/>
      <c r="W5" s="17"/>
      <c r="X5" s="17"/>
      <c r="Y5" s="17" t="s">
        <v>42</v>
      </c>
      <c r="Z5" s="17" t="s">
        <v>43</v>
      </c>
      <c r="AA5" s="17" t="s">
        <v>44</v>
      </c>
      <c r="AB5" s="20"/>
      <c r="AC5" s="20"/>
      <c r="AD5" s="20"/>
    </row>
    <row r="6" ht="30.0" customHeight="1">
      <c r="A6" s="10" t="s">
        <v>55</v>
      </c>
      <c r="B6" s="11" t="s">
        <v>56</v>
      </c>
      <c r="C6" s="11" t="s">
        <v>32</v>
      </c>
      <c r="D6" s="11" t="s">
        <v>57</v>
      </c>
      <c r="E6" s="11" t="s">
        <v>34</v>
      </c>
      <c r="F6" s="12" t="str">
        <f>IFERROR(__xludf.DUMMYFUNCTION("AI(""Give me a paragraph marketing spiel for product in this row, no tech specs just marketing fluff "")"),"Transform your living spaces into a breathtaking visual journey with a perfect blend of elegance and modern design. This premium lighting solution offers seamless integration into your home, casting a warm, sophisticated glow that effortlessly guides the "&amp;"way while enhancing the natural beauty of your architecture. Crafted for those who appreciate refined detail and discreet luxury, it adds an unparalleled touch of ambiance, warmth, and captivating style to any setting, making it the ultimate choice for el"&amp;"evated architectural illumination.")</f>
        <v>Transform your living spaces into a breathtaking visual journey with a perfect blend of elegance and modern design. This premium lighting solution offers seamless integration into your home, casting a warm, sophisticated glow that effortlessly guides the way while enhancing the natural beauty of your architecture. Crafted for those who appreciate refined detail and discreet luxury, it adds an unparalleled touch of ambiance, warmth, and captivating style to any setting, making it the ultimate choice for elevated architectural illumination.</v>
      </c>
      <c r="G6" s="13" t="s">
        <v>58</v>
      </c>
      <c r="H6" s="12" t="str">
        <f>IFERROR(__xludf.DUMMYFUNCTION("AI(""Give me a paragraph marketing spiel for product in this row, no tech specs just marketing fluff under 180 characters "")"),"Elevate your home with seamless elegance and modern style, creating a warm, sophisticated glow that beautifully enhances your space.")</f>
        <v>Elevate your home with seamless elegance and modern style, creating a warm, sophisticated glow that beautifully enhances your space.</v>
      </c>
      <c r="I6" s="11" t="s">
        <v>59</v>
      </c>
      <c r="J6" s="22"/>
      <c r="K6" s="22"/>
      <c r="L6" s="11" t="s">
        <v>55</v>
      </c>
      <c r="M6" s="11" t="s">
        <v>60</v>
      </c>
      <c r="N6"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""&amp;M6)"),"Dimension | Finish | Profile Length")</f>
        <v>Dimension | Finish | Profile Length</v>
      </c>
      <c r="O6" s="15" t="s">
        <v>38</v>
      </c>
      <c r="P6" s="14" t="str">
        <f>IFERROR(__xludf.DUMMYFUNCTION("AI(""Using the labels""&amp;N6&amp;"" and values ""&amp;M6&amp;"" separated by character '|' and Using ""&amp;L6&amp;"" and key as 'SKU', Create a JSON object"")"),"{""SKU"": ""PR001"", ""Dimension"": ""23.1mm (W) x 8.5mm (H)"", ""Finish"": ""Silver"", ""Profile Length"": ""2m""}")</f>
        <v>{"SKU": "PR001", "Dimension": "23.1mm (W) x 8.5mm (H)", "Finish": "Silver", "Profile Length": "2m"}</v>
      </c>
      <c r="Q6" s="15" t="s">
        <v>61</v>
      </c>
      <c r="R6" s="16"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Q6:Q9)"),"{""SKU"": [""PR001"", ""PR001-3m-Silver"", ""PR001-B"", ""PR001-W""], ""Dimension"": ""23.1mm (W) x 8.5mm (H)"", ""Finish"": [""Silver"", ""Black"", ""White""], ""Profile Length"": [""2m"", ""3m""]}")</f>
        <v>{"SKU": ["PR001", "PR001-3m-Silver", "PR001-B", "PR001-W"], "Dimension": "23.1mm (W) x 8.5mm (H)", "Finish": ["Silver", "Black", "White"], "Profile Length": ["2m", "3m"]}</v>
      </c>
      <c r="S6" s="17" t="s">
        <v>62</v>
      </c>
      <c r="T6" s="16"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CCT, IP Rating, Impact Strength).
   - Assign a unique sequential integer string ID to every attribute value, starting from """"101"""" and incrementing by 1 in "&amp;"the order they appear.
   - Format each attribute as an array of objects: `[{""""name"""": """"VALUE"""", """"id"""": """"ID""""}]`.
2. **Determine Constraints (Incompatibilities):**
   - Identify attribute pairs that are impossible or missing from the v"&amp;"alid combinations.
   - Specifically, map an ID of an Option Value to an array of Option Value IDs that **cannot** be selected with it.
   - Output constraints in the format: `""""OPTION_ID"""": [INCOMPATIBLE_OPTION_ID]`.
   - Only list meaningful non-emp"&amp;"ty constraints. Express constraints using the primary driving factor (e.g., optic limitation over CCT).
3. **Determine sku_mappings:**
   - Identify the valid combination and create a array with sku and combination containing array of options ID
4. **O"&amp;"utput Format:**
   - Return strictly valid JSON containing two root keys: """"Options"""", """"Constraints"""" and """"sku_mappings"""".
   - Do not wrap the JSON in conversational filler text.
---
### Example Input:
{""""SKU"""":""""HRS001"""", """"Pow"&amp;"er"""": """"1.2W"""", """"Optics"""": """"SYM30°"""", """"CCT"""": """"3000K"""", """"IP Rating"""": """"IP67"""", """"Impact Strength"""": """"IK10""""}
{""""SKU"""":""""HRS002"""", """"Power"""": """"1.2W"""", """"Optics"""": """"SYM30°"""", """"CCT"""""&amp;": """"4000K"""", """"IP Rating"""": """"IP67"""", """"Impact Strength"""": """"IK10""""}
{""""SKU"""":""""HRS003"""", """"Power"""": """"1.2W"""", """"Optics"""": """"SYM60°"""", """"CCT"""": """"3000K"""", """"IP Rating"""": """"IP67"""", """"Impact Stre"&amp;"ngth"""": """"IK10""""}
{""""SKU"""":""""HRS004"""", """"Power"""": """"1.2W"""", """"Optics"""": """"SYM60°"""", """"CCT"""": """"4000K"""", """"IP Rating"""": """"IP67"""", """"Impact Strength"""": """"IK10""""}
{""""SKU"""":""""HRS005"""", """"Power"""&amp;""": """"1.2W"""", """"Optics"""": """"ASYM50°"""", """"CCT"""": """"3000K"""", """"IP Rating"""": """"IP67"""", """"Impact Strength"""": """"IK10""""}
### Example Output:
{
  """"Options"""": {
    """"Power"""": [
      {""""name"""": """"1.2W"""", """""&amp;"id"""": """"101""""}
    ],
    """"Optics"""": [
      {""""name"""": """"SYM30°"""", """"id"""": """"102""""},
      {""""name"""": """"SYM60°"""", """"id"""": """"103""""},
      {""""name"""": """"ASYM50°"""", """"id"""": """"104""""}
    ],
    """"C"&amp;"CT"""": [
      {""""name"""": """"3000K"""", """"id"""": """"105""""},
      {""""name"""": """"4000K"""", """"id"""": """"106""""}
    ],
    """"IP Rating"""": [
      {""""name"""": """"IP67"""", """"id"""": """"107""""}
    ],
    """"Impact Strength"&amp;""""": [
      {""""name"""": """"IK10"""", """"id"""": """"108""""}
    ]
  },
  """"Constraints"""": {
    """"104"""": [106]
  },
""""sku_mappings"""": [
      { """"sku"""": """"HRS001"""", """"combination"""": [""""101"""", """"102"""", """"105"""", "&amp;"""""107"""", """"108""""] },
      { """"sku"""": """"HRS002"""", """"combination"""": [""""101"""", """"102"""", """"106"""", """"107"""", """"108""""] },
      { """"sku"""": """"HRS003"""", """"combination"""": [""""101"""", """"103"""", """"105"""", "&amp;"""""107"""", """"108""""] },
      { """"sku"""": """"HRS004"""", """"combination"""": [""""101"""", """"103"""", """"106"""", """"107"""", """"108""""] },
      { """"sku"""": """"HRS005"""", """"combination"""": [""""101"""", """"104"""", """"105"""", "&amp;"""""107"""", """"108""""] },
      { """"sku"""": """"HRS006"""", """"combination"""": [""""101"""", """"104"""", """"106"""", """"107"""", """"108""""] }
    ]
}
Process the following product variant combinations and output the """"Options"""" and """"C"&amp;"onstraints"""" JSON:"", Q6:Q9)"),"{ ""Options"": { ""Dimension"": [ {""name"": ""23.1mm (W) x 8.5mm (H)"", ""id"": ""101""} ], ""Finish"": [ {""name"": ""Silver"", ""id"": ""102""}, {""name"": ""Black"", ""id"": ""103""}, {""name"": ""White"", ""id"": ""104""} ], ""Profile Length"": [ {"""&amp;"name"": ""2m"", ""id"": ""105""}, {""name"": ""3m"", ""id"": ""106""} ] }, ""Constraints"": { ""103"": [""106""], ""104"": [""106""] }, ""sku_mappings"": [ { ""sku"": ""PR001"", ""combination"": [""101"", ""102"", ""105""] }, { ""sku"": ""PR001-3m-Silver"&amp;""", ""combination"": [""101"", ""102"", ""106""] }, { ""sku"": ""PR001-B"", ""combination"": [""101"", ""103"", ""105""] }, { ""sku"": ""PR001-W"", ""combination"": [""101"", ""104"", ""105""] } ] }")</f>
        <v>{ "Options": { "Dimension": [ {"name": "23.1mm (W) x 8.5mm (H)", "id": "101"} ], "Finish": [ {"name": "Silver", "id": "102"}, {"name": "Black", "id": "103"}, {"name": "White", "id": "104"} ], "Profile Length": [ {"name": "2m", "id": "105"}, {"name": "3m", "id": "106"} ] }, "Constraints": { "103": ["106"], "104": ["106"] }, "sku_mappings": [ { "sku": "PR001", "combination": ["101", "102", "105"] }, { "sku": "PR001-3m-Silver", "combination": ["101", "102", "106"] }, { "sku": "PR001-B", "combination": ["101", "103", "105"] }, { "sku": "PR001-W", "combination": ["101", "104", "105"] } ] }</v>
      </c>
      <c r="U6" s="30" t="s">
        <v>63</v>
      </c>
      <c r="V6" s="31" t="str">
        <f>IFERROR(__xludf.DUMMYFUNCTION("AI(""Extract options object from the json"", U6)"),"{""Dimension"": [{""name"": ""23.1mm (W) x 8.5mm (H)"", ""id"": ""101""}], ""Finish"": [{""name"": ""Silver"", ""id"": ""102""}, {""name"": ""Black"", ""id"": ""103""}, {""name"": ""White"", ""id"": ""104""}], ""Profile Length"": [{""name"": ""2m"", ""id"&amp;""": ""105""}, {""name"": ""3m"", ""id"": ""106""}]}")</f>
        <v>{"Dimension": [{"name": "23.1mm (W) x 8.5mm (H)", "id": "101"}], "Finish": [{"name": "Silver", "id": "102"}, {"name": "Black", "id": "103"}, {"name": "White", "id": "104"}], "Profile Length": [{"name": "2m", "id": "105"}, {"name": "3m", "id": "106"}]}</v>
      </c>
      <c r="W6" s="31" t="str">
        <f>IFERROR(__xludf.DUMMYFUNCTION("AI(""Extract constraints object from the json"", U6)"),"{ ""103"": [""106""], ""104"": [""106""] }")</f>
        <v>{ "103": ["106"], "104": ["106"] }</v>
      </c>
      <c r="X6" s="31" t="str">
        <f>IFERROR(__xludf.DUMMYFUNCTION("AI(""Extract sku_mappings object from the json"", U6)"),"[{""sku"": ""PR001"", ""combination"": [""101"", ""102"", ""105""]}, {""sku"": ""PR001-3m-Silver"", ""combination"": [""101"", ""102"", ""106""]}, {""sku"": ""PR001-B"", ""combination"": [""101"", ""103"", ""105""]}, {""sku"": ""PR001-W"", ""combination"""&amp;": [""101"", ""104"", ""105""]}]")</f>
        <v>[{"sku": "PR001", "combination": ["101", "102", "105"]}, {"sku": "PR001-3m-Silver", "combination": ["101", "102", "106"]}, {"sku": "PR001-B", "combination": ["101", "103", "105"]}, {"sku": "PR001-W", "combination": ["101", "104", "105"]}]</v>
      </c>
      <c r="Y6" s="17" t="s">
        <v>42</v>
      </c>
      <c r="Z6" s="17" t="s">
        <v>64</v>
      </c>
      <c r="AA6" s="17" t="s">
        <v>44</v>
      </c>
      <c r="AB6" s="20"/>
      <c r="AC6" s="21" t="str">
        <f>IFERROR(__xludf.DUMMYFUNCTION("AI(""Generate 6 powerful unique keywords for the product in this row"")"),"Recessed LED Profile, Aluminium Light Channel, Flush Mount LED Extrusion, Architectural Linear Lighting, LED Strip Diffuser Channel, Recessed Aluminium Housing")</f>
        <v>Recessed LED Profile, Aluminium Light Channel, Flush Mount LED Extrusion, Architectural Linear Lighting, LED Strip Diffuser Channel, Recessed Aluminium Housing</v>
      </c>
      <c r="AD6" s="20" t="s">
        <v>65</v>
      </c>
    </row>
    <row r="7" ht="30.0" customHeight="1">
      <c r="A7" s="10"/>
      <c r="B7" s="22"/>
      <c r="C7" s="22"/>
      <c r="D7" s="22"/>
      <c r="E7" s="22"/>
      <c r="F7" s="23"/>
      <c r="G7" s="24"/>
      <c r="H7" s="23"/>
      <c r="I7" s="22"/>
      <c r="J7" s="22"/>
      <c r="K7" s="22"/>
      <c r="L7" s="11" t="s">
        <v>66</v>
      </c>
      <c r="M7" s="11" t="s">
        <v>67</v>
      </c>
      <c r="N7"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""&amp;M7)"),"Dimension | Finish | Profile Length")</f>
        <v>Dimension | Finish | Profile Length</v>
      </c>
      <c r="O7" s="15" t="s">
        <v>38</v>
      </c>
      <c r="P7" s="14" t="str">
        <f>IFERROR(__xludf.DUMMYFUNCTION("AI(""Using the labels""&amp;N7&amp;"" and values ""&amp;M7&amp;"" separated by character '|' and Using ""&amp;L7&amp;"" and key as 'SKU', Create a JSON object"")"),"{""SKU"": ""PR001-3m-Silver"", ""Dimension"": ""23.1mm (W) x 8.5mm (H)"", ""Finish"": ""Silver"", ""Profile Length"": ""3m""}")</f>
        <v>{"SKU": "PR001-3m-Silver", "Dimension": "23.1mm (W) x 8.5mm (H)", "Finish": "Silver", "Profile Length": "3m"}</v>
      </c>
      <c r="Q7" s="15" t="s">
        <v>68</v>
      </c>
      <c r="R7" s="25"/>
      <c r="S7" s="25"/>
      <c r="T7" s="25"/>
      <c r="U7" s="26"/>
      <c r="V7" s="25"/>
      <c r="W7" s="25"/>
      <c r="X7" s="25"/>
      <c r="Y7" s="17" t="s">
        <v>42</v>
      </c>
      <c r="Z7" s="17" t="s">
        <v>64</v>
      </c>
      <c r="AA7" s="17" t="s">
        <v>44</v>
      </c>
      <c r="AB7" s="20"/>
      <c r="AC7" s="20"/>
      <c r="AD7" s="20"/>
    </row>
    <row r="8" ht="30.0" customHeight="1">
      <c r="A8" s="10"/>
      <c r="B8" s="11"/>
      <c r="C8" s="22"/>
      <c r="D8" s="22"/>
      <c r="E8" s="22"/>
      <c r="F8" s="23"/>
      <c r="G8" s="24"/>
      <c r="H8" s="23"/>
      <c r="I8" s="22"/>
      <c r="J8" s="22"/>
      <c r="K8" s="22"/>
      <c r="L8" s="32" t="s">
        <v>69</v>
      </c>
      <c r="M8" s="11" t="s">
        <v>70</v>
      </c>
      <c r="N8"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""&amp;M8)"),"Dimension | Finish | Profile Length")</f>
        <v>Dimension | Finish | Profile Length</v>
      </c>
      <c r="O8" s="15" t="s">
        <v>38</v>
      </c>
      <c r="P8" s="14" t="str">
        <f>IFERROR(__xludf.DUMMYFUNCTION("AI(""Using the labels""&amp;N8&amp;"" and values ""&amp;M8&amp;"" separated by character '|' and Using ""&amp;L8&amp;"" and key as 'SKU', Create a JSON object"")"),"{""SKU"": ""PR001-B"", ""Dimension"": ""23.1mm (W) x 8.5mm (H)"", ""Finish"": ""Black"", ""Profile Length"": ""2m""}")</f>
        <v>{"SKU": "PR001-B", "Dimension": "23.1mm (W) x 8.5mm (H)", "Finish": "Black", "Profile Length": "2m"}</v>
      </c>
      <c r="Q8" s="15" t="s">
        <v>71</v>
      </c>
      <c r="R8" s="25"/>
      <c r="S8" s="25"/>
      <c r="T8" s="25"/>
      <c r="U8" s="26"/>
      <c r="V8" s="25"/>
      <c r="W8" s="25"/>
      <c r="X8" s="25"/>
      <c r="Y8" s="17" t="s">
        <v>42</v>
      </c>
      <c r="Z8" s="17" t="s">
        <v>64</v>
      </c>
      <c r="AA8" s="17" t="s">
        <v>44</v>
      </c>
      <c r="AB8" s="20"/>
      <c r="AC8" s="20"/>
      <c r="AD8" s="20"/>
    </row>
    <row r="9" ht="30.0" customHeight="1">
      <c r="A9" s="10"/>
      <c r="B9" s="22"/>
      <c r="C9" s="22"/>
      <c r="D9" s="22"/>
      <c r="E9" s="22"/>
      <c r="F9" s="23"/>
      <c r="G9" s="24"/>
      <c r="H9" s="23"/>
      <c r="I9" s="22"/>
      <c r="J9" s="22"/>
      <c r="K9" s="22"/>
      <c r="L9" s="11" t="s">
        <v>72</v>
      </c>
      <c r="M9" s="11" t="s">
        <v>73</v>
      </c>
      <c r="N9"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""&amp;M9)"),"Dimension | Finish | Profile Length")</f>
        <v>Dimension | Finish | Profile Length</v>
      </c>
      <c r="O9" s="15" t="s">
        <v>38</v>
      </c>
      <c r="P9" s="14" t="str">
        <f>IFERROR(__xludf.DUMMYFUNCTION("AI(""Using the labels""&amp;N9&amp;"" and values ""&amp;M9&amp;"" separated by character '|' and Using ""&amp;L9&amp;"" and key as 'SKU', Create a JSON object"")"),"{""SKU"": ""PR001-W"", ""Dimension"": ""23.1mm (W) x 8.5mm (H)"", ""Finish"": ""White"", ""Profile Length"": ""2m""}")</f>
        <v>{"SKU": "PR001-W", "Dimension": "23.1mm (W) x 8.5mm (H)", "Finish": "White", "Profile Length": "2m"}</v>
      </c>
      <c r="Q9" s="15" t="s">
        <v>74</v>
      </c>
      <c r="R9" s="25"/>
      <c r="S9" s="25"/>
      <c r="T9" s="25"/>
      <c r="U9" s="26"/>
      <c r="V9" s="25"/>
      <c r="W9" s="25"/>
      <c r="X9" s="25"/>
      <c r="Y9" s="17" t="s">
        <v>42</v>
      </c>
      <c r="Z9" s="17" t="s">
        <v>64</v>
      </c>
      <c r="AA9" s="17" t="s">
        <v>44</v>
      </c>
      <c r="AB9" s="20"/>
      <c r="AC9" s="20"/>
      <c r="AD9" s="20"/>
    </row>
    <row r="10" ht="30.0" customHeight="1">
      <c r="A10" s="10" t="s">
        <v>75</v>
      </c>
      <c r="B10" s="11" t="s">
        <v>76</v>
      </c>
      <c r="C10" s="11" t="s">
        <v>32</v>
      </c>
      <c r="D10" s="11" t="s">
        <v>77</v>
      </c>
      <c r="E10" s="11" t="s">
        <v>34</v>
      </c>
      <c r="F10" s="12" t="str">
        <f>IFERROR(__xludf.DUMMYFUNCTION("AI(""Give me a paragraph marketing spiel for product in this row, no tech specs just marketing fluff "")"),"Transform your living spaces into a breathtaking visual journey with a perfect blend of elegance and modern design. This premium lighting solution offers seamless integration into your home, casting a warm, sophisticated glow that effortlessly guides the "&amp;"way while enhancing the natural beauty of your architecture. Crafted for those who appreciate refined detail and discreet luxury, it adds an unparalleled touch of ambiance, warmth, and captivating style to any setting, making it the ultimate choice for el"&amp;"evated architectural illumination.")</f>
        <v>Transform your living spaces into a breathtaking visual journey with a perfect blend of elegance and modern design. This premium lighting solution offers seamless integration into your home, casting a warm, sophisticated glow that effortlessly guides the way while enhancing the natural beauty of your architecture. Crafted for those who appreciate refined detail and discreet luxury, it adds an unparalleled touch of ambiance, warmth, and captivating style to any setting, making it the ultimate choice for elevated architectural illumination.</v>
      </c>
      <c r="G10" s="13" t="s">
        <v>58</v>
      </c>
      <c r="H10" s="12" t="str">
        <f>IFERROR(__xludf.DUMMYFUNCTION("AI(""Give me a paragraph marketing spiel for product in this row, no tech specs just marketing fluff under 180 characters "")"),"Elevate your space with elegant design and discreet luxury, creating a sophisticated, seamless glow.")</f>
        <v>Elevate your space with elegant design and discreet luxury, creating a sophisticated, seamless glow.</v>
      </c>
      <c r="I10" s="11" t="s">
        <v>36</v>
      </c>
      <c r="J10" s="22"/>
      <c r="K10" s="22"/>
      <c r="L10" s="11" t="s">
        <v>75</v>
      </c>
      <c r="M10" s="11" t="s">
        <v>78</v>
      </c>
      <c r="N10"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""&amp;M10)"),"Dimension | Finish | Profile Length")</f>
        <v>Dimension | Finish | Profile Length</v>
      </c>
      <c r="O10" s="15" t="s">
        <v>38</v>
      </c>
      <c r="P10" s="14" t="str">
        <f>IFERROR(__xludf.DUMMYFUNCTION("AI(""Using the labels""&amp;N10&amp;"" and values ""&amp;M10&amp;"" separated by character '|' and Using ""&amp;L10&amp;"" and key as 'SKU', Create a JSON object"")"),"{""SKU"": ""PR002"", ""Dimension"": ""17.1mm (W) x 8mm (H)"", ""Finish"": ""Silver"", ""Profile Length"": ""2m""}")</f>
        <v>{"SKU": "PR002", "Dimension": "17.1mm (W) x 8mm (H)", "Finish": "Silver", "Profile Length": "2m"}</v>
      </c>
      <c r="Q10" s="15" t="s">
        <v>79</v>
      </c>
      <c r="R10" s="16"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Q10:Q13)"),"{""SKU"": [""PR002"", ""PR002-3m-Silver"", ""PR002-B"", ""PR002-W""], ""Dimension"": ""17.1mm (W) x 8mm (H)"", ""Finish"": [""Silver"", ""Black"", ""White""], ""Profile Length"": [""2m"", ""3m""]}")</f>
        <v>{"SKU": ["PR002", "PR002-3m-Silver", "PR002-B", "PR002-W"], "Dimension": "17.1mm (W) x 8mm (H)", "Finish": ["Silver", "Black", "White"], "Profile Length": ["2m", "3m"]}</v>
      </c>
      <c r="S10" s="17" t="s">
        <v>80</v>
      </c>
      <c r="T10" s="16"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CCT, IP Rating, Impact Strength).
   - Assign a unique sequential integer string ID to every attribute value, starting from """"101"""" and incrementing by 1 in "&amp;"the order they appear.
   - Format each attribute as an array of objects: `[{""""name"""": """"VALUE"""", """"id"""": """"ID""""}]`.
2. **Determine Constraints (Incompatibilities):**
   - Identify attribute pairs that are impossible or missing from the v"&amp;"alid combinations.
   - Specifically, map an ID of an Option Value to an array of Option Value IDs that **cannot** be selected with it.
   - Output constraints in the format: `""""OPTION_ID"""": [INCOMPATIBLE_OPTION_ID]`.
   - Only list meaningful non-emp"&amp;"ty constraints. Express constraints using the primary driving factor (e.g., optic limitation over CCT).
3. **Determine sku_mappings:**
   - Identify the valid combination and create a array with sku and combination containing array of options ID
4. **O"&amp;"utput Format:**
   - Return strictly valid JSON containing two root keys: """"Options"""", """"Constraints"""" and """"sku_mappings"""".
   - Do not wrap the JSON in conversational filler text.
---
### Example Input:
{""""SKU"""":""""HRS001"""", """"Pow"&amp;"er"""": """"1.2W"""", """"Optics"""": """"SYM30°"""", """"CCT"""": """"3000K"""", """"IP Rating"""": """"IP67"""", """"Impact Strength"""": """"IK10""""}
{""""SKU"""":""""HRS002"""", """"Power"""": """"1.2W"""", """"Optics"""": """"SYM30°"""", """"CCT"""""&amp;": """"4000K"""", """"IP Rating"""": """"IP67"""", """"Impact Strength"""": """"IK10""""}
{""""SKU"""":""""HRS003"""", """"Power"""": """"1.2W"""", """"Optics"""": """"SYM60°"""", """"CCT"""": """"3000K"""", """"IP Rating"""": """"IP67"""", """"Impact Stre"&amp;"ngth"""": """"IK10""""}
{""""SKU"""":""""HRS004"""", """"Power"""": """"1.2W"""", """"Optics"""": """"SYM60°"""", """"CCT"""": """"4000K"""", """"IP Rating"""": """"IP67"""", """"Impact Strength"""": """"IK10""""}
{""""SKU"""":""""HRS005"""", """"Power"""&amp;""": """"1.2W"""", """"Optics"""": """"ASYM50°"""", """"CCT"""": """"3000K"""", """"IP Rating"""": """"IP67"""", """"Impact Strength"""": """"IK10""""}
### Example Output:
{
  """"Options"""": {
    """"Power"""": [
      {""""name"""": """"1.2W"""", """""&amp;"id"""": """"101""""}
    ],
    """"Optics"""": [
      {""""name"""": """"SYM30°"""", """"id"""": """"102""""},
      {""""name"""": """"SYM60°"""", """"id"""": """"103""""},
      {""""name"""": """"ASYM50°"""", """"id"""": """"104""""}
    ],
    """"C"&amp;"CT"""": [
      {""""name"""": """"3000K"""", """"id"""": """"105""""},
      {""""name"""": """"4000K"""", """"id"""": """"106""""}
    ],
    """"IP Rating"""": [
      {""""name"""": """"IP67"""", """"id"""": """"107""""}
    ],
    """"Impact Strength"&amp;""""": [
      {""""name"""": """"IK10"""", """"id"""": """"108""""}
    ]
  },
  """"Constraints"""": {
    """"104"""": [106]
  },
""""sku_mappings"""": [
      { """"sku"""": """"HRS001"""", """"combination"""": [""""101"""", """"102"""", """"105"""", "&amp;"""""107"""", """"108""""] },
      { """"sku"""": """"HRS002"""", """"combination"""": [""""101"""", """"102"""", """"106"""", """"107"""", """"108""""] },
      { """"sku"""": """"HRS003"""", """"combination"""": [""""101"""", """"103"""", """"105"""", "&amp;"""""107"""", """"108""""] },
      { """"sku"""": """"HRS004"""", """"combination"""": [""""101"""", """"103"""", """"106"""", """"107"""", """"108""""] },
      { """"sku"""": """"HRS005"""", """"combination"""": [""""101"""", """"104"""", """"105"""", "&amp;"""""107"""", """"108""""] },
      { """"sku"""": """"HRS006"""", """"combination"""": [""""101"""", """"104"""", """"106"""", """"107"""", """"108""""] }
    ]
}
Process the following product variant combinations and output the """"Options"""" and """"C"&amp;"onstraints"""" JSON:"", Q10:Q13)"),"{
""Options"": {
""Dimension"": [
{
""name"": ""17.1mm (W) x 8mm (H)"",
""id"": ""101""
}
],
""Finish"": [
{
""name"": ""Silver"",
""id"": ""102""
},
{
""name"": ""Black"",
""id"": ""103""
},
{
""name"": ""White"",
""id"": ""104""
}
],
""Profile Length"":"&amp;" [
{
""name"": ""2m"",
""id"": ""105""
},
{
""name"": ""3m"",
""id"": ""106""
}
]
},
""Constraints"": {
""103"": [
""106""
],
""104"": [
""106""
]
},
""sku_mappings"": [
{
""sku"": ""PR002"",
""combination"": [
""101"",
""102"",
""105""
]
},
{
""sku"": """&amp;"PR002-3m-Silver"",
""combination"": [
""101"",
""102"",
""106""
]
},
{
""sku"": ""PR002-B"",
""combination"": [
""101"",
""103"",
""105""
]
},
{
""sku"": ""PR002-W"",
""combination"": [
""101"",
""104"",
""105""
]
}
]
}")</f>
        <v>{
"Options": {
"Dimension": [
{
"name": "17.1mm (W) x 8mm (H)",
"id": "101"
}
],
"Finish": [
{
"name": "Silver",
"id": "102"
},
{
"name": "Black",
"id": "103"
},
{
"name": "White",
"id": "104"
}
],
"Profile Length": [
{
"name": "2m",
"id": "105"
},
{
"name": "3m",
"id": "106"
}
]
},
"Constraints": {
"103": [
"106"
],
"104": [
"106"
]
},
"sku_mappings": [
{
"sku": "PR002",
"combination": [
"101",
"102",
"105"
]
},
{
"sku": "PR002-3m-Silver",
"combination": [
"101",
"102",
"106"
]
},
{
"sku": "PR002-B",
"combination": [
"101",
"103",
"105"
]
},
{
"sku": "PR002-W",
"combination": [
"101",
"104",
"105"
]
}
]
}</v>
      </c>
      <c r="U10" s="30" t="s">
        <v>81</v>
      </c>
      <c r="V10" s="31" t="str">
        <f>IFERROR(__xludf.DUMMYFUNCTION("AI(""Extract options object from the json"", U10)"),"{""Dimension"": [{""name"": ""17.1mm (W) x 8mm (H)"", ""id"": ""101""}], ""Finish"": [{""name"": ""Silver"", ""id"": ""102""}, {""name"": ""Black"", ""id"": ""103""}, {""name"": ""White"", ""id"": ""104""}], ""Profile Length"": [{""name"": ""2m"", ""id"":"&amp;" ""105""}, {""name"": ""3m"", ""id"": ""106""}]}")</f>
        <v>{"Dimension": [{"name": "17.1mm (W) x 8mm (H)", "id": "101"}], "Finish": [{"name": "Silver", "id": "102"}, {"name": "Black", "id": "103"}, {"name": "White", "id": "104"}], "Profile Length": [{"name": "2m", "id": "105"}, {"name": "3m", "id": "106"}]}</v>
      </c>
      <c r="W10" s="31" t="str">
        <f>IFERROR(__xludf.DUMMYFUNCTION("AI(""Extract constraints object from the json"", U10)"),"{""103"": [""106""], ""104"": [""106""]}")</f>
        <v>{"103": ["106"], "104": ["106"]}</v>
      </c>
      <c r="X10" s="31" t="str">
        <f>IFERROR(__xludf.DUMMYFUNCTION("AI(""Extract sku_mappings object from the json"", U10)"),"[{""sku"": ""PR002"", ""combination"": [""101"", ""102"", ""105""]}, {""sku"": ""PR002-3m-Silver"", ""combination"": [""101"", ""102"", ""106""]}, {""sku"": ""PR002-B"", ""combination"": [""101"", ""103"", ""105""]}, {""sku"": ""PR002-W"", ""combination"""&amp;": [""101"", ""104"", ""105""]}]")</f>
        <v>[{"sku": "PR002", "combination": ["101", "102", "105"]}, {"sku": "PR002-3m-Silver", "combination": ["101", "102", "106"]}, {"sku": "PR002-B", "combination": ["101", "103", "105"]}, {"sku": "PR002-W", "combination": ["101", "104", "105"]}]</v>
      </c>
      <c r="Y10" s="17" t="s">
        <v>42</v>
      </c>
      <c r="Z10" s="17" t="s">
        <v>82</v>
      </c>
      <c r="AA10" s="17" t="s">
        <v>44</v>
      </c>
      <c r="AB10" s="20"/>
      <c r="AC10" s="21" t="str">
        <f>IFERROR(__xludf.DUMMYFUNCTION("AI(""Generate 6 powerful unique keywords for the product in this row"")"),"Surface Mount LED Channel, Aluminium Extrusion Profile, Linear Light Housing, LED Strip Diffuser Channel, Surface Mounted LED Housing, Architectural Linear Lighting")</f>
        <v>Surface Mount LED Channel, Aluminium Extrusion Profile, Linear Light Housing, LED Strip Diffuser Channel, Surface Mounted LED Housing, Architectural Linear Lighting</v>
      </c>
      <c r="AD10" s="20" t="s">
        <v>83</v>
      </c>
    </row>
    <row r="11" ht="30.0" customHeight="1">
      <c r="A11" s="10"/>
      <c r="B11" s="11"/>
      <c r="C11" s="11"/>
      <c r="D11" s="10"/>
      <c r="E11" s="11"/>
      <c r="F11" s="12"/>
      <c r="G11" s="13"/>
      <c r="H11" s="12"/>
      <c r="I11" s="11"/>
      <c r="J11" s="22"/>
      <c r="K11" s="22"/>
      <c r="L11" s="11" t="s">
        <v>84</v>
      </c>
      <c r="M11" s="11" t="s">
        <v>85</v>
      </c>
      <c r="N11"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""&amp;M11)"),"Dimension | Finish | Profile Length")</f>
        <v>Dimension | Finish | Profile Length</v>
      </c>
      <c r="O11" s="15" t="s">
        <v>38</v>
      </c>
      <c r="P11" s="14" t="str">
        <f>IFERROR(__xludf.DUMMYFUNCTION("AI(""Using the labels""&amp;N11&amp;"" and values ""&amp;M11&amp;"" separated by character '|' and Using ""&amp;L11&amp;"" and key as 'SKU', Create a JSON object"")"),"{""SKU"": ""PR002-3m-Silver"", ""Dimension"": ""17.1mm (W) x 8mm (H)"", ""Finish"": ""Silver"", ""Profile Length"": ""3m""}")</f>
        <v>{"SKU": "PR002-3m-Silver", "Dimension": "17.1mm (W) x 8mm (H)", "Finish": "Silver", "Profile Length": "3m"}</v>
      </c>
      <c r="Q11" s="15" t="s">
        <v>86</v>
      </c>
      <c r="R11" s="27"/>
      <c r="S11" s="28"/>
      <c r="T11" s="27"/>
      <c r="U11" s="29"/>
      <c r="V11" s="17"/>
      <c r="W11" s="17"/>
      <c r="X11" s="17"/>
      <c r="Y11" s="17" t="s">
        <v>42</v>
      </c>
      <c r="Z11" s="17" t="s">
        <v>82</v>
      </c>
      <c r="AA11" s="17" t="s">
        <v>44</v>
      </c>
      <c r="AB11" s="20"/>
      <c r="AC11" s="20"/>
      <c r="AD11" s="20"/>
    </row>
    <row r="12" ht="30.0" customHeight="1">
      <c r="A12" s="27"/>
      <c r="B12" s="11"/>
      <c r="C12" s="22"/>
      <c r="D12" s="22"/>
      <c r="E12" s="22"/>
      <c r="F12" s="23"/>
      <c r="G12" s="24"/>
      <c r="H12" s="23"/>
      <c r="I12" s="22"/>
      <c r="J12" s="22"/>
      <c r="K12" s="22"/>
      <c r="L12" s="11" t="s">
        <v>87</v>
      </c>
      <c r="M12" s="11" t="s">
        <v>88</v>
      </c>
      <c r="N12"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""&amp;M12)"),"Dimension | Finish | Profile Length")</f>
        <v>Dimension | Finish | Profile Length</v>
      </c>
      <c r="O12" s="15" t="s">
        <v>38</v>
      </c>
      <c r="P12" s="14" t="str">
        <f>IFERROR(__xludf.DUMMYFUNCTION("AI(""Using the labels""&amp;N12&amp;"" and values ""&amp;M12&amp;"" separated by character '|' and Using ""&amp;L12&amp;"" and key as 'SKU', Create a JSON object"")"),"{""SKU"": ""PR002-B"", ""Dimension"": ""17.1mm (W) x 8mm (H)"", ""Finish"": ""Black"", ""Profile Length"": ""2m""}")</f>
        <v>{"SKU": "PR002-B", "Dimension": "17.1mm (W) x 8mm (H)", "Finish": "Black", "Profile Length": "2m"}</v>
      </c>
      <c r="Q12" s="15" t="s">
        <v>89</v>
      </c>
      <c r="R12" s="25"/>
      <c r="S12" s="25"/>
      <c r="T12" s="25"/>
      <c r="U12" s="26"/>
      <c r="V12" s="25"/>
      <c r="W12" s="25"/>
      <c r="X12" s="25"/>
      <c r="Y12" s="17" t="s">
        <v>42</v>
      </c>
      <c r="Z12" s="17" t="s">
        <v>82</v>
      </c>
      <c r="AA12" s="17" t="s">
        <v>44</v>
      </c>
      <c r="AB12" s="20"/>
      <c r="AC12" s="20"/>
      <c r="AD12" s="20"/>
    </row>
    <row r="13" ht="30.0" customHeight="1">
      <c r="A13" s="10"/>
      <c r="B13" s="22"/>
      <c r="C13" s="22"/>
      <c r="D13" s="22"/>
      <c r="E13" s="22"/>
      <c r="F13" s="23"/>
      <c r="G13" s="24"/>
      <c r="H13" s="23"/>
      <c r="I13" s="22"/>
      <c r="J13" s="22"/>
      <c r="K13" s="22"/>
      <c r="L13" s="11" t="s">
        <v>90</v>
      </c>
      <c r="M13" s="11" t="s">
        <v>91</v>
      </c>
      <c r="N13"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""&amp;M13)"),"Dimension | Finish | Profile Length")</f>
        <v>Dimension | Finish | Profile Length</v>
      </c>
      <c r="O13" s="15" t="s">
        <v>38</v>
      </c>
      <c r="P13" s="14" t="str">
        <f>IFERROR(__xludf.DUMMYFUNCTION("AI(""Using the labels""&amp;N13&amp;"" and values ""&amp;M13&amp;"" separated by character '|' and Using ""&amp;L13&amp;"" and key as 'SKU', Create a JSON object"")"),"{""SKU"": ""PR002-W"", ""Dimension"": ""17.1mm (W) x 8mm (H)"", ""Finish"": ""White"", ""Profile Length"": ""2m""}")</f>
        <v>{"SKU": "PR002-W", "Dimension": "17.1mm (W) x 8mm (H)", "Finish": "White", "Profile Length": "2m"}</v>
      </c>
      <c r="Q13" s="15" t="s">
        <v>92</v>
      </c>
      <c r="R13" s="25"/>
      <c r="S13" s="25"/>
      <c r="T13" s="25"/>
      <c r="U13" s="26"/>
      <c r="V13" s="25"/>
      <c r="W13" s="25"/>
      <c r="X13" s="25"/>
      <c r="Y13" s="17" t="s">
        <v>42</v>
      </c>
      <c r="Z13" s="17" t="s">
        <v>82</v>
      </c>
      <c r="AA13" s="17" t="s">
        <v>44</v>
      </c>
      <c r="AB13" s="20"/>
      <c r="AC13" s="20"/>
      <c r="AD13" s="20"/>
    </row>
    <row r="14" ht="30.0" customHeight="1">
      <c r="A14" s="10" t="s">
        <v>93</v>
      </c>
      <c r="B14" s="11" t="s">
        <v>56</v>
      </c>
      <c r="C14" s="11" t="s">
        <v>32</v>
      </c>
      <c r="D14" s="11" t="s">
        <v>94</v>
      </c>
      <c r="E14" s="11" t="s">
        <v>34</v>
      </c>
      <c r="F14" s="12" t="str">
        <f>IFERROR(__xludf.DUMMYFUNCTION("AI(""Give me a paragraph marketing spiel for product in this row, no tech specs just marketing fluff "")"),"Transform your living spaces into a breathtaking visual journey with a perfect blend of elegance and modern design. This premium lighting solution offers seamless integration into your home, casting a warm, sophisticated glow that effortlessly guides the "&amp;"way while enhancing the natural beauty of your architecture. Crafted for those who appreciate refined detail and discreet luxury, it adds an unparalleled touch of ambiance, warmth, and captivating style to any setting, making it the ultimate choice for el"&amp;"evated architectural illumination.")</f>
        <v>Transform your living spaces into a breathtaking visual journey with a perfect blend of elegance and modern design. This premium lighting solution offers seamless integration into your home, casting a warm, sophisticated glow that effortlessly guides the way while enhancing the natural beauty of your architecture. Crafted for those who appreciate refined detail and discreet luxury, it adds an unparalleled touch of ambiance, warmth, and captivating style to any setting, making it the ultimate choice for elevated architectural illumination.</v>
      </c>
      <c r="G14" s="13" t="s">
        <v>58</v>
      </c>
      <c r="H14" s="12" t="str">
        <f>IFERROR(__xludf.DUMMYFUNCTION("AI(""Give me a paragraph marketing spiel for product in this row, no tech specs just marketing fluff under 180 characters "")"),"Transform your home with effortless elegance and a warm, sophisticated glow that beautifully enhances your space.")</f>
        <v>Transform your home with effortless elegance and a warm, sophisticated glow that beautifully enhances your space.</v>
      </c>
      <c r="I14" s="11" t="s">
        <v>95</v>
      </c>
      <c r="J14" s="22"/>
      <c r="K14" s="22"/>
      <c r="L14" s="11" t="s">
        <v>93</v>
      </c>
      <c r="M14" s="11" t="s">
        <v>96</v>
      </c>
      <c r="N14"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""&amp;M14)"),"Dimension | Finish | Profile Length")</f>
        <v>Dimension | Finish | Profile Length</v>
      </c>
      <c r="O14" s="15" t="s">
        <v>38</v>
      </c>
      <c r="P14" s="14" t="str">
        <f>IFERROR(__xludf.DUMMYFUNCTION("AI(""Using the labels""&amp;N14&amp;"" and values ""&amp;M14&amp;"" separated by character '|' and Using ""&amp;L14&amp;"" and key as 'SKU', Create a JSON object"")"),"{""SKU"": ""PR005"", ""Dimension"": ""23.2mm (W) x 15.3mm (H)"", ""Finish"": ""Silver"", ""Profile Length"": ""2m""}")</f>
        <v>{"SKU": "PR005", "Dimension": "23.2mm (W) x 15.3mm (H)", "Finish": "Silver", "Profile Length": "2m"}</v>
      </c>
      <c r="Q14" s="15" t="s">
        <v>97</v>
      </c>
      <c r="R14" s="16"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Q14:Q17)"),"{""SKU"": [""PR005"", ""PR005-3m-Silver"", ""PR005-B"", ""PR005-W""], ""Dimension"": ""23.2mm (W) x 15.3mm (H)"", ""Finish"": [""Silver"", ""Black"", ""White""], ""Profile Length"": [""2m"", ""3m""]}")</f>
        <v>{"SKU": ["PR005", "PR005-3m-Silver", "PR005-B", "PR005-W"], "Dimension": "23.2mm (W) x 15.3mm (H)", "Finish": ["Silver", "Black", "White"], "Profile Length": ["2m", "3m"]}</v>
      </c>
      <c r="S14" s="17" t="s">
        <v>98</v>
      </c>
      <c r="T14" s="16"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CCT, IP Rating, Impact Strength).
   - Assign a unique sequential integer string ID to every attribute value, starting from """"101"""" and incrementing by 1 in "&amp;"the order they appear.
   - Format each attribute as an array of objects: `[{""""name"""": """"VALUE"""", """"id"""": """"ID""""}]`.
2. **Determine Constraints (Incompatibilities):**
   - Identify attribute pairs that are impossible or missing from the v"&amp;"alid combinations.
   - Specifically, map an ID of an Option Value to an array of Option Value IDs that **cannot** be selected with it.
   - Output constraints in the format: `""""OPTION_ID"""": [INCOMPATIBLE_OPTION_ID]`.
   - Only list meaningful non-emp"&amp;"ty constraints. Express constraints using the primary driving factor (e.g., optic limitation over CCT).
3. **Determine sku_mappings:**
   - Identify the valid combination and create a array with sku and combination containing array of options ID
4. **O"&amp;"utput Format:**
   - Return strictly valid JSON containing two root keys: """"Options"""", """"Constraints"""" and """"sku_mappings"""".
   - Do not wrap the JSON in conversational filler text.
---
### Example Input:
{""""SKU"""":""""HRS001"""", """"Pow"&amp;"er"""": """"1.2W"""", """"Optics"""": """"SYM30°"""", """"CCT"""": """"3000K"""", """"IP Rating"""": """"IP67"""", """"Impact Strength"""": """"IK10""""}
{""""SKU"""":""""HRS002"""", """"Power"""": """"1.2W"""", """"Optics"""": """"SYM30°"""", """"CCT"""""&amp;": """"4000K"""", """"IP Rating"""": """"IP67"""", """"Impact Strength"""": """"IK10""""}
{""""SKU"""":""""HRS003"""", """"Power"""": """"1.2W"""", """"Optics"""": """"SYM60°"""", """"CCT"""": """"3000K"""", """"IP Rating"""": """"IP67"""", """"Impact Stre"&amp;"ngth"""": """"IK10""""}
{""""SKU"""":""""HRS004"""", """"Power"""": """"1.2W"""", """"Optics"""": """"SYM60°"""", """"CCT"""": """"4000K"""", """"IP Rating"""": """"IP67"""", """"Impact Strength"""": """"IK10""""}
{""""SKU"""":""""HRS005"""", """"Power"""&amp;""": """"1.2W"""", """"Optics"""": """"ASYM50°"""", """"CCT"""": """"3000K"""", """"IP Rating"""": """"IP67"""", """"Impact Strength"""": """"IK10""""}
### Example Output:
{
  """"Options"""": {
    """"Power"""": [
      {""""name"""": """"1.2W"""", """""&amp;"id"""": """"101""""}
    ],
    """"Optics"""": [
      {""""name"""": """"SYM30°"""", """"id"""": """"102""""},
      {""""name"""": """"SYM60°"""", """"id"""": """"103""""},
      {""""name"""": """"ASYM50°"""", """"id"""": """"104""""}
    ],
    """"C"&amp;"CT"""": [
      {""""name"""": """"3000K"""", """"id"""": """"105""""},
      {""""name"""": """"4000K"""", """"id"""": """"106""""}
    ],
    """"IP Rating"""": [
      {""""name"""": """"IP67"""", """"id"""": """"107""""}
    ],
    """"Impact Strength"&amp;""""": [
      {""""name"""": """"IK10"""", """"id"""": """"108""""}
    ]
  },
  """"Constraints"""": {
    """"104"""": [106]
  },
""""sku_mappings"""": [
      { """"sku"""": """"HRS001"""", """"combination"""": [""""101"""", """"102"""", """"105"""", "&amp;"""""107"""", """"108""""] },
      { """"sku"""": """"HRS002"""", """"combination"""": [""""101"""", """"102"""", """"106"""", """"107"""", """"108""""] },
      { """"sku"""": """"HRS003"""", """"combination"""": [""""101"""", """"103"""", """"105"""", "&amp;"""""107"""", """"108""""] },
      { """"sku"""": """"HRS004"""", """"combination"""": [""""101"""", """"103"""", """"106"""", """"107"""", """"108""""] },
      { """"sku"""": """"HRS005"""", """"combination"""": [""""101"""", """"104"""", """"105"""", "&amp;"""""107"""", """"108""""] },
      { """"sku"""": """"HRS006"""", """"combination"""": [""""101"""", """"104"""", """"106"""", """"107"""", """"108""""] }
    ]
}
Process the following product variant combinations and output the """"Options"""" and """"C"&amp;"onstraints"""" JSON:"", Q14:Q17)"),"{ ""Options"": { ""Dimension"": [ {""name"": ""23.2mm (W) x 15.3mm (H)"", ""id"": ""101""} ], ""Finish"": [ {""name"": ""Silver"", ""id"": ""102""}, {""name"": ""Black"", ""id"": ""103""}, {""name"": ""White"", ""id"": ""104""} ], ""Profile Length"": [ {"&amp;"""name"": ""2m"", ""id"": ""105""}, {""name"": ""3m"", ""id"": ""106""} ] }, ""Constraints"": { ""103"": [""106""], ""104"": [""106""] }, ""sku_mappings"": [ { ""sku"": ""PR005"", ""combination"": [""101"", ""102"", ""105""] }, { ""sku"": ""PR005-3m-Silve"&amp;"r"", ""combination"": [""101"", ""102"", ""106""] }, { ""sku"": ""PR005-B"", ""combination"": [""101"", ""103"", ""105""] }, { ""sku"": ""PR005-W"", ""combination"": [""101"", ""104"", ""105""] } ] }")</f>
        <v>{ "Options": { "Dimension": [ {"name": "23.2mm (W) x 15.3mm (H)", "id": "101"} ], "Finish": [ {"name": "Silver", "id": "102"}, {"name": "Black", "id": "103"}, {"name": "White", "id": "104"} ], "Profile Length": [ {"name": "2m", "id": "105"}, {"name": "3m", "id": "106"} ] }, "Constraints": { "103": ["106"], "104": ["106"] }, "sku_mappings": [ { "sku": "PR005", "combination": ["101", "102", "105"] }, { "sku": "PR005-3m-Silver", "combination": ["101", "102", "106"] }, { "sku": "PR005-B", "combination": ["101", "103", "105"] }, { "sku": "PR005-W", "combination": ["101", "104", "105"] } ] }</v>
      </c>
      <c r="U14" s="30" t="s">
        <v>99</v>
      </c>
      <c r="V14" s="31" t="str">
        <f>IFERROR(__xludf.DUMMYFUNCTION("AI(""Extract options object from the json"", U14)"),"{ ""Dimension"": [ {""name"": ""23.2mm (W) x 15.3mm (H)"", ""id"": ""101""} ], ""Finish"": [ {""name"": ""Silver"", ""id"": ""102""}, {""name"": ""Black"", ""id"": ""103""}, {""name"": ""White"", ""id"": ""104""} ], ""Profile Length"": [ {""name"": ""2m"""&amp;", ""id"": ""105""}, {""name"": ""3m"", ""id"": ""106""} ] }")</f>
        <v>{ "Dimension": [ {"name": "23.2mm (W) x 15.3mm (H)", "id": "101"} ], "Finish": [ {"name": "Silver", "id": "102"}, {"name": "Black", "id": "103"}, {"name": "White", "id": "104"} ], "Profile Length": [ {"name": "2m", "id": "105"}, {"name": "3m", "id": "106"} ] }</v>
      </c>
      <c r="W14" s="31" t="str">
        <f>IFERROR(__xludf.DUMMYFUNCTION("AI(""Extract constraints object from the json"", U14)"),"{""103"": [""106""], ""104"": [""106""]}")</f>
        <v>{"103": ["106"], "104": ["106"]}</v>
      </c>
      <c r="X14" s="31" t="str">
        <f>IFERROR(__xludf.DUMMYFUNCTION("AI(""Extract sku_mappings object from the json"", U14)"),"[ { ""sku"": ""PR005"", ""combination"": [""101"", ""102"", ""105""] }, { ""sku"": ""PR005-3m-Silver"", ""combination"": [""101"", ""102"", ""106""] }, { ""sku"": ""PR005-B"", ""combination"": [""101"", ""103"", ""105""] }, { ""sku"": ""PR005-W"", ""combi"&amp;"nation"": [""101"", ""104"", ""105""] } ]")</f>
        <v>[ { "sku": "PR005", "combination": ["101", "102", "105"] }, { "sku": "PR005-3m-Silver", "combination": ["101", "102", "106"] }, { "sku": "PR005-B", "combination": ["101", "103", "105"] }, { "sku": "PR005-W", "combination": ["101", "104", "105"] } ]</v>
      </c>
      <c r="Y14" s="17" t="s">
        <v>42</v>
      </c>
      <c r="Z14" s="17" t="s">
        <v>100</v>
      </c>
      <c r="AA14" s="17" t="s">
        <v>44</v>
      </c>
      <c r="AB14" s="20"/>
      <c r="AC14" s="21" t="str">
        <f>IFERROR(__xludf.DUMMYFUNCTION("AI(""Generate 6 powerful unique keywords for the product in this row separated by comma"")"),"Deep recessed LED channel, Aluminium extrusion profile, Architectural linear housing, Flush mount LED channel, Deep LED light diffuser, Ceiling recessed extrusion")</f>
        <v>Deep recessed LED channel, Aluminium extrusion profile, Architectural linear housing, Flush mount LED channel, Deep LED light diffuser, Ceiling recessed extrusion</v>
      </c>
      <c r="AD14" s="20" t="s">
        <v>101</v>
      </c>
    </row>
    <row r="15" ht="30.0" customHeight="1">
      <c r="A15" s="10"/>
      <c r="B15" s="11"/>
      <c r="C15" s="22"/>
      <c r="D15" s="22"/>
      <c r="E15" s="22"/>
      <c r="F15" s="23"/>
      <c r="G15" s="24"/>
      <c r="H15" s="23"/>
      <c r="I15" s="22"/>
      <c r="J15" s="22"/>
      <c r="K15" s="22"/>
      <c r="L15" s="11" t="s">
        <v>102</v>
      </c>
      <c r="M15" s="11" t="s">
        <v>103</v>
      </c>
      <c r="N15"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""&amp;M15)"),"Dimension | Finish | Profile Length")</f>
        <v>Dimension | Finish | Profile Length</v>
      </c>
      <c r="O15" s="15" t="s">
        <v>38</v>
      </c>
      <c r="P15" s="14" t="str">
        <f>IFERROR(__xludf.DUMMYFUNCTION("AI(""Using the labels""&amp;N15&amp;"" and values ""&amp;M15&amp;"" separated by character '|' and Using ""&amp;L15&amp;"" and key as 'SKU', Create a JSON object"")"),"{""SKU"": ""PR005-3m-Silver"", ""Dimension"": ""23.2mm (W) x 15.3mm (H)"", ""Finish"": ""Silver"", ""Profile Length"": ""3m""}")</f>
        <v>{"SKU": "PR005-3m-Silver", "Dimension": "23.2mm (W) x 15.3mm (H)", "Finish": "Silver", "Profile Length": "3m"}</v>
      </c>
      <c r="Q15" s="15" t="s">
        <v>104</v>
      </c>
      <c r="R15" s="25"/>
      <c r="S15" s="25"/>
      <c r="T15" s="25"/>
      <c r="U15" s="26"/>
      <c r="V15" s="25"/>
      <c r="W15" s="25"/>
      <c r="X15" s="25"/>
      <c r="Y15" s="17" t="s">
        <v>42</v>
      </c>
      <c r="Z15" s="17" t="s">
        <v>100</v>
      </c>
      <c r="AA15" s="17" t="s">
        <v>44</v>
      </c>
      <c r="AB15" s="20"/>
      <c r="AC15" s="20"/>
      <c r="AD15" s="20"/>
    </row>
    <row r="16" ht="30.0" customHeight="1">
      <c r="A16" s="10"/>
      <c r="B16" s="22"/>
      <c r="C16" s="22"/>
      <c r="D16" s="22"/>
      <c r="E16" s="22"/>
      <c r="F16" s="23"/>
      <c r="G16" s="24"/>
      <c r="H16" s="23"/>
      <c r="I16" s="22"/>
      <c r="J16" s="22"/>
      <c r="K16" s="22"/>
      <c r="L16" s="11" t="s">
        <v>105</v>
      </c>
      <c r="M16" s="11" t="s">
        <v>106</v>
      </c>
      <c r="N16"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""&amp;M16)"),"Dimension | Finish | Profile Length")</f>
        <v>Dimension | Finish | Profile Length</v>
      </c>
      <c r="O16" s="15" t="s">
        <v>38</v>
      </c>
      <c r="P16" s="14" t="str">
        <f>IFERROR(__xludf.DUMMYFUNCTION("AI(""Using the labels""&amp;N16&amp;"" and values ""&amp;M16&amp;"" separated by character '|' and Using ""&amp;L16&amp;"" and key as 'SKU', Create a JSON object"")"),"{""SKU"": ""PR005-B"", ""Dimension"": ""23.2mm (W) x 15.3mm (H)"", ""Finish"": ""Black"", ""Profile Length"": ""2m""}")</f>
        <v>{"SKU": "PR005-B", "Dimension": "23.2mm (W) x 15.3mm (H)", "Finish": "Black", "Profile Length": "2m"}</v>
      </c>
      <c r="Q16" s="15" t="s">
        <v>107</v>
      </c>
      <c r="R16" s="25"/>
      <c r="S16" s="25"/>
      <c r="T16" s="25"/>
      <c r="U16" s="26"/>
      <c r="V16" s="25"/>
      <c r="W16" s="25"/>
      <c r="X16" s="25"/>
      <c r="Y16" s="17" t="s">
        <v>42</v>
      </c>
      <c r="Z16" s="17" t="s">
        <v>100</v>
      </c>
      <c r="AA16" s="17" t="s">
        <v>44</v>
      </c>
      <c r="AB16" s="20"/>
      <c r="AC16" s="20"/>
      <c r="AD16" s="20"/>
    </row>
    <row r="17" ht="30.0" customHeight="1">
      <c r="A17" s="10"/>
      <c r="B17" s="22"/>
      <c r="C17" s="22"/>
      <c r="D17" s="22"/>
      <c r="E17" s="22"/>
      <c r="F17" s="23"/>
      <c r="G17" s="24"/>
      <c r="H17" s="23"/>
      <c r="I17" s="22"/>
      <c r="J17" s="22"/>
      <c r="K17" s="22"/>
      <c r="L17" s="11" t="s">
        <v>108</v>
      </c>
      <c r="M17" s="11" t="s">
        <v>109</v>
      </c>
      <c r="N17"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""&amp;M17)"),"Dimension | Finish | Profile Length")</f>
        <v>Dimension | Finish | Profile Length</v>
      </c>
      <c r="O17" s="15" t="s">
        <v>38</v>
      </c>
      <c r="P17" s="14" t="str">
        <f>IFERROR(__xludf.DUMMYFUNCTION("AI(""Using the labels""&amp;N17&amp;"" and values ""&amp;M17&amp;"" separated by character '|' and Using ""&amp;L17&amp;"" and key as 'SKU', Create a JSON object"")"),"{""SKU"": ""PR005-W"", ""Dimension"": ""23.2mm (W) x 15.3mm (H)"", ""Finish"": ""White"", ""Profile Length"": ""2m""}")</f>
        <v>{"SKU": "PR005-W", "Dimension": "23.2mm (W) x 15.3mm (H)", "Finish": "White", "Profile Length": "2m"}</v>
      </c>
      <c r="Q17" s="15" t="s">
        <v>110</v>
      </c>
      <c r="R17" s="25"/>
      <c r="S17" s="25"/>
      <c r="T17" s="25"/>
      <c r="U17" s="26"/>
      <c r="V17" s="25"/>
      <c r="W17" s="25"/>
      <c r="X17" s="25"/>
      <c r="Y17" s="17" t="s">
        <v>42</v>
      </c>
      <c r="Z17" s="17" t="s">
        <v>100</v>
      </c>
      <c r="AA17" s="17" t="s">
        <v>44</v>
      </c>
      <c r="AB17" s="20"/>
      <c r="AC17" s="20"/>
      <c r="AD17" s="20"/>
    </row>
    <row r="18" ht="30.0" customHeight="1">
      <c r="A18" s="10" t="s">
        <v>111</v>
      </c>
      <c r="B18" s="11" t="s">
        <v>76</v>
      </c>
      <c r="C18" s="11" t="s">
        <v>32</v>
      </c>
      <c r="D18" s="11" t="s">
        <v>112</v>
      </c>
      <c r="E18" s="11" t="s">
        <v>34</v>
      </c>
      <c r="F18" s="12" t="str">
        <f>IFERROR(__xludf.DUMMYFUNCTION("AI(""Give me a paragraph marketing spiel for product in this row, no tech specs just marketing fluff "")"),"Transform your living spaces into a breathtaking visual journey with a perfect blend of elegance and modern design. This premium lighting solution offers seamless integration into your home, casting a warm, sophisticated glow that effortlessly guides the "&amp;"way while enhancing the natural beauty of your architecture. Crafted for those who appreciate refined detail and discreet luxury, it adds an unparalleled touch of ambiance, warmth, and captivating style to any setting, making it the ultimate choice for el"&amp;"evated architectural illumination.")</f>
        <v>Transform your living spaces into a breathtaking visual journey with a perfect blend of elegance and modern design. This premium lighting solution offers seamless integration into your home, casting a warm, sophisticated glow that effortlessly guides the way while enhancing the natural beauty of your architecture. Crafted for those who appreciate refined detail and discreet luxury, it adds an unparalleled touch of ambiance, warmth, and captivating style to any setting, making it the ultimate choice for elevated architectural illumination.</v>
      </c>
      <c r="G18" s="13" t="s">
        <v>58</v>
      </c>
      <c r="H18" s="12" t="str">
        <f>IFERROR(__xludf.DUMMYFUNCTION("AI(""Give me a paragraph marketing spiel for product in this row, no tech specs just marketing fluff under 180 characters "")"),"Elevate your space with elegant design and discreet luxury, creating a sophisticated, seamless glow.")</f>
        <v>Elevate your space with elegant design and discreet luxury, creating a sophisticated, seamless glow.</v>
      </c>
      <c r="I18" s="11" t="s">
        <v>36</v>
      </c>
      <c r="J18" s="22"/>
      <c r="K18" s="22"/>
      <c r="L18" s="11" t="s">
        <v>111</v>
      </c>
      <c r="M18" s="11" t="s">
        <v>113</v>
      </c>
      <c r="N18"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""&amp;M18)"),"Dimension | Finish | Profile Length")</f>
        <v>Dimension | Finish | Profile Length</v>
      </c>
      <c r="O18" s="15" t="s">
        <v>38</v>
      </c>
      <c r="P18" s="14" t="str">
        <f>IFERROR(__xludf.DUMMYFUNCTION("AI(""Using the labels""&amp;N18&amp;"" and values ""&amp;M18&amp;"" separated by character '|' and Using ""&amp;L18&amp;"" and key as 'SKU', Create a JSON object"")"),"{""SKU"": ""PR006"", ""Dimension"": ""17.1mm (W) x 15.3mm (H)"", ""Finish"": ""Silver"", ""Profile Length"": ""2m""}")</f>
        <v>{"SKU": "PR006", "Dimension": "17.1mm (W) x 15.3mm (H)", "Finish": "Silver", "Profile Length": "2m"}</v>
      </c>
      <c r="Q18" s="15" t="s">
        <v>114</v>
      </c>
      <c r="R18" s="16"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Q18:Q21)"),"{""SKU"": [""PR006"", ""PR006-3m-Silver"", ""PR006-B"", ""PR006-W""], ""Dimension"": ""17.1mm (W) x 15.3mm (H)"", ""Finish"": [""Silver"", ""Black"", ""White""], ""Profile Length"": [""2m"", ""3m""]}")</f>
        <v>{"SKU": ["PR006", "PR006-3m-Silver", "PR006-B", "PR006-W"], "Dimension": "17.1mm (W) x 15.3mm (H)", "Finish": ["Silver", "Black", "White"], "Profile Length": ["2m", "3m"]}</v>
      </c>
      <c r="S18" s="17" t="s">
        <v>115</v>
      </c>
      <c r="T18" s="16"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CCT, IP Rating, Impact Strength).
   - Assign a unique sequential integer string ID to every attribute value, starting from """"101"""" and incrementing by 1 in "&amp;"the order they appear.
   - Format each attribute as an array of objects: `[{""""name"""": """"VALUE"""", """"id"""": """"ID""""}]`.
2. **Determine Constraints (Incompatibilities):**
   - Identify attribute pairs that are impossible or missing from the v"&amp;"alid combinations.
   - Specifically, map an ID of an Option Value to an array of Option Value IDs that **cannot** be selected with it.
   - Output constraints in the format: `""""OPTION_ID"""": [INCOMPATIBLE_OPTION_ID]`.
   - Only list meaningful non-emp"&amp;"ty constraints. Express constraints using the primary driving factor (e.g., optic limitation over CCT).
3. **Determine sku_mappings:**
   - Identify the valid combination and create a array with sku and combination containing array of options ID
4. **O"&amp;"utput Format:**
   - Return strictly valid JSON containing two root keys: """"Options"""", """"Constraints"""" and """"sku_mappings"""".
   - Do not wrap the JSON in conversational filler text.
---
### Example Input:
{""""SKU"""":""""HRS001"""", """"Pow"&amp;"er"""": """"1.2W"""", """"Optics"""": """"SYM30°"""", """"CCT"""": """"3000K"""", """"IP Rating"""": """"IP67"""", """"Impact Strength"""": """"IK10""""}
{""""SKU"""":""""HRS002"""", """"Power"""": """"1.2W"""", """"Optics"""": """"SYM30°"""", """"CCT"""""&amp;": """"4000K"""", """"IP Rating"""": """"IP67"""", """"Impact Strength"""": """"IK10""""}
{""""SKU"""":""""HRS003"""", """"Power"""": """"1.2W"""", """"Optics"""": """"SYM60°"""", """"CCT"""": """"3000K"""", """"IP Rating"""": """"IP67"""", """"Impact Stre"&amp;"ngth"""": """"IK10""""}
{""""SKU"""":""""HRS004"""", """"Power"""": """"1.2W"""", """"Optics"""": """"SYM60°"""", """"CCT"""": """"4000K"""", """"IP Rating"""": """"IP67"""", """"Impact Strength"""": """"IK10""""}
{""""SKU"""":""""HRS005"""", """"Power"""&amp;""": """"1.2W"""", """"Optics"""": """"ASYM50°"""", """"CCT"""": """"3000K"""", """"IP Rating"""": """"IP67"""", """"Impact Strength"""": """"IK10""""}
### Example Output:
{
  """"Options"""": {
    """"Power"""": [
      {""""name"""": """"1.2W"""", """""&amp;"id"""": """"101""""}
    ],
    """"Optics"""": [
      {""""name"""": """"SYM30°"""", """"id"""": """"102""""},
      {""""name"""": """"SYM60°"""", """"id"""": """"103""""},
      {""""name"""": """"ASYM50°"""", """"id"""": """"104""""}
    ],
    """"C"&amp;"CT"""": [
      {""""name"""": """"3000K"""", """"id"""": """"105""""},
      {""""name"""": """"4000K"""", """"id"""": """"106""""}
    ],
    """"IP Rating"""": [
      {""""name"""": """"IP67"""", """"id"""": """"107""""}
    ],
    """"Impact Strength"&amp;""""": [
      {""""name"""": """"IK10"""", """"id"""": """"108""""}
    ]
  },
  """"Constraints"""": {
    """"104"""": [106]
  },
""""sku_mappings"""": [
      { """"sku"""": """"HRS001"""", """"combination"""": [""""101"""", """"102"""", """"105"""", "&amp;"""""107"""", """"108""""] },
      { """"sku"""": """"HRS002"""", """"combination"""": [""""101"""", """"102"""", """"106"""", """"107"""", """"108""""] },
      { """"sku"""": """"HRS003"""", """"combination"""": [""""101"""", """"103"""", """"105"""", "&amp;"""""107"""", """"108""""] },
      { """"sku"""": """"HRS004"""", """"combination"""": [""""101"""", """"103"""", """"106"""", """"107"""", """"108""""] },
      { """"sku"""": """"HRS005"""", """"combination"""": [""""101"""", """"104"""", """"105"""", "&amp;"""""107"""", """"108""""] },
      { """"sku"""": """"HRS006"""", """"combination"""": [""""101"""", """"104"""", """"106"""", """"107"""", """"108""""] }
    ]
}
Process the following product variant combinations and output the """"Options"""" and """"C"&amp;"onstraints"""" JSON:"", Q18:Q21)"),"{
""Options"": {
""Dimension"": [
{""name"": ""17.1mm (W) x 15.3mm (H)"", ""id"": ""101""}
],
""Finish"": [
{""name"": ""Silver"", ""id"": ""102""},
{""name"": ""Black"", ""id"": ""103""},
{""name"": ""White"", ""id"": ""104""}
],
""Profile Length"": [
{"&amp;"""name"": ""2m"", ""id"": ""105""},
{""name"": ""3m"", ""id"": ""106""}
]
},
""Constraints"": {
""103"": [""106""],
""104"": [""106""]
},
""sku_mappings"": [
{ ""sku"": ""PR006"", ""combination"": [""101"", ""102"", ""105""] },
{ ""sku"": ""PR006-3m-Silve"&amp;"r"", ""combination"": [""101"", ""102"", ""106""] },
{ ""sku"": ""PR006-B"", ""combination"": [""101"", ""103"", ""105""] },
{ ""sku"": ""PR006-W"", ""combination"": [""101"", ""104"", ""105""] }
]
}")</f>
        <v>{
"Options": {
"Dimension": [
{"name": "17.1mm (W) x 15.3mm (H)", "id": "101"}
],
"Finish": [
{"name": "Silver", "id": "102"},
{"name": "Black", "id": "103"},
{"name": "White", "id": "104"}
],
"Profile Length": [
{"name": "2m", "id": "105"},
{"name": "3m", "id": "106"}
]
},
"Constraints": {
"103": ["106"],
"104": ["106"]
},
"sku_mappings": [
{ "sku": "PR006", "combination": ["101", "102", "105"] },
{ "sku": "PR006-3m-Silver", "combination": ["101", "102", "106"] },
{ "sku": "PR006-B", "combination": ["101", "103", "105"] },
{ "sku": "PR006-W", "combination": ["101", "104", "105"] }
]
}</v>
      </c>
      <c r="U18" s="30" t="s">
        <v>116</v>
      </c>
      <c r="V18" s="31" t="str">
        <f>IFERROR(__xludf.DUMMYFUNCTION("AI(""Extract options object from the json"", U18)"),"{""Dimension"": [{""name"": ""17.1mm (W) x 15.3mm (H)"", ""id"": ""101""}], ""Finish"": [{""name"": ""Silver"", ""id"": ""102""}, {""name"": ""Black"", ""id"": ""103""}, {""name"": ""White"", ""id"": ""104""}], ""Profile Length"": [{""name"": ""2m"", ""id"&amp;""": ""105""}, {""name"": ""3m"", ""id"": ""106""}]}")</f>
        <v>{"Dimension": [{"name": "17.1mm (W) x 15.3mm (H)", "id": "101"}], "Finish": [{"name": "Silver", "id": "102"}, {"name": "Black", "id": "103"}, {"name": "White", "id": "104"}], "Profile Length": [{"name": "2m", "id": "105"}, {"name": "3m", "id": "106"}]}</v>
      </c>
      <c r="W18" s="31" t="str">
        <f>IFERROR(__xludf.DUMMYFUNCTION("AI(""Extract constraints object from the json"", U18)"),"{ ""103"": [""106""], ""104"": [""106""] }")</f>
        <v>{ "103": ["106"], "104": ["106"] }</v>
      </c>
      <c r="X18" s="31" t="str">
        <f>IFERROR(__xludf.DUMMYFUNCTION("AI(""Extract sku_mappings object from the json"", U18)"),"[
{ ""sku"": ""PR006"", ""combination"": [""101"", ""102"", ""105""] },
{ ""sku"": ""PR006-3m-Silver"", ""combination"": [""101"", ""102"", ""106""] },
{ ""sku"": ""PR006-B"", ""combination"": [""101"", ""103"", ""105""] },
{ ""sku"": ""PR006-W"", ""combi"&amp;"nation"": [""101"", ""104"", ""105""] }
]")</f>
        <v>[
{ "sku": "PR006", "combination": ["101", "102", "105"] },
{ "sku": "PR006-3m-Silver", "combination": ["101", "102", "106"] },
{ "sku": "PR006-B", "combination": ["101", "103", "105"] },
{ "sku": "PR006-W", "combination": ["101", "104", "105"] }
]</v>
      </c>
      <c r="Y18" s="17" t="s">
        <v>42</v>
      </c>
      <c r="Z18" s="17" t="s">
        <v>117</v>
      </c>
      <c r="AA18" s="17" t="s">
        <v>44</v>
      </c>
      <c r="AB18" s="20"/>
      <c r="AC18" s="21" t="str">
        <f>IFERROR(__xludf.DUMMYFUNCTION("AI(""Generate 6 powerful unique keywords for the product in this row separated by comma"")"),"Deep surfaced LED profile, Aluminium surface mount extrusion, Architectural linear lighting, Deep LED strip channel, Surface mounted light diffuser, Aluminium linear housing")</f>
        <v>Deep surfaced LED profile, Aluminium surface mount extrusion, Architectural linear lighting, Deep LED strip channel, Surface mounted light diffuser, Aluminium linear housing</v>
      </c>
      <c r="AD18" s="20" t="s">
        <v>118</v>
      </c>
    </row>
    <row r="19" ht="30.0" customHeight="1">
      <c r="A19" s="10"/>
      <c r="B19" s="22"/>
      <c r="C19" s="22"/>
      <c r="D19" s="22"/>
      <c r="E19" s="22"/>
      <c r="F19" s="23"/>
      <c r="G19" s="24"/>
      <c r="H19" s="23"/>
      <c r="I19" s="22"/>
      <c r="J19" s="22"/>
      <c r="K19" s="22"/>
      <c r="L19" s="11" t="s">
        <v>119</v>
      </c>
      <c r="M19" s="11" t="s">
        <v>120</v>
      </c>
      <c r="N19"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""&amp;M19)"),"Dimension | Finish | Profile Length")</f>
        <v>Dimension | Finish | Profile Length</v>
      </c>
      <c r="O19" s="15" t="s">
        <v>38</v>
      </c>
      <c r="P19" s="14" t="str">
        <f>IFERROR(__xludf.DUMMYFUNCTION("AI(""Using the labels""&amp;N19&amp;"" and values ""&amp;M19&amp;"" separated by character '|' and Using ""&amp;L19&amp;"" and key as 'SKU', Create a JSON object"")"),"{""SKU"": ""PR006-3m-Silver"", ""Dimension"": ""17.1mm (W) x 15.3mm (H)"", ""Finish"": ""Silver"", ""Profile Length"": ""3m""}")</f>
        <v>{"SKU": "PR006-3m-Silver", "Dimension": "17.1mm (W) x 15.3mm (H)", "Finish": "Silver", "Profile Length": "3m"}</v>
      </c>
      <c r="Q19" s="15" t="s">
        <v>121</v>
      </c>
      <c r="R19" s="25"/>
      <c r="S19" s="25"/>
      <c r="T19" s="25"/>
      <c r="U19" s="26"/>
      <c r="V19" s="25"/>
      <c r="W19" s="25"/>
      <c r="X19" s="25"/>
      <c r="Y19" s="17" t="s">
        <v>42</v>
      </c>
      <c r="Z19" s="17" t="s">
        <v>117</v>
      </c>
      <c r="AA19" s="17" t="s">
        <v>44</v>
      </c>
      <c r="AB19" s="20"/>
      <c r="AC19" s="20"/>
      <c r="AD19" s="20"/>
    </row>
    <row r="20" ht="30.0" customHeight="1">
      <c r="A20" s="10"/>
      <c r="B20" s="22"/>
      <c r="C20" s="22"/>
      <c r="D20" s="22"/>
      <c r="E20" s="22"/>
      <c r="F20" s="23"/>
      <c r="G20" s="24"/>
      <c r="H20" s="23"/>
      <c r="I20" s="22"/>
      <c r="J20" s="22"/>
      <c r="K20" s="22"/>
      <c r="L20" s="11" t="s">
        <v>122</v>
      </c>
      <c r="M20" s="11" t="s">
        <v>123</v>
      </c>
      <c r="N20"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""&amp;M20)"),"Dimension | Finish | Profile Length")</f>
        <v>Dimension | Finish | Profile Length</v>
      </c>
      <c r="O20" s="15" t="s">
        <v>38</v>
      </c>
      <c r="P20" s="14" t="str">
        <f>IFERROR(__xludf.DUMMYFUNCTION("AI(""Using the labels""&amp;N20&amp;"" and values ""&amp;M20&amp;"" separated by character '|' and Using ""&amp;L20&amp;"" and key as 'SKU', Create a JSON object"")"),"{""SKU"": ""PR006-B"", ""Dimension"": ""17.1mm (W) x 15.3mm (H)"", ""Finish"": ""Black"", ""Profile Length"": ""2m""}")</f>
        <v>{"SKU": "PR006-B", "Dimension": "17.1mm (W) x 15.3mm (H)", "Finish": "Black", "Profile Length": "2m"}</v>
      </c>
      <c r="Q20" s="15" t="s">
        <v>124</v>
      </c>
      <c r="R20" s="25"/>
      <c r="S20" s="25"/>
      <c r="T20" s="25"/>
      <c r="U20" s="26"/>
      <c r="V20" s="25"/>
      <c r="W20" s="25"/>
      <c r="X20" s="25"/>
      <c r="Y20" s="17" t="s">
        <v>42</v>
      </c>
      <c r="Z20" s="17" t="s">
        <v>117</v>
      </c>
      <c r="AA20" s="17" t="s">
        <v>44</v>
      </c>
      <c r="AB20" s="20"/>
      <c r="AC20" s="20"/>
      <c r="AD20" s="20"/>
    </row>
    <row r="21" ht="30.0" customHeight="1">
      <c r="A21" s="10"/>
      <c r="B21" s="11"/>
      <c r="C21" s="11"/>
      <c r="D21" s="10"/>
      <c r="E21" s="11"/>
      <c r="F21" s="12"/>
      <c r="G21" s="13"/>
      <c r="H21" s="12"/>
      <c r="I21" s="11"/>
      <c r="J21" s="22"/>
      <c r="K21" s="22"/>
      <c r="L21" s="11" t="s">
        <v>125</v>
      </c>
      <c r="M21" s="11" t="s">
        <v>126</v>
      </c>
      <c r="N21"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""&amp;M21)"),"Dimension | Finish | Profile Length")</f>
        <v>Dimension | Finish | Profile Length</v>
      </c>
      <c r="O21" s="15" t="s">
        <v>38</v>
      </c>
      <c r="P21" s="14" t="str">
        <f>IFERROR(__xludf.DUMMYFUNCTION("AI(""Using the labels""&amp;N21&amp;"" and values ""&amp;M21&amp;"" separated by character '|' and Using ""&amp;L21&amp;"" and key as 'SKU', Create a JSON object"")"),"{""SKU"": ""PR006-W"", ""Dimension"": ""17.1mm (W) x 15.3mm (H)"", ""Finish"": ""White"", ""Profile Length"": ""2m""}")</f>
        <v>{"SKU": "PR006-W", "Dimension": "17.1mm (W) x 15.3mm (H)", "Finish": "White", "Profile Length": "2m"}</v>
      </c>
      <c r="Q21" s="15" t="s">
        <v>127</v>
      </c>
      <c r="R21" s="27"/>
      <c r="S21" s="28"/>
      <c r="T21" s="27"/>
      <c r="U21" s="29"/>
      <c r="V21" s="17"/>
      <c r="W21" s="17"/>
      <c r="X21" s="17"/>
      <c r="Y21" s="17" t="s">
        <v>42</v>
      </c>
      <c r="Z21" s="17" t="s">
        <v>117</v>
      </c>
      <c r="AA21" s="17" t="s">
        <v>44</v>
      </c>
      <c r="AB21" s="20"/>
      <c r="AC21" s="20"/>
      <c r="AD21" s="20"/>
    </row>
    <row r="22" ht="30.0" customHeight="1">
      <c r="A22" s="10" t="s">
        <v>128</v>
      </c>
      <c r="B22" s="11" t="s">
        <v>129</v>
      </c>
      <c r="C22" s="11" t="s">
        <v>32</v>
      </c>
      <c r="D22" s="11" t="s">
        <v>130</v>
      </c>
      <c r="E22" s="11" t="s">
        <v>34</v>
      </c>
      <c r="F22" s="12" t="str">
        <f>IFERROR(__xludf.DUMMYFUNCTION("AI(""Give me a paragraph marketing spiel for product in this row, no tech specs just marketing fluff "")"),"Enhance your interiors with modern precision and sleek architectural sophistication. Designed to tuck seamlessly into right-angle corners, this square profile delivers a clean, continuous glow that transforms ordinary spaces into stunning visual experienc"&amp;"es. Perfect for highlighting architectural lines and adding subtle, ambient lighting, it brings an aura of contemporary elegance and discreet luxury to any room.")</f>
        <v>Enhance your interiors with modern precision and sleek architectural sophistication. Designed to tuck seamlessly into right-angle corners, this square profile delivers a clean, continuous glow that transforms ordinary spaces into stunning visual experiences. Perfect for highlighting architectural lines and adding subtle, ambient lighting, it brings an aura of contemporary elegance and discreet luxury to any room.</v>
      </c>
      <c r="G22" s="13" t="s">
        <v>131</v>
      </c>
      <c r="H22" s="12" t="str">
        <f>IFERROR(__xludf.DUMMYFUNCTION("AI(""Give me a paragraph marketing spiel for product in this row, no tech specs just marketing fluff under 180 characters "")"),"Elevate your interiors with a sleek, modern touch. This corner channel delivers a seamless, sophisticated glow that transforms any ambient space effortlessly.")</f>
        <v>Elevate your interiors with a sleek, modern touch. This corner channel delivers a seamless, sophisticated glow that transforms any ambient space effortlessly.</v>
      </c>
      <c r="I22" s="11" t="s">
        <v>132</v>
      </c>
      <c r="J22" s="22"/>
      <c r="K22" s="22"/>
      <c r="L22" s="11" t="s">
        <v>128</v>
      </c>
      <c r="M22" s="11" t="s">
        <v>133</v>
      </c>
      <c r="N22"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""&amp;M22)"),"Dimension | Finish | Profile Length")</f>
        <v>Dimension | Finish | Profile Length</v>
      </c>
      <c r="O22" s="15" t="s">
        <v>38</v>
      </c>
      <c r="P22" s="14" t="str">
        <f>IFERROR(__xludf.DUMMYFUNCTION("AI(""Using the labels""&amp;N22&amp;"" and values ""&amp;M22&amp;"" separated by character '|' and Using ""&amp;L22&amp;"" and key as 'SKU', Create a JSON object"")"),"{""SKU"": ""PR007"", ""Dimension"": ""16mm (W) x 16mm (H)"", ""Finish"": ""Silver"", ""Profile Length"": ""2m""}")</f>
        <v>{"SKU": "PR007", "Dimension": "16mm (W) x 16mm (H)", "Finish": "Silver", "Profile Length": "2m"}</v>
      </c>
      <c r="Q22" s="15" t="s">
        <v>134</v>
      </c>
      <c r="R22" s="16"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Q22)"),"{""SKU"": ""PR007"", ""Dimension"": ""16mm (W) x 16mm (H)"", ""Finish"": ""Silver"", ""Profile Length"": ""2m""}")</f>
        <v>{"SKU": "PR007", "Dimension": "16mm (W) x 16mm (H)", "Finish": "Silver", "Profile Length": "2m"}</v>
      </c>
      <c r="S22" s="17" t="s">
        <v>134</v>
      </c>
      <c r="T22" s="16"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CCT, IP Rating, Impact Strength).
   - Assign a unique sequential integer string ID to every attribute value, starting from """"101"""" and incrementing by 1 in "&amp;"the order they appear.
   - Format each attribute as an array of objects: `[{""""name"""": """"VALUE"""", """"id"""": """"ID""""}]`.
2. **Determine Constraints (Incompatibilities):**
   - Identify attribute pairs that are impossible or missing from the v"&amp;"alid combinations.
   - Specifically, map an ID of an Option Value to an array of Option Value IDs that **cannot** be selected with it.
   - Output constraints in the format: `""""OPTION_ID"""": [INCOMPATIBLE_OPTION_ID]`.
   - Only list meaningful non-emp"&amp;"ty constraints. Express constraints using the primary driving factor (e.g., optic limitation over CCT).
3. **Determine sku_mappings:**
   - Identify the valid combination and create a array with sku and combination containing array of options ID
4. **O"&amp;"utput Format:**
   - Return strictly valid JSON containing two root keys: """"Options"""", """"Constraints"""" and """"sku_mappings"""".
   - Do not wrap the JSON in conversational filler text.
---
### Example Input:
{""""SKU"""":""""HRS001"""", """"Pow"&amp;"er"""": """"1.2W"""", """"Optics"""": """"SYM30°"""", """"CCT"""": """"3000K"""", """"IP Rating"""": """"IP67"""", """"Impact Strength"""": """"IK10""""}
{""""SKU"""":""""HRS002"""", """"Power"""": """"1.2W"""", """"Optics"""": """"SYM30°"""", """"CCT"""""&amp;": """"4000K"""", """"IP Rating"""": """"IP67"""", """"Impact Strength"""": """"IK10""""}
{""""SKU"""":""""HRS003"""", """"Power"""": """"1.2W"""", """"Optics"""": """"SYM60°"""", """"CCT"""": """"3000K"""", """"IP Rating"""": """"IP67"""", """"Impact Stre"&amp;"ngth"""": """"IK10""""}
{""""SKU"""":""""HRS004"""", """"Power"""": """"1.2W"""", """"Optics"""": """"SYM60°"""", """"CCT"""": """"4000K"""", """"IP Rating"""": """"IP67"""", """"Impact Strength"""": """"IK10""""}
{""""SKU"""":""""HRS005"""", """"Power"""&amp;""": """"1.2W"""", """"Optics"""": """"ASYM50°"""", """"CCT"""": """"3000K"""", """"IP Rating"""": """"IP67"""", """"Impact Strength"""": """"IK10""""}
### Example Output:
{
  """"Options"""": {
    """"Power"""": [
      {""""name"""": """"1.2W"""", """""&amp;"id"""": """"101""""}
    ],
    """"Optics"""": [
      {""""name"""": """"SYM30°"""", """"id"""": """"102""""},
      {""""name"""": """"SYM60°"""", """"id"""": """"103""""},
      {""""name"""": """"ASYM50°"""", """"id"""": """"104""""}
    ],
    """"C"&amp;"CT"""": [
      {""""name"""": """"3000K"""", """"id"""": """"105""""},
      {""""name"""": """"4000K"""", """"id"""": """"106""""}
    ],
    """"IP Rating"""": [
      {""""name"""": """"IP67"""", """"id"""": """"107""""}
    ],
    """"Impact Strength"&amp;""""": [
      {""""name"""": """"IK10"""", """"id"""": """"108""""}
    ]
  },
  """"Constraints"""": {
    """"104"""": [106]
  },
""""sku_mappings"""": [
      { """"sku"""": """"HRS001"""", """"combination"""": [""""101"""", """"102"""", """"105"""", "&amp;"""""107"""", """"108""""] },
      { """"sku"""": """"HRS002"""", """"combination"""": [""""101"""", """"102"""", """"106"""", """"107"""", """"108""""] },
      { """"sku"""": """"HRS003"""", """"combination"""": [""""101"""", """"103"""", """"105"""", "&amp;"""""107"""", """"108""""] },
      { """"sku"""": """"HRS004"""", """"combination"""": [""""101"""", """"103"""", """"106"""", """"107"""", """"108""""] },
      { """"sku"""": """"HRS005"""", """"combination"""": [""""101"""", """"104"""", """"105"""", "&amp;"""""107"""", """"108""""] },
      { """"sku"""": """"HRS006"""", """"combination"""": [""""101"""", """"104"""", """"106"""", """"107"""", """"108""""] }
    ]
}
Process the following product variant combinations and output the """"Options"""" and """"C"&amp;"onstraints"""" JSON:"", Q22)"),"{
""Options"": {
""Dimension"": [
{""name"": ""16mm (W) x 16mm (H)"", ""id"": ""101""}
],
""Finish"": [
{""name"": ""Silver"", ""id"": ""102""}
],
""Profile Length"": [
{""name"": ""2m"", ""id"": ""103""}
]
},
""Constraints"": {},
""sku_mappings"": [
{ """&amp;"sku"": ""PR007"", ""combination"": [""101"", ""102"", ""103""] }
]
}")</f>
        <v>{
"Options": {
"Dimension": [
{"name": "16mm (W) x 16mm (H)", "id": "101"}
],
"Finish": [
{"name": "Silver", "id": "102"}
],
"Profile Length": [
{"name": "2m", "id": "103"}
]
},
"Constraints": {},
"sku_mappings": [
{ "sku": "PR007", "combination": ["101", "102", "103"] }
]
}</v>
      </c>
      <c r="U22" s="30" t="s">
        <v>135</v>
      </c>
      <c r="V22" s="31" t="str">
        <f>IFERROR(__xludf.DUMMYFUNCTION("AI(""Extract options object from the json"", U22)"),"{""Dimension"": [{""name"": ""16mm (W) x 16mm (H)"", ""id"": ""101""}], ""Finish"": [{""name"": ""Silver"", ""id"": ""102""}], ""Profile Length"": [{""name"": ""2m"", ""id"": ""103""}]}")</f>
        <v>{"Dimension": [{"name": "16mm (W) x 16mm (H)", "id": "101"}], "Finish": [{"name": "Silver", "id": "102"}], "Profile Length": [{"name": "2m", "id": "103"}]}</v>
      </c>
      <c r="W22" s="31" t="str">
        <f>IFERROR(__xludf.DUMMYFUNCTION("AI(""Extract constraints object from the json"", U22)"),"{}")</f>
        <v>{}</v>
      </c>
      <c r="X22" s="31" t="str">
        <f>IFERROR(__xludf.DUMMYFUNCTION("AI(""Extract sku_mappings object from the json"", U22)"),"[ { ""sku"": ""PR007"", ""combination"": [""101"", ""102"", ""103""] } ]")</f>
        <v>[ { "sku": "PR007", "combination": ["101", "102", "103"] } ]</v>
      </c>
      <c r="Y22" s="17" t="s">
        <v>42</v>
      </c>
      <c r="Z22" s="17" t="s">
        <v>136</v>
      </c>
      <c r="AA22" s="17" t="s">
        <v>44</v>
      </c>
      <c r="AB22" s="20"/>
      <c r="AC22" s="21" t="str">
        <f>IFERROR(__xludf.DUMMYFUNCTION("AI(""Generate 6 powerful unique keywords for the product in this row separated by comma"")"),"Square corner LED channel, Aluminium extrusion profile, Corner LED light housing, 16mm square aluminum profile, LED strip corner channel, Silver aluminum LED profile")</f>
        <v>Square corner LED channel, Aluminium extrusion profile, Corner LED light housing, 16mm square aluminum profile, LED strip corner channel, Silver aluminum LED profile</v>
      </c>
      <c r="AD22" s="20" t="s">
        <v>137</v>
      </c>
    </row>
    <row r="23" ht="30.0" customHeight="1">
      <c r="A23" s="10" t="s">
        <v>138</v>
      </c>
      <c r="B23" s="11" t="s">
        <v>139</v>
      </c>
      <c r="C23" s="11" t="s">
        <v>32</v>
      </c>
      <c r="D23" s="10" t="s">
        <v>130</v>
      </c>
      <c r="E23" s="11" t="s">
        <v>34</v>
      </c>
      <c r="F23" s="12" t="str">
        <f>IFERROR(__xludf.DUMMYFUNCTION("AI(""Give me a paragraph marketing spiel for product in this row, no tech specs just marketing fluff "")"),"Softly illuminate your environment with smooth, fluid design and understated luxury. The rounded corner profile effortlessly blends into architectural contours, casting a continuous, soft glow that gently warms up any setting. Ideal for creating inviting "&amp;"atmospheres and refined lighting accents, this profile offers the perfect harmony of subtle sophistication, elegant beauty, and modern ambiance.")</f>
        <v>Softly illuminate your environment with smooth, fluid design and understated luxury. The rounded corner profile effortlessly blends into architectural contours, casting a continuous, soft glow that gently warms up any setting. Ideal for creating inviting atmospheres and refined lighting accents, this profile offers the perfect harmony of subtle sophistication, elegant beauty, and modern ambiance.</v>
      </c>
      <c r="G23" s="13" t="s">
        <v>140</v>
      </c>
      <c r="H23" s="12" t="str">
        <f>IFERROR(__xludf.DUMMYFUNCTION("AI(""Give me a paragraph marketing spiel for product in this row, no tech specs just marketing fluff under 180 characters "")"),"Bring smooth elegance and radiant warmth to your home with a beautiful curved design that creates an inviting, luxurious architectural lighting flow.")</f>
        <v>Bring smooth elegance and radiant warmth to your home with a beautiful curved design that creates an inviting, luxurious architectural lighting flow.</v>
      </c>
      <c r="I23" s="11" t="s">
        <v>141</v>
      </c>
      <c r="J23" s="22"/>
      <c r="K23" s="22"/>
      <c r="L23" s="11" t="s">
        <v>138</v>
      </c>
      <c r="M23" s="11" t="s">
        <v>133</v>
      </c>
      <c r="N23"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""&amp;M23)"),"Dimension | Finish | Profile Length")</f>
        <v>Dimension | Finish | Profile Length</v>
      </c>
      <c r="O23" s="15" t="s">
        <v>38</v>
      </c>
      <c r="P23" s="14" t="str">
        <f>IFERROR(__xludf.DUMMYFUNCTION("AI(""Using the labels""&amp;N23&amp;"" and values ""&amp;M23&amp;"" separated by character '|' and Using ""&amp;L23&amp;"" and key as 'SKU', Create a JSON object"")"),"{""SKU"": ""PR008"", ""Dimension"": ""16mm (W) x 16mm (H)"", ""Finish"": ""Silver"", ""Profile Length"": ""2m""}")</f>
        <v>{"SKU": "PR008", "Dimension": "16mm (W) x 16mm (H)", "Finish": "Silver", "Profile Length": "2m"}</v>
      </c>
      <c r="Q23" s="15" t="s">
        <v>142</v>
      </c>
      <c r="R23" s="16"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Q23:Q26)"),"{""SKU"": [""PR008"", ""PR008-3m-Silver"", ""PR008-B"", ""PR008-W""], ""Dimension"": ""16mm (W) x 16mm (H)"", ""Finish"": [""Silver"", ""Black"", ""White""], ""Profile Length"": ""2m""}")</f>
        <v>{"SKU": ["PR008", "PR008-3m-Silver", "PR008-B", "PR008-W"], "Dimension": "16mm (W) x 16mm (H)", "Finish": ["Silver", "Black", "White"], "Profile Length": "2m"}</v>
      </c>
      <c r="S23" s="17" t="s">
        <v>143</v>
      </c>
      <c r="T23" s="16"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CCT, IP Rating, Impact Strength).
   - Assign a unique sequential integer string ID to every attribute value, starting from """"101"""" and incrementing by 1 in "&amp;"the order they appear.
   - Format each attribute as an array of objects: `[{""""name"""": """"VALUE"""", """"id"""": """"ID""""}]`.
2. **Determine Constraints (Incompatibilities):**
   - Identify attribute pairs that are impossible or missing from the v"&amp;"alid combinations.
   - Specifically, map an ID of an Option Value to an array of Option Value IDs that **cannot** be selected with it.
   - Output constraints in the format: `""""OPTION_ID"""": [INCOMPATIBLE_OPTION_ID]`.
   - Only list meaningful non-emp"&amp;"ty constraints. Express constraints using the primary driving factor (e.g., optic limitation over CCT).
3. **Determine sku_mappings:**
   - Identify the valid combination and create a array with sku and combination containing array of options ID
4. **O"&amp;"utput Format:**
   - Return strictly valid JSON containing two root keys: """"Options"""", """"Constraints"""" and """"sku_mappings"""".
   - Do not wrap the JSON in conversational filler text.
---
### Example Input:
{""""SKU"""":""""HRS001"""", """"Pow"&amp;"er"""": """"1.2W"""", """"Optics"""": """"SYM30°"""", """"CCT"""": """"3000K"""", """"IP Rating"""": """"IP67"""", """"Impact Strength"""": """"IK10""""}
{""""SKU"""":""""HRS002"""", """"Power"""": """"1.2W"""", """"Optics"""": """"SYM30°"""", """"CCT"""""&amp;": """"4000K"""", """"IP Rating"""": """"IP67"""", """"Impact Strength"""": """"IK10""""}
{""""SKU"""":""""HRS003"""", """"Power"""": """"1.2W"""", """"Optics"""": """"SYM60°"""", """"CCT"""": """"3000K"""", """"IP Rating"""": """"IP67"""", """"Impact Stre"&amp;"ngth"""": """"IK10""""}
{""""SKU"""":""""HRS004"""", """"Power"""": """"1.2W"""", """"Optics"""": """"SYM60°"""", """"CCT"""": """"4000K"""", """"IP Rating"""": """"IP67"""", """"Impact Strength"""": """"IK10""""}
{""""SKU"""":""""HRS005"""", """"Power"""&amp;""": """"1.2W"""", """"Optics"""": """"ASYM50°"""", """"CCT"""": """"3000K"""", """"IP Rating"""": """"IP67"""", """"Impact Strength"""": """"IK10""""}
### Example Output:
{
  """"Options"""": {
    """"Power"""": [
      {""""name"""": """"1.2W"""", """""&amp;"id"""": """"101""""}
    ],
    """"Optics"""": [
      {""""name"""": """"SYM30°"""", """"id"""": """"102""""},
      {""""name"""": """"SYM60°"""", """"id"""": """"103""""},
      {""""name"""": """"ASYM50°"""", """"id"""": """"104""""}
    ],
    """"C"&amp;"CT"""": [
      {""""name"""": """"3000K"""", """"id"""": """"105""""},
      {""""name"""": """"4000K"""", """"id"""": """"106""""}
    ],
    """"IP Rating"""": [
      {""""name"""": """"IP67"""", """"id"""": """"107""""}
    ],
    """"Impact Strength"&amp;""""": [
      {""""name"""": """"IK10"""", """"id"""": """"108""""}
    ]
  },
  """"Constraints"""": {
    """"104"""": [106]
  },
""""sku_mappings"""": [
      { """"sku"""": """"HRS001"""", """"combination"""": [""""101"""", """"102"""", """"105"""", "&amp;"""""107"""", """"108""""] },
      { """"sku"""": """"HRS002"""", """"combination"""": [""""101"""", """"102"""", """"106"""", """"107"""", """"108""""] },
      { """"sku"""": """"HRS003"""", """"combination"""": [""""101"""", """"103"""", """"105"""", "&amp;"""""107"""", """"108""""] },
      { """"sku"""": """"HRS004"""", """"combination"""": [""""101"""", """"103"""", """"106"""", """"107"""", """"108""""] },
      { """"sku"""": """"HRS005"""", """"combination"""": [""""101"""", """"104"""", """"105"""", "&amp;"""""107"""", """"108""""] },
      { """"sku"""": """"HRS006"""", """"combination"""": [""""101"""", """"104"""", """"106"""", """"107"""", """"108""""] }
    ]
}
Process the following product variant combinations and output the """"Options"""" and """"C"&amp;"onstraints"""" JSON:"", Q23:Q26)"),"{ ""Options"": { ""Dimension"": [ {""name"": ""16mm (W) x 16mm (H)"", ""id"": ""101""} ], ""Finish"": [ {""name"": ""Silver"", ""id"": ""102""}, {""name"": ""Black"", ""id"": ""103""}, {""name"": ""White"", ""id"": ""104""} ], ""Profile Length"": [ {""nam"&amp;"e"": ""2m"", ""id"": ""105""} ] }, ""Constraints"": {}, ""sku_mappings"": [ { ""sku"": ""PR008"", ""combination"": [""101"", ""102"", ""105""] }, { ""sku"": ""PR008-3m-Silver"", ""combination"": [""101"", ""102"", ""105""] }, { ""sku"": ""PR008-B"", ""com"&amp;"bination"": [""101"", ""103"", ""105""] }, { ""sku"": ""PR008-W"", ""combination"": [""101"", ""104"", ""105""] } ] }")</f>
        <v>{ "Options": { "Dimension": [ {"name": "16mm (W) x 16mm (H)", "id": "101"} ], "Finish": [ {"name": "Silver", "id": "102"}, {"name": "Black", "id": "103"}, {"name": "White", "id": "104"} ], "Profile Length": [ {"name": "2m", "id": "105"} ] }, "Constraints": {}, "sku_mappings": [ { "sku": "PR008", "combination": ["101", "102", "105"] }, { "sku": "PR008-3m-Silver", "combination": ["101", "102", "105"] }, { "sku": "PR008-B", "combination": ["101", "103", "105"] }, { "sku": "PR008-W", "combination": ["101", "104", "105"] } ] }</v>
      </c>
      <c r="U23" s="30" t="s">
        <v>144</v>
      </c>
      <c r="V23" s="19" t="str">
        <f>IFERROR(__xludf.DUMMYFUNCTION("AI(""Extract options object from the json"", U23)"),"{""Dimension"": [{""name"": ""16mm (W) x 16mm (H)"", ""id"": ""101""}], ""Finish"": [{""name"": ""Silver"", ""id"": ""102""}, {""name"": ""Black"", ""id"": ""103""}, {""name"": ""White"", ""id"": ""104""}], ""Profile Length"": [{""name"": ""2m"", ""id"": "&amp;"""105""}]}")</f>
        <v>{"Dimension": [{"name": "16mm (W) x 16mm (H)", "id": "101"}], "Finish": [{"name": "Silver", "id": "102"}, {"name": "Black", "id": "103"}, {"name": "White", "id": "104"}], "Profile Length": [{"name": "2m", "id": "105"}]}</v>
      </c>
      <c r="W23" s="19" t="str">
        <f>IFERROR(__xludf.DUMMYFUNCTION("AI(""Extract constraints object from the json"", U23)"),"{}")</f>
        <v>{}</v>
      </c>
      <c r="X23" s="19" t="str">
        <f>IFERROR(__xludf.DUMMYFUNCTION("AI(""Extract sku_mappings object from the json"", U23)"),"[ { ""sku"": ""PR008"", ""combination"": [""101"", ""102"", ""105""] }, { ""sku"": ""PR008-3m-Silver"", ""combination"": [""101"", ""102"", ""105""] }, { ""sku"": ""PR008-B"", ""combination"": [""101"", ""103"", ""105""] }, { ""sku"": ""PR008-W"", ""combi"&amp;"nation"": [""101"", ""104"", ""105""] } ]")</f>
        <v>[ { "sku": "PR008", "combination": ["101", "102", "105"] }, { "sku": "PR008-3m-Silver", "combination": ["101", "102", "105"] }, { "sku": "PR008-B", "combination": ["101", "103", "105"] }, { "sku": "PR008-W", "combination": ["101", "104", "105"] } ]</v>
      </c>
      <c r="Y23" s="17" t="s">
        <v>42</v>
      </c>
      <c r="Z23" s="17" t="s">
        <v>145</v>
      </c>
      <c r="AA23" s="17" t="s">
        <v>44</v>
      </c>
      <c r="AB23" s="20"/>
      <c r="AC23" s="21" t="str">
        <f>IFERROR(__xludf.DUMMYFUNCTION("AI(""Generate 6 powerful unique keywords for the product in this row separated by comma"")"),"Round corner LED channel, Aluminium extrusion profile, Curved corner LED housing, 16mm round aluminum profile, LED strip corner channel, Round profile LED light diffuser")</f>
        <v>Round corner LED channel, Aluminium extrusion profile, Curved corner LED housing, 16mm round aluminum profile, LED strip corner channel, Round profile LED light diffuser</v>
      </c>
      <c r="AD23" s="20" t="s">
        <v>146</v>
      </c>
    </row>
    <row r="24" ht="30.0" customHeight="1">
      <c r="A24" s="10"/>
      <c r="B24" s="22"/>
      <c r="C24" s="22"/>
      <c r="D24" s="22"/>
      <c r="E24" s="22"/>
      <c r="F24" s="23"/>
      <c r="G24" s="24"/>
      <c r="H24" s="23"/>
      <c r="I24" s="22"/>
      <c r="J24" s="22"/>
      <c r="K24" s="22"/>
      <c r="L24" s="11" t="s">
        <v>147</v>
      </c>
      <c r="M24" s="11" t="s">
        <v>133</v>
      </c>
      <c r="N24"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""&amp;M24)"),"Dimension | Finish | Profile Length")</f>
        <v>Dimension | Finish | Profile Length</v>
      </c>
      <c r="O24" s="15" t="s">
        <v>38</v>
      </c>
      <c r="P24" s="14" t="str">
        <f>IFERROR(__xludf.DUMMYFUNCTION("AI(""Using the labels""&amp;N24&amp;"" and values ""&amp;M24&amp;"" separated by character '|' and Using ""&amp;L24&amp;"" and key as 'SKU', Create a JSON object"")"),"{""SKU"": ""PR008-3m-Silver"", ""Dimension"": ""16mm (W) x 16mm (H)"", ""Finish"": ""Silver"", ""Profile Length"": ""2m""}")</f>
        <v>{"SKU": "PR008-3m-Silver", "Dimension": "16mm (W) x 16mm (H)", "Finish": "Silver", "Profile Length": "2m"}</v>
      </c>
      <c r="Q24" s="15" t="s">
        <v>148</v>
      </c>
      <c r="R24" s="25"/>
      <c r="S24" s="25"/>
      <c r="T24" s="25"/>
      <c r="U24" s="26"/>
      <c r="V24" s="25"/>
      <c r="W24" s="25"/>
      <c r="X24" s="25"/>
      <c r="Y24" s="17" t="s">
        <v>42</v>
      </c>
      <c r="Z24" s="17" t="s">
        <v>145</v>
      </c>
      <c r="AA24" s="17" t="s">
        <v>44</v>
      </c>
      <c r="AB24" s="20"/>
      <c r="AC24" s="20"/>
      <c r="AD24" s="20"/>
    </row>
    <row r="25" ht="30.0" customHeight="1">
      <c r="A25" s="10"/>
      <c r="B25" s="22"/>
      <c r="C25" s="22"/>
      <c r="D25" s="22"/>
      <c r="E25" s="22"/>
      <c r="F25" s="23"/>
      <c r="G25" s="24"/>
      <c r="H25" s="23"/>
      <c r="I25" s="22"/>
      <c r="J25" s="22"/>
      <c r="K25" s="22"/>
      <c r="L25" s="11" t="s">
        <v>149</v>
      </c>
      <c r="M25" s="11" t="s">
        <v>150</v>
      </c>
      <c r="N25"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""&amp;M25)"),"Dimension | Finish | Profile Length")</f>
        <v>Dimension | Finish | Profile Length</v>
      </c>
      <c r="O25" s="15" t="s">
        <v>38</v>
      </c>
      <c r="P25" s="14" t="str">
        <f>IFERROR(__xludf.DUMMYFUNCTION("AI(""Using the labels""&amp;N25&amp;"" and values ""&amp;M25&amp;"" separated by character '|' and Using ""&amp;L25&amp;"" and key as 'SKU', Create a JSON object"")"),"{""SKU"": ""PR008-B"", ""Dimension"": ""16mm (W) x 16mm (H)"", ""Finish"": ""Black"", ""Profile Length"": ""2m""}")</f>
        <v>{"SKU": "PR008-B", "Dimension": "16mm (W) x 16mm (H)", "Finish": "Black", "Profile Length": "2m"}</v>
      </c>
      <c r="Q25" s="15" t="s">
        <v>151</v>
      </c>
      <c r="R25" s="25"/>
      <c r="S25" s="25"/>
      <c r="T25" s="25"/>
      <c r="U25" s="26"/>
      <c r="V25" s="25"/>
      <c r="W25" s="25"/>
      <c r="X25" s="25"/>
      <c r="Y25" s="17" t="s">
        <v>42</v>
      </c>
      <c r="Z25" s="17" t="s">
        <v>145</v>
      </c>
      <c r="AA25" s="17" t="s">
        <v>44</v>
      </c>
      <c r="AB25" s="20"/>
      <c r="AC25" s="20"/>
      <c r="AD25" s="20"/>
    </row>
    <row r="26" ht="30.0" customHeight="1">
      <c r="A26" s="10"/>
      <c r="B26" s="11"/>
      <c r="C26" s="22"/>
      <c r="D26" s="22"/>
      <c r="E26" s="22"/>
      <c r="F26" s="23"/>
      <c r="G26" s="24"/>
      <c r="H26" s="23"/>
      <c r="I26" s="22"/>
      <c r="J26" s="22"/>
      <c r="K26" s="22"/>
      <c r="L26" s="11" t="s">
        <v>152</v>
      </c>
      <c r="M26" s="11" t="s">
        <v>153</v>
      </c>
      <c r="N26"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""&amp;M26)"),"Dimension | Finish | Profile Length")</f>
        <v>Dimension | Finish | Profile Length</v>
      </c>
      <c r="O26" s="15" t="s">
        <v>38</v>
      </c>
      <c r="P26" s="14" t="str">
        <f>IFERROR(__xludf.DUMMYFUNCTION("AI(""Using the labels""&amp;N26&amp;"" and values ""&amp;M26&amp;"" separated by character '|' and Using ""&amp;L26&amp;"" and key as 'SKU', Create a JSON object"")"),"{""SKU"": ""PR008-W"", ""Dimension"": ""16mm (W) x 16mm (H)"", ""Finish"": ""White"", ""Profile Length"": ""2m""}")</f>
        <v>{"SKU": "PR008-W", "Dimension": "16mm (W) x 16mm (H)", "Finish": "White", "Profile Length": "2m"}</v>
      </c>
      <c r="Q26" s="15" t="s">
        <v>154</v>
      </c>
      <c r="R26" s="25"/>
      <c r="S26" s="25"/>
      <c r="T26" s="25"/>
      <c r="U26" s="26"/>
      <c r="V26" s="25"/>
      <c r="W26" s="25"/>
      <c r="X26" s="25"/>
      <c r="Y26" s="17" t="s">
        <v>42</v>
      </c>
      <c r="Z26" s="17" t="s">
        <v>145</v>
      </c>
      <c r="AA26" s="17" t="s">
        <v>44</v>
      </c>
      <c r="AB26" s="20"/>
      <c r="AC26" s="20"/>
      <c r="AD26" s="20"/>
    </row>
    <row r="27" ht="30.0" customHeight="1">
      <c r="A27" s="10" t="s">
        <v>155</v>
      </c>
      <c r="B27" s="11" t="s">
        <v>156</v>
      </c>
      <c r="C27" s="11" t="s">
        <v>32</v>
      </c>
      <c r="D27" s="10" t="s">
        <v>130</v>
      </c>
      <c r="E27" s="11" t="s">
        <v>34</v>
      </c>
      <c r="F27" s="12" t="str">
        <f>IFERROR(__xludf.DUMMYFUNCTION("AI(""Give me a paragraph marketing spiel for product in this row, no tech specs just marketing fluff "")"),"Transform your interior spaces with a seamlessly integrated architectural lighting solution designed to elevate any corner. Delivering a soft, sophisticated glow, this elegant profile creates an inviting ambiance while highlighting the unique contours of "&amp;"your decor. Perfect for modern spaces seeking a touch of discreet luxury, it adds subtle warmth and refined beauty to every room.")</f>
        <v>Transform your interior spaces with a seamlessly integrated architectural lighting solution designed to elevate any corner. Delivering a soft, sophisticated glow, this elegant profile creates an inviting ambiance while highlighting the unique contours of your decor. Perfect for modern spaces seeking a touch of discreet luxury, it adds subtle warmth and refined beauty to every room.</v>
      </c>
      <c r="G27" s="13" t="s">
        <v>157</v>
      </c>
      <c r="H27" s="12" t="str">
        <f>IFERROR(__xludf.DUMMYFUNCTION("AI(""Give me a paragraph marketing spiel for product in this row, no tech specs just marketing fluff under 180 characters "")"),"Elevate your corners with seamless elegance, casting a warm and sophisticated glow that enhances your home's natural beauty.")</f>
        <v>Elevate your corners with seamless elegance, casting a warm and sophisticated glow that enhances your home's natural beauty.</v>
      </c>
      <c r="I27" s="11" t="s">
        <v>158</v>
      </c>
      <c r="J27" s="22"/>
      <c r="K27" s="22"/>
      <c r="L27" s="11" t="s">
        <v>155</v>
      </c>
      <c r="M27" s="11" t="s">
        <v>159</v>
      </c>
      <c r="N27"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""&amp;M27)"),"Dimension | Finish | Profile Length")</f>
        <v>Dimension | Finish | Profile Length</v>
      </c>
      <c r="O27" s="15" t="s">
        <v>38</v>
      </c>
      <c r="P27" s="14" t="str">
        <f>IFERROR(__xludf.DUMMYFUNCTION("AI(""Using the labels""&amp;N27&amp;"" and values ""&amp;M27&amp;"" separated by character '|' and Using ""&amp;L27&amp;"" and key as 'SKU', Create a JSON object"")"),"{""SKU"": ""PR009"", ""Dimension"": ""18.4mm (W) x 18.4mm (H)"", ""Finish"": ""Silver"", ""Profile Length"": ""2m""}")</f>
        <v>{"SKU": "PR009", "Dimension": "18.4mm (W) x 18.4mm (H)", "Finish": "Silver", "Profile Length": "2m"}</v>
      </c>
      <c r="Q27" s="15" t="s">
        <v>160</v>
      </c>
      <c r="R27" s="16"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Q27)"),"{""SKU"": ""PR009"", ""Dimension"": ""18.4mm (W) x 18.4mm (H)"", ""Finish"": ""Silver"", ""Profile Length"": ""2m""}")</f>
        <v>{"SKU": "PR009", "Dimension": "18.4mm (W) x 18.4mm (H)", "Finish": "Silver", "Profile Length": "2m"}</v>
      </c>
      <c r="S27" s="17" t="s">
        <v>160</v>
      </c>
      <c r="T27" s="16"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CCT, IP Rating, Impact Strength).
   - Assign a unique sequential integer string ID to every attribute value, starting from """"101"""" and incrementing by 1 in "&amp;"the order they appear.
   - Format each attribute as an array of objects: `[{""""name"""": """"VALUE"""", """"id"""": """"ID""""}]`.
2. **Determine Constraints (Incompatibilities):**
   - Identify attribute pairs that are impossible or missing from the v"&amp;"alid combinations.
   - Specifically, map an ID of an Option Value to an array of Option Value IDs that **cannot** be selected with it.
   - Output constraints in the format: `""""OPTION_ID"""": [INCOMPATIBLE_OPTION_ID]`.
   - Only list meaningful non-emp"&amp;"ty constraints. Express constraints using the primary driving factor (e.g., optic limitation over CCT).
3. **Determine sku_mappings:**
   - Identify the valid combination and create a array with sku and combination containing array of options ID
4. **O"&amp;"utput Format:**
   - Return strictly valid JSON containing two root keys: """"Options"""", """"Constraints"""" and """"sku_mappings"""".
   - Do not wrap the JSON in conversational filler text.
---
### Example Input:
{""""SKU"""":""""HRS001"""", """"Pow"&amp;"er"""": """"1.2W"""", """"Optics"""": """"SYM30°"""", """"CCT"""": """"3000K"""", """"IP Rating"""": """"IP67"""", """"Impact Strength"""": """"IK10""""}
{""""SKU"""":""""HRS002"""", """"Power"""": """"1.2W"""", """"Optics"""": """"SYM30°"""", """"CCT"""""&amp;": """"4000K"""", """"IP Rating"""": """"IP67"""", """"Impact Strength"""": """"IK10""""}
{""""SKU"""":""""HRS003"""", """"Power"""": """"1.2W"""", """"Optics"""": """"SYM60°"""", """"CCT"""": """"3000K"""", """"IP Rating"""": """"IP67"""", """"Impact Stre"&amp;"ngth"""": """"IK10""""}
{""""SKU"""":""""HRS004"""", """"Power"""": """"1.2W"""", """"Optics"""": """"SYM60°"""", """"CCT"""": """"4000K"""", """"IP Rating"""": """"IP67"""", """"Impact Strength"""": """"IK10""""}
{""""SKU"""":""""HRS005"""", """"Power"""&amp;""": """"1.2W"""", """"Optics"""": """"ASYM50°"""", """"CCT"""": """"3000K"""", """"IP Rating"""": """"IP67"""", """"Impact Strength"""": """"IK10""""}
### Example Output:
{
  """"Options"""": {
    """"Power"""": [
      {""""name"""": """"1.2W"""", """""&amp;"id"""": """"101""""}
    ],
    """"Optics"""": [
      {""""name"""": """"SYM30°"""", """"id"""": """"102""""},
      {""""name"""": """"SYM60°"""", """"id"""": """"103""""},
      {""""name"""": """"ASYM50°"""", """"id"""": """"104""""}
    ],
    """"C"&amp;"CT"""": [
      {""""name"""": """"3000K"""", """"id"""": """"105""""},
      {""""name"""": """"4000K"""", """"id"""": """"106""""}
    ],
    """"IP Rating"""": [
      {""""name"""": """"IP67"""", """"id"""": """"107""""}
    ],
    """"Impact Strength"&amp;""""": [
      {""""name"""": """"IK10"""", """"id"""": """"108""""}
    ]
  },
  """"Constraints"""": {
    """"104"""": [106]
  },
""""sku_mappings"""": [
      { """"sku"""": """"HRS001"""", """"combination"""": [""""101"""", """"102"""", """"105"""", "&amp;"""""107"""", """"108""""] },
      { """"sku"""": """"HRS002"""", """"combination"""": [""""101"""", """"102"""", """"106"""", """"107"""", """"108""""] },
      { """"sku"""": """"HRS003"""", """"combination"""": [""""101"""", """"103"""", """"105"""", "&amp;"""""107"""", """"108""""] },
      { """"sku"""": """"HRS004"""", """"combination"""": [""""101"""", """"103"""", """"106"""", """"107"""", """"108""""] },
      { """"sku"""": """"HRS005"""", """"combination"""": [""""101"""", """"104"""", """"105"""", "&amp;"""""107"""", """"108""""] },
      { """"sku"""": """"HRS006"""", """"combination"""": [""""101"""", """"104"""", """"106"""", """"107"""", """"108""""] }
    ]
}
Process the following product variant combinations and output the """"Options"""" and """"C"&amp;"onstraints"""" JSON:"", Q27)"),"{
""Options"": {
""Dimension"": [
{ ""name"": ""18.4mm (W) x 18.4mm (H)"", ""id"": ""101"" }
],
""Finish"": [
{ ""name"": ""Silver"", ""id"": ""102"" }
],
""Profile Length"": [
{ ""name"": ""2m"", ""id"": ""103"" }
]
},
""Constraints"": {},
""sku_mappings"&amp;""": [
{ ""sku"": ""PR009"", ""combination"": [""101"", ""102"", ""103""] }
]
}")</f>
        <v>{
"Options": {
"Dimension": [
{ "name": "18.4mm (W) x 18.4mm (H)", "id": "101" }
],
"Finish": [
{ "name": "Silver", "id": "102" }
],
"Profile Length": [
{ "name": "2m", "id": "103" }
]
},
"Constraints": {},
"sku_mappings": [
{ "sku": "PR009", "combination": ["101", "102", "103"] }
]
}</v>
      </c>
      <c r="U27" s="30" t="s">
        <v>161</v>
      </c>
      <c r="V27" s="19" t="str">
        <f>IFERROR(__xludf.DUMMYFUNCTION("AI(""Extract options object from the json"", U27)"),"{""Dimension"": [{""name"": ""18.4mm (W) x 18.4mm (H)"", ""id"": ""101""}], ""Finish"": [{""name"": ""Silver"", ""id"": ""102""}], ""Profile Length"": [{""name"": ""2m"", ""id"": ""103""}]}")</f>
        <v>{"Dimension": [{"name": "18.4mm (W) x 18.4mm (H)", "id": "101"}], "Finish": [{"name": "Silver", "id": "102"}], "Profile Length": [{"name": "2m", "id": "103"}]}</v>
      </c>
      <c r="W27" s="19" t="str">
        <f>IFERROR(__xludf.DUMMYFUNCTION("AI(""Extract constraints object from the json"", U27)"),"{}")</f>
        <v>{}</v>
      </c>
      <c r="X27" s="19" t="str">
        <f>IFERROR(__xludf.DUMMYFUNCTION("AI(""Extract sku_mappings object from the json"", U27)"),"[ { ""sku"": ""PR009"", ""combination"": [""101"", ""102"", ""103""] } ]")</f>
        <v>[ { "sku": "PR009", "combination": ["101", "102", "103"] } ]</v>
      </c>
      <c r="Y27" s="17" t="s">
        <v>42</v>
      </c>
      <c r="Z27" s="17" t="s">
        <v>162</v>
      </c>
      <c r="AA27" s="17" t="s">
        <v>44</v>
      </c>
      <c r="AB27" s="20"/>
      <c r="AC27" s="21" t="str">
        <f>IFERROR(__xludf.DUMMYFUNCTION("AI(""Generate 6 powerful unique keywords for the product in this row separated by comma"")"),"Aluminium flat corner profile, Corner LED channel, Silver aluminum extrusion, 90 degree LED profile, Corner mounted light channel, Linear corner diffuser")</f>
        <v>Aluminium flat corner profile, Corner LED channel, Silver aluminum extrusion, 90 degree LED profile, Corner mounted light channel, Linear corner diffuser</v>
      </c>
      <c r="AD27" s="20" t="s">
        <v>163</v>
      </c>
    </row>
    <row r="28" ht="30.0" customHeight="1">
      <c r="A28" s="10" t="s">
        <v>164</v>
      </c>
      <c r="B28" s="11" t="s">
        <v>76</v>
      </c>
      <c r="C28" s="11" t="s">
        <v>32</v>
      </c>
      <c r="D28" s="10" t="s">
        <v>77</v>
      </c>
      <c r="E28" s="11" t="s">
        <v>34</v>
      </c>
      <c r="F28" s="12" t="str">
        <f>IFERROR(__xludf.DUMMYFUNCTION("AI(""Give me a paragraph marketing spiel for product in this row, no tech specs just marketing fluff "")"),"Elevate your home's aesthetic with an ultra-sleek lighting solution that blends effortlessly onto any surface. Designed to deliver a continuous, ambient illumination, this versatile profile turns ordinary walls and ceilings into stunning architectural fea"&amp;"tures. Bring modern sophistication, warmth, and timeless style to your living environment with a touch of understated luxury.")</f>
        <v>Elevate your home's aesthetic with an ultra-sleek lighting solution that blends effortlessly onto any surface. Designed to deliver a continuous, ambient illumination, this versatile profile turns ordinary walls and ceilings into stunning architectural features. Bring modern sophistication, warmth, and timeless style to your living environment with a touch of understated luxury.</v>
      </c>
      <c r="G28" s="13" t="s">
        <v>165</v>
      </c>
      <c r="H28" s="12" t="str">
        <f>IFERROR(__xludf.DUMMYFUNCTION("AI(""Give me a paragraph marketing spiel for product in this row, no tech specs just marketing fluff under 180 characters "")"),"Transform your living space with a touch of discreet luxury, bringing warmth, modern style, and ambiance to any room.")</f>
        <v>Transform your living space with a touch of discreet luxury, bringing warmth, modern style, and ambiance to any room.</v>
      </c>
      <c r="I28" s="11" t="s">
        <v>166</v>
      </c>
      <c r="J28" s="22"/>
      <c r="K28" s="22"/>
      <c r="L28" s="11" t="s">
        <v>164</v>
      </c>
      <c r="M28" s="11" t="s">
        <v>167</v>
      </c>
      <c r="N28"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""&amp;M28)"),"Dimension | Finish | Profile Length")</f>
        <v>Dimension | Finish | Profile Length</v>
      </c>
      <c r="O28" s="15" t="s">
        <v>38</v>
      </c>
      <c r="P28" s="14" t="str">
        <f>IFERROR(__xludf.DUMMYFUNCTION("AI(""Using the labels""&amp;N28&amp;"" and values ""&amp;M28&amp;"" separated by character '|' and Using ""&amp;L28&amp;"" and key as 'SKU', Create a JSON object"")"),"{""SKU"": ""PR016"", ""Dimension"": ""23.5mm (W) x 10.9mm (H)"", ""Finish"": ""Silver"", ""Profile Length"": ""2m""}")</f>
        <v>{"SKU": "PR016", "Dimension": "23.5mm (W) x 10.9mm (H)", "Finish": "Silver", "Profile Length": "2m"}</v>
      </c>
      <c r="Q28" s="15" t="s">
        <v>168</v>
      </c>
      <c r="R28" s="16"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Q28:Q31)"),"{""SKU"": [""PR016"", ""PR016-3m-Silver"", ""PR016-B"", ""PR016-W""], ""Dimension"": ""23.5mm (W) x 10.9mm (H)"", ""Finish"": [""Silver"", ""Black"", ""White""], ""Profile Length"": [""2m"", ""3m""]}")</f>
        <v>{"SKU": ["PR016", "PR016-3m-Silver", "PR016-B", "PR016-W"], "Dimension": "23.5mm (W) x 10.9mm (H)", "Finish": ["Silver", "Black", "White"], "Profile Length": ["2m", "3m"]}</v>
      </c>
      <c r="S28" s="17" t="s">
        <v>169</v>
      </c>
      <c r="T28" s="16"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CCT, IP Rating, Impact Strength).
   - Assign a unique sequential integer string ID to every attribute value, starting from """"101"""" and incrementing by 1 in "&amp;"the order they appear.
   - Format each attribute as an array of objects: `[{""""name"""": """"VALUE"""", """"id"""": """"ID""""}]`.
2. **Determine Constraints (Incompatibilities):**
   - Identify attribute pairs that are impossible or missing from the v"&amp;"alid combinations.
   - Specifically, map an ID of an Option Value to an array of Option Value IDs that **cannot** be selected with it.
   - Output constraints in the format: `""""OPTION_ID"""": [INCOMPATIBLE_OPTION_ID]`.
   - Only list meaningful non-emp"&amp;"ty constraints. Express constraints using the primary driving factor (e.g., optic limitation over CCT).
3. **Determine sku_mappings:**
   - Identify the valid combination and create a array with sku and combination containing array of options ID
4. **O"&amp;"utput Format:**
   - Return strictly valid JSON containing two root keys: """"Options"""", """"Constraints"""" and """"sku_mappings"""".
   - Do not wrap the JSON in conversational filler text.
---
### Example Input:
{""""SKU"""":""""HRS001"""", """"Pow"&amp;"er"""": """"1.2W"""", """"Optics"""": """"SYM30°"""", """"CCT"""": """"3000K"""", """"IP Rating"""": """"IP67"""", """"Impact Strength"""": """"IK10""""}
{""""SKU"""":""""HRS002"""", """"Power"""": """"1.2W"""", """"Optics"""": """"SYM30°"""", """"CCT"""""&amp;": """"4000K"""", """"IP Rating"""": """"IP67"""", """"Impact Strength"""": """"IK10""""}
{""""SKU"""":""""HRS003"""", """"Power"""": """"1.2W"""", """"Optics"""": """"SYM60°"""", """"CCT"""": """"3000K"""", """"IP Rating"""": """"IP67"""", """"Impact Stre"&amp;"ngth"""": """"IK10""""}
{""""SKU"""":""""HRS004"""", """"Power"""": """"1.2W"""", """"Optics"""": """"SYM60°"""", """"CCT"""": """"4000K"""", """"IP Rating"""": """"IP67"""", """"Impact Strength"""": """"IK10""""}
{""""SKU"""":""""HRS005"""", """"Power"""&amp;""": """"1.2W"""", """"Optics"""": """"ASYM50°"""", """"CCT"""": """"3000K"""", """"IP Rating"""": """"IP67"""", """"Impact Strength"""": """"IK10""""}
### Example Output:
{
  """"Options"""": {
    """"Power"""": [
      {""""name"""": """"1.2W"""", """""&amp;"id"""": """"101""""}
    ],
    """"Optics"""": [
      {""""name"""": """"SYM30°"""", """"id"""": """"102""""},
      {""""name"""": """"SYM60°"""", """"id"""": """"103""""},
      {""""name"""": """"ASYM50°"""", """"id"""": """"104""""}
    ],
    """"C"&amp;"CT"""": [
      {""""name"""": """"3000K"""", """"id"""": """"105""""},
      {""""name"""": """"4000K"""", """"id"""": """"106""""}
    ],
    """"IP Rating"""": [
      {""""name"""": """"IP67"""", """"id"""": """"107""""}
    ],
    """"Impact Strength"&amp;""""": [
      {""""name"""": """"IK10"""", """"id"""": """"108""""}
    ]
  },
  """"Constraints"""": {
    """"104"""": [106]
  },
""""sku_mappings"""": [
      { """"sku"""": """"HRS001"""", """"combination"""": [""""101"""", """"102"""", """"105"""", "&amp;"""""107"""", """"108""""] },
      { """"sku"""": """"HRS002"""", """"combination"""": [""""101"""", """"102"""", """"106"""", """"107"""", """"108""""] },
      { """"sku"""": """"HRS003"""", """"combination"""": [""""101"""", """"103"""", """"105"""", "&amp;"""""107"""", """"108""""] },
      { """"sku"""": """"HRS004"""", """"combination"""": [""""101"""", """"103"""", """"106"""", """"107"""", """"108""""] },
      { """"sku"""": """"HRS005"""", """"combination"""": [""""101"""", """"104"""", """"105"""", "&amp;"""""107"""", """"108""""] },
      { """"sku"""": """"HRS006"""", """"combination"""": [""""101"""", """"104"""", """"106"""", """"107"""", """"108""""] }
    ]
}
Process the following product variant combinations and output the """"Options"""" and """"C"&amp;"onstraints"""" JSON:"", Q28:Q31)"),"{
""Options"": {
""Dimension"": [
{""name"": ""23.5mm (W) x 10.9mm (H)"", ""id"": ""101""}
],
""Finish"": [
{""name"": ""Silver"", ""id"": ""102""},
{""name"": ""Black"", ""id"": ""103""},
{""name"": ""White"", ""id"": ""104""}
],
""Profile Length"": [
{"&amp;"""name"": ""2m"", ""id"": ""105""},
{""name"": ""3m"", ""id"": ""106""}
]
},
""Constraints"": {
""103"": [""106""],
""104"": [""106""]
},
""sku_mappings"": [
{ ""sku"": ""PR016"", ""combination"": [""101"", ""102"", ""105""] },
{ ""sku"": ""PR016-3m-Silve"&amp;"r"", ""combination"": [""101"", ""102"", ""106""] },
{ ""sku"": ""PR016-B"", ""combination"": [""101"", ""103"", ""105""] },
{ ""sku"": ""PR016-W"", ""combination"": [""101"", ""104"", ""105""] }
]
}")</f>
        <v>{
"Options": {
"Dimension": [
{"name": "23.5mm (W) x 10.9mm (H)", "id": "101"}
],
"Finish": [
{"name": "Silver", "id": "102"},
{"name": "Black", "id": "103"},
{"name": "White", "id": "104"}
],
"Profile Length": [
{"name": "2m", "id": "105"},
{"name": "3m", "id": "106"}
]
},
"Constraints": {
"103": ["106"],
"104": ["106"]
},
"sku_mappings": [
{ "sku": "PR016", "combination": ["101", "102", "105"] },
{ "sku": "PR016-3m-Silver", "combination": ["101", "102", "106"] },
{ "sku": "PR016-B", "combination": ["101", "103", "105"] },
{ "sku": "PR016-W", "combination": ["101", "104", "105"] }
]
}</v>
      </c>
      <c r="U28" s="30" t="s">
        <v>170</v>
      </c>
      <c r="V28" s="19" t="str">
        <f>IFERROR(__xludf.DUMMYFUNCTION("AI(""Extract options object from the json"", U28)"),"{""Dimension"": [{""name"": ""23.5mm (W) x 10.9mm (H)"", ""id"": ""101""}], ""Finish"": [{""name"": ""Silver"", ""id"": ""102""}, {""name"": ""Black"", ""id"": ""103""}, {""name"": ""White"", ""id"": ""104""}], ""Profile Length"": [{""name"": ""2m"", ""id"&amp;""": ""105""}, {""name"": ""3m"", ""id"": ""106""}]}")</f>
        <v>{"Dimension": [{"name": "23.5mm (W) x 10.9mm (H)", "id": "101"}], "Finish": [{"name": "Silver", "id": "102"}, {"name": "Black", "id": "103"}, {"name": "White", "id": "104"}], "Profile Length": [{"name": "2m", "id": "105"}, {"name": "3m", "id": "106"}]}</v>
      </c>
      <c r="W28" s="19" t="str">
        <f>IFERROR(__xludf.DUMMYFUNCTION("AI(""Extract constraints object from the json"", U28)"),"{ ""103"": [""106""], ""104"": [""106""] }")</f>
        <v>{ "103": ["106"], "104": ["106"] }</v>
      </c>
      <c r="X28" s="19" t="str">
        <f>IFERROR(__xludf.DUMMYFUNCTION("AI(""Extract sku_mappings object from the json"", U28)"),"[
{ ""sku"": ""PR016"", ""combination"": [""101"", ""102"", ""105""] },
{ ""sku"": ""PR016-3m-Silver"", ""combination"": [""101"", ""102"", ""106""] },
{ ""sku"": ""PR016-B"", ""combination"": [""101"", ""103"", ""105""] },
{ ""sku"": ""PR016-W"", ""combi"&amp;"nation"": [""101"", ""104"", ""105""] }
]")</f>
        <v>[
{ "sku": "PR016", "combination": ["101", "102", "105"] },
{ "sku": "PR016-3m-Silver", "combination": ["101", "102", "106"] },
{ "sku": "PR016-B", "combination": ["101", "103", "105"] },
{ "sku": "PR016-W", "combination": ["101", "104", "105"] }
]</v>
      </c>
      <c r="Y28" s="17" t="s">
        <v>42</v>
      </c>
      <c r="Z28" s="17" t="s">
        <v>171</v>
      </c>
      <c r="AA28" s="17" t="s">
        <v>44</v>
      </c>
      <c r="AB28" s="20"/>
      <c r="AC28" s="21" t="str">
        <f>IFERROR(__xludf.DUMMYFUNCTION("AI(""Generate 6 powerful unique keywords for the product in this row separated by comma"")"),"Surface mounted LED channel, Aluminium extrusion profile, Surface LED light housing, Slim aluminium channel, Linear LED strip diffuser, Surface mount LED profile")</f>
        <v>Surface mounted LED channel, Aluminium extrusion profile, Surface LED light housing, Slim aluminium channel, Linear LED strip diffuser, Surface mount LED profile</v>
      </c>
      <c r="AD28" s="20" t="s">
        <v>172</v>
      </c>
    </row>
    <row r="29" ht="30.0" customHeight="1">
      <c r="A29" s="10"/>
      <c r="B29" s="22"/>
      <c r="C29" s="22"/>
      <c r="D29" s="22"/>
      <c r="E29" s="22"/>
      <c r="F29" s="23"/>
      <c r="G29" s="24"/>
      <c r="H29" s="23"/>
      <c r="I29" s="22"/>
      <c r="J29" s="22"/>
      <c r="K29" s="22"/>
      <c r="L29" s="11" t="s">
        <v>173</v>
      </c>
      <c r="M29" s="11" t="s">
        <v>174</v>
      </c>
      <c r="N29"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""&amp;M29)"),"Dimension | Finish | Profile Length")</f>
        <v>Dimension | Finish | Profile Length</v>
      </c>
      <c r="O29" s="15" t="s">
        <v>38</v>
      </c>
      <c r="P29" s="14" t="str">
        <f>IFERROR(__xludf.DUMMYFUNCTION("AI(""Using the labels""&amp;N29&amp;"" and values ""&amp;M29&amp;"" separated by character '|' and Using ""&amp;L29&amp;"" and key as 'SKU', Create a JSON object"")"),"{""SKU"": ""PR016-3m-Silver"", ""Dimension"": ""23.5mm (W) x 10.9mm (H)"", ""Finish"": ""Silver"", ""Profile Length"": ""3m""}")</f>
        <v>{"SKU": "PR016-3m-Silver", "Dimension": "23.5mm (W) x 10.9mm (H)", "Finish": "Silver", "Profile Length": "3m"}</v>
      </c>
      <c r="Q29" s="15" t="s">
        <v>175</v>
      </c>
      <c r="R29" s="25"/>
      <c r="S29" s="25"/>
      <c r="T29" s="25"/>
      <c r="U29" s="26"/>
      <c r="V29" s="25"/>
      <c r="W29" s="25"/>
      <c r="X29" s="25"/>
      <c r="Y29" s="17" t="s">
        <v>42</v>
      </c>
      <c r="Z29" s="17" t="s">
        <v>171</v>
      </c>
      <c r="AA29" s="17" t="s">
        <v>44</v>
      </c>
      <c r="AB29" s="20"/>
      <c r="AC29" s="20"/>
      <c r="AD29" s="20"/>
    </row>
    <row r="30" ht="30.0" customHeight="1">
      <c r="A30" s="10"/>
      <c r="B30" s="22"/>
      <c r="C30" s="22"/>
      <c r="D30" s="22"/>
      <c r="E30" s="22"/>
      <c r="F30" s="23"/>
      <c r="G30" s="24"/>
      <c r="H30" s="23"/>
      <c r="I30" s="22"/>
      <c r="J30" s="22"/>
      <c r="K30" s="22"/>
      <c r="L30" s="11" t="s">
        <v>176</v>
      </c>
      <c r="M30" s="11" t="s">
        <v>177</v>
      </c>
      <c r="N30"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""&amp;M30)"),"Dimension | Finish | Profile Length")</f>
        <v>Dimension | Finish | Profile Length</v>
      </c>
      <c r="O30" s="15" t="s">
        <v>38</v>
      </c>
      <c r="P30" s="14" t="str">
        <f>IFERROR(__xludf.DUMMYFUNCTION("AI(""Using the labels""&amp;N30&amp;"" and values ""&amp;M30&amp;"" separated by character '|' and Using ""&amp;L30&amp;"" and key as 'SKU', Create a JSON object"")"),"{""SKU"": ""PR016-B"", ""Dimension"": ""23.5mm (W) x 10.9mm (H)"", ""Finish"": ""Black"", ""Profile Length"": ""2m""}")</f>
        <v>{"SKU": "PR016-B", "Dimension": "23.5mm (W) x 10.9mm (H)", "Finish": "Black", "Profile Length": "2m"}</v>
      </c>
      <c r="Q30" s="15" t="s">
        <v>178</v>
      </c>
      <c r="R30" s="25"/>
      <c r="S30" s="25"/>
      <c r="T30" s="25"/>
      <c r="U30" s="26"/>
      <c r="V30" s="25"/>
      <c r="W30" s="25"/>
      <c r="X30" s="25"/>
      <c r="Y30" s="17" t="s">
        <v>42</v>
      </c>
      <c r="Z30" s="17" t="s">
        <v>171</v>
      </c>
      <c r="AA30" s="17" t="s">
        <v>44</v>
      </c>
      <c r="AB30" s="20"/>
      <c r="AC30" s="20"/>
      <c r="AD30" s="20"/>
    </row>
    <row r="31" ht="30.0" customHeight="1">
      <c r="A31" s="10"/>
      <c r="B31" s="11"/>
      <c r="C31" s="22"/>
      <c r="D31" s="22"/>
      <c r="E31" s="22"/>
      <c r="F31" s="23"/>
      <c r="G31" s="24"/>
      <c r="H31" s="23"/>
      <c r="I31" s="22"/>
      <c r="J31" s="22"/>
      <c r="K31" s="22"/>
      <c r="L31" s="11" t="s">
        <v>179</v>
      </c>
      <c r="M31" s="11" t="s">
        <v>180</v>
      </c>
      <c r="N31"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""&amp;M31)"),"Dimension | Finish | Profile Length")</f>
        <v>Dimension | Finish | Profile Length</v>
      </c>
      <c r="O31" s="15" t="s">
        <v>38</v>
      </c>
      <c r="P31" s="14" t="str">
        <f>IFERROR(__xludf.DUMMYFUNCTION("AI(""Using the labels""&amp;N31&amp;"" and values ""&amp;M31&amp;"" separated by character '|' and Using ""&amp;L31&amp;"" and key as 'SKU', Create a JSON object"")"),"{""SKU"": ""PR016-W"", ""Dimension"": ""23.5mm (W) x 10.9mm (H)"", ""Finish"": ""White"", ""Profile Length"": ""2m""}")</f>
        <v>{"SKU": "PR016-W", "Dimension": "23.5mm (W) x 10.9mm (H)", "Finish": "White", "Profile Length": "2m"}</v>
      </c>
      <c r="Q31" s="15" t="s">
        <v>181</v>
      </c>
      <c r="R31" s="25"/>
      <c r="S31" s="25"/>
      <c r="T31" s="25"/>
      <c r="U31" s="26"/>
      <c r="V31" s="25"/>
      <c r="W31" s="25"/>
      <c r="X31" s="25"/>
      <c r="Y31" s="17" t="s">
        <v>42</v>
      </c>
      <c r="Z31" s="17" t="s">
        <v>171</v>
      </c>
      <c r="AA31" s="17" t="s">
        <v>44</v>
      </c>
      <c r="AB31" s="20"/>
      <c r="AC31" s="20"/>
      <c r="AD31" s="20"/>
    </row>
    <row r="32" ht="30.0" customHeight="1">
      <c r="A32" s="10" t="s">
        <v>182</v>
      </c>
      <c r="B32" s="11" t="s">
        <v>129</v>
      </c>
      <c r="C32" s="11" t="s">
        <v>32</v>
      </c>
      <c r="D32" s="11" t="s">
        <v>130</v>
      </c>
      <c r="E32" s="11" t="s">
        <v>34</v>
      </c>
      <c r="F32" s="12" t="str">
        <f>IFERROR(__xludf.DUMMYFUNCTION("AI(""Give me a paragraph marketing spiel for product in this row, no tech specs just marketing fluff "")"),"Transform your interiors with clean, sharp architectural lines and a captivating, continuous glow. Designed to seamlessly fit into corner spaces, this elegant profile creates an inviting atmosphere of modern luxury and quiet sophistication. Perfect for hi"&amp;"ghlighting architectural details or adding ambient warmth, it provides an effortlessly chic lighting experience that elevates any room into a stunning visual showcase.")</f>
        <v>Transform your interiors with clean, sharp architectural lines and a captivating, continuous glow. Designed to seamlessly fit into corner spaces, this elegant profile creates an inviting atmosphere of modern luxury and quiet sophistication. Perfect for highlighting architectural details or adding ambient warmth, it provides an effortlessly chic lighting experience that elevates any room into a stunning visual showcase.</v>
      </c>
      <c r="G32" s="13" t="s">
        <v>183</v>
      </c>
      <c r="H32" s="12" t="str">
        <f>IFERROR(__xludf.DUMMYFUNCTION("AI(""Give me a paragraph marketing spiel for product in this row, no tech specs just marketing fluff under 180 characters "")"),"Elevate your space with sleek architectural elegance and discreet luxury, creating a sophisticated, seamless ambient glow.")</f>
        <v>Elevate your space with sleek architectural elegance and discreet luxury, creating a sophisticated, seamless ambient glow.</v>
      </c>
      <c r="I32" s="11" t="s">
        <v>184</v>
      </c>
      <c r="J32" s="22"/>
      <c r="K32" s="22"/>
      <c r="L32" s="11" t="s">
        <v>182</v>
      </c>
      <c r="M32" s="11" t="s">
        <v>185</v>
      </c>
      <c r="N32"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""&amp;M32)"),"Dimension | Finish | Profile Length")</f>
        <v>Dimension | Finish | Profile Length</v>
      </c>
      <c r="O32" s="15" t="s">
        <v>38</v>
      </c>
      <c r="P32" s="14" t="str">
        <f>IFERROR(__xludf.DUMMYFUNCTION("AI(""Using the labels""&amp;N32&amp;"" and values ""&amp;M32&amp;"" separated by character '|' and Using ""&amp;L32&amp;"" and key as 'SKU', Create a JSON object"")"),"{""SKU"": ""PR017-3m-Silver"", ""Dimension"": ""30mm (W) x 30mm (H)"", ""Finish"": ""Silver"", ""Profile Length"": ""3m""}")</f>
        <v>{"SKU": "PR017-3m-Silver", "Dimension": "30mm (W) x 30mm (H)", "Finish": "Silver", "Profile Length": "3m"}</v>
      </c>
      <c r="Q32" s="15" t="s">
        <v>186</v>
      </c>
      <c r="R32" s="16"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Q32)"),"{""SKU"": ""PR017-3m-Silver"", ""Dimension"": ""30mm (W) x 30mm (H)"", ""Finish"": ""Silver"", ""Profile Length"": ""3m""}")</f>
        <v>{"SKU": "PR017-3m-Silver", "Dimension": "30mm (W) x 30mm (H)", "Finish": "Silver", "Profile Length": "3m"}</v>
      </c>
      <c r="S32" s="17" t="s">
        <v>186</v>
      </c>
      <c r="T32" s="16"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CCT, IP Rating, Impact Strength).
   - Assign a unique sequential integer string ID to every attribute value, starting from """"101"""" and incrementing by 1 in "&amp;"the order they appear.
   - Format each attribute as an array of objects: `[{""""name"""": """"VALUE"""", """"id"""": """"ID""""}]`.
2. **Determine Constraints (Incompatibilities):**
   - Identify attribute pairs that are impossible or missing from the v"&amp;"alid combinations.
   - Specifically, map an ID of an Option Value to an array of Option Value IDs that **cannot** be selected with it.
   - Output constraints in the format: `""""OPTION_ID"""": [INCOMPATIBLE_OPTION_ID]`.
   - Only list meaningful non-emp"&amp;"ty constraints. Express constraints using the primary driving factor (e.g., optic limitation over CCT).
3. **Determine sku_mappings:**
   - Identify the valid combination and create a array with sku and combination containing array of options ID
4. **O"&amp;"utput Format:**
   - Return strictly valid JSON containing two root keys: """"Options"""", """"Constraints"""" and """"sku_mappings"""".
   - Do not wrap the JSON in conversational filler text.
---
### Example Input:
{""""SKU"""":""""HRS001"""", """"Pow"&amp;"er"""": """"1.2W"""", """"Optics"""": """"SYM30°"""", """"CCT"""": """"3000K"""", """"IP Rating"""": """"IP67"""", """"Impact Strength"""": """"IK10""""}
{""""SKU"""":""""HRS002"""", """"Power"""": """"1.2W"""", """"Optics"""": """"SYM30°"""", """"CCT"""""&amp;": """"4000K"""", """"IP Rating"""": """"IP67"""", """"Impact Strength"""": """"IK10""""}
{""""SKU"""":""""HRS003"""", """"Power"""": """"1.2W"""", """"Optics"""": """"SYM60°"""", """"CCT"""": """"3000K"""", """"IP Rating"""": """"IP67"""", """"Impact Stre"&amp;"ngth"""": """"IK10""""}
{""""SKU"""":""""HRS004"""", """"Power"""": """"1.2W"""", """"Optics"""": """"SYM60°"""", """"CCT"""": """"4000K"""", """"IP Rating"""": """"IP67"""", """"Impact Strength"""": """"IK10""""}
{""""SKU"""":""""HRS005"""", """"Power"""&amp;""": """"1.2W"""", """"Optics"""": """"ASYM50°"""", """"CCT"""": """"3000K"""", """"IP Rating"""": """"IP67"""", """"Impact Strength"""": """"IK10""""}
### Example Output:
{
  """"Options"""": {
    """"Power"""": [
      {""""name"""": """"1.2W"""", """""&amp;"id"""": """"101""""}
    ],
    """"Optics"""": [
      {""""name"""": """"SYM30°"""", """"id"""": """"102""""},
      {""""name"""": """"SYM60°"""", """"id"""": """"103""""},
      {""""name"""": """"ASYM50°"""", """"id"""": """"104""""}
    ],
    """"C"&amp;"CT"""": [
      {""""name"""": """"3000K"""", """"id"""": """"105""""},
      {""""name"""": """"4000K"""", """"id"""": """"106""""}
    ],
    """"IP Rating"""": [
      {""""name"""": """"IP67"""", """"id"""": """"107""""}
    ],
    """"Impact Strength"&amp;""""": [
      {""""name"""": """"IK10"""", """"id"""": """"108""""}
    ]
  },
  """"Constraints"""": {
    """"104"""": [106]
  },
""""sku_mappings"""": [
      { """"sku"""": """"HRS001"""", """"combination"""": [""""101"""", """"102"""", """"105"""", "&amp;"""""107"""", """"108""""] },
      { """"sku"""": """"HRS002"""", """"combination"""": [""""101"""", """"102"""", """"106"""", """"107"""", """"108""""] },
      { """"sku"""": """"HRS003"""", """"combination"""": [""""101"""", """"103"""", """"105"""", "&amp;"""""107"""", """"108""""] },
      { """"sku"""": """"HRS004"""", """"combination"""": [""""101"""", """"103"""", """"106"""", """"107"""", """"108""""] },
      { """"sku"""": """"HRS005"""", """"combination"""": [""""101"""", """"104"""", """"105"""", "&amp;"""""107"""", """"108""""] },
      { """"sku"""": """"HRS006"""", """"combination"""": [""""101"""", """"104"""", """"106"""", """"107"""", """"108""""] }
    ]
}
Process the following product variant combinations and output the """"Options"""" and """"C"&amp;"onstraints"""" JSON:"", Q32)"),"{
""Options"": {
""Dimension"": [
{ ""name"": ""30mm (W) x 30mm (H)"", ""id"": ""101"" }
],
""Finish"": [
{ ""name"": ""Silver"", ""id"": ""102"" }
],
""Profile Length"": [
{ ""name"": ""3m"", ""id"": ""103"" }
]
},
""Constraints"": {},
""sku_mappings"": "&amp;"[
{
""sku"": ""PR017-3m-Silver"",
""combination"": [ ""101"", ""102"", ""103"" ]
}
]
}")</f>
        <v>{
"Options": {
"Dimension": [
{ "name": "30mm (W) x 30mm (H)", "id": "101" }
],
"Finish": [
{ "name": "Silver", "id": "102" }
],
"Profile Length": [
{ "name": "3m", "id": "103" }
]
},
"Constraints": {},
"sku_mappings": [
{
"sku": "PR017-3m-Silver",
"combination": [ "101", "102", "103" ]
}
]
}</v>
      </c>
      <c r="U32" s="30" t="s">
        <v>187</v>
      </c>
      <c r="V32" s="31" t="str">
        <f>IFERROR(__xludf.DUMMYFUNCTION("AI(""Extract options object from the json"", U32)"),"{""Dimension"": [{""name"": ""30mm (W) x 30mm (H)"", ""id"": ""101""}], ""Finish"": [{""name"": ""Silver"", ""id"": ""102""}], ""Profile Length"": [{""name"": ""3m"", ""id"": ""103""}]}")</f>
        <v>{"Dimension": [{"name": "30mm (W) x 30mm (H)", "id": "101"}], "Finish": [{"name": "Silver", "id": "102"}], "Profile Length": [{"name": "3m", "id": "103"}]}</v>
      </c>
      <c r="W32" s="31" t="str">
        <f>IFERROR(__xludf.DUMMYFUNCTION("AI(""Extract constraints object from the json"", U32)"),"{}")</f>
        <v>{}</v>
      </c>
      <c r="X32" s="31" t="str">
        <f>IFERROR(__xludf.DUMMYFUNCTION("AI(""Extract sku_mappings object from the json"", U32)"),"[ { ""sku"": ""PR017-3m-Silver"", ""combination"": [""101"", ""102"", ""103""] } ]")</f>
        <v>[ { "sku": "PR017-3m-Silver", "combination": ["101", "102", "103"] } ]</v>
      </c>
      <c r="Y32" s="17" t="s">
        <v>42</v>
      </c>
      <c r="Z32" s="17" t="s">
        <v>188</v>
      </c>
      <c r="AA32" s="17" t="s">
        <v>189</v>
      </c>
      <c r="AB32" s="20"/>
      <c r="AC32" s="21" t="str">
        <f>IFERROR(__xludf.DUMMYFUNCTION("AI(""Generate 6 powerful unique keywords for the product in this row separated by comma"")"),"Aluminium square corner profile, LED corner channel, Corner LED light strip housing, Silver aluminium profile 3m, Angle LED extrusion, 30mm corner light channel")</f>
        <v>Aluminium square corner profile, LED corner channel, Corner LED light strip housing, Silver aluminium profile 3m, Angle LED extrusion, 30mm corner light channel</v>
      </c>
      <c r="AD32" s="20" t="s">
        <v>190</v>
      </c>
    </row>
    <row r="33" ht="30.0" customHeight="1">
      <c r="A33" s="10" t="s">
        <v>191</v>
      </c>
      <c r="B33" s="11" t="s">
        <v>139</v>
      </c>
      <c r="C33" s="11" t="s">
        <v>32</v>
      </c>
      <c r="D33" s="11" t="s">
        <v>130</v>
      </c>
      <c r="E33" s="11" t="s">
        <v>34</v>
      </c>
      <c r="F33" s="12" t="str">
        <f>IFERROR(__xludf.DUMMYFUNCTION("AI(""Give me a paragraph marketing spiel for product in this row, no tech specs just marketing fluff "")"),"Elevate your interior aesthetic with soft, graceful contours and a beautifully diffused ambiance. This versatile corner lighting solution gently sweeps across walls to deliver an uninterrupted, luminous glow that adds depth and warmth to your environment."&amp;" Crafted for those who appreciate sleek design and subtle luxury, it brings a sense of refined harmony and modern elegance to any contemporary space.")</f>
        <v>Elevate your interior aesthetic with soft, graceful contours and a beautifully diffused ambiance. This versatile corner lighting solution gently sweeps across walls to deliver an uninterrupted, luminous glow that adds depth and warmth to your environment. Crafted for those who appreciate sleek design and subtle luxury, it brings a sense of refined harmony and modern elegance to any contemporary space.</v>
      </c>
      <c r="G33" s="13" t="s">
        <v>192</v>
      </c>
      <c r="H33" s="12" t="str">
        <f>IFERROR(__xludf.DUMMYFUNCTION("AI(""Give me a paragraph marketing spiel for product in this row, no tech specs just marketing fluff under 180 characters "")"),"Enhance your interior spaces with smooth, elegant curves and discreet luxury, casting a soft, warm architectural glow.")</f>
        <v>Enhance your interior spaces with smooth, elegant curves and discreet luxury, casting a soft, warm architectural glow.</v>
      </c>
      <c r="I33" s="11" t="s">
        <v>193</v>
      </c>
      <c r="J33" s="22"/>
      <c r="K33" s="22"/>
      <c r="L33" s="11" t="s">
        <v>191</v>
      </c>
      <c r="M33" s="11" t="s">
        <v>185</v>
      </c>
      <c r="N33"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""&amp;M33)"),"Dimension | Finish | Profile Length")</f>
        <v>Dimension | Finish | Profile Length</v>
      </c>
      <c r="O33" s="15" t="s">
        <v>38</v>
      </c>
      <c r="P33" s="14" t="str">
        <f>IFERROR(__xludf.DUMMYFUNCTION("AI(""Using the labels""&amp;N33&amp;"" and values ""&amp;M33&amp;"" separated by character '|' and Using ""&amp;L33&amp;"" and key as 'SKU', Create a JSON object"")"),"{""SKU"": ""PR018-3m-Silver"", ""Dimension"": ""30mm (W) x 30mm (H)"", ""Finish"": ""Silver"", ""Profile Length"": ""3m""}")</f>
        <v>{"SKU": "PR018-3m-Silver", "Dimension": "30mm (W) x 30mm (H)", "Finish": "Silver", "Profile Length": "3m"}</v>
      </c>
      <c r="Q33" s="15" t="s">
        <v>194</v>
      </c>
      <c r="R33" s="16"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Q33)"),"{""SKU"": ""PR018-3m-Silver"", ""Dimension"": ""30mm (W) x 30mm (H)"", ""Finish"": ""Silver"", ""Profile Length"": ""3m""}")</f>
        <v>{"SKU": "PR018-3m-Silver", "Dimension": "30mm (W) x 30mm (H)", "Finish": "Silver", "Profile Length": "3m"}</v>
      </c>
      <c r="S33" s="17" t="s">
        <v>194</v>
      </c>
      <c r="T33" s="16"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CCT, IP Rating, Impact Strength).
   - Assign a unique sequential integer string ID to every attribute value, starting from """"101"""" and incrementing by 1 in "&amp;"the order they appear.
   - Format each attribute as an array of objects: `[{""""name"""": """"VALUE"""", """"id"""": """"ID""""}]`.
2. **Determine Constraints (Incompatibilities):**
   - Identify attribute pairs that are impossible or missing from the v"&amp;"alid combinations.
   - Specifically, map an ID of an Option Value to an array of Option Value IDs that **cannot** be selected with it.
   - Output constraints in the format: `""""OPTION_ID"""": [INCOMPATIBLE_OPTION_ID]`.
   - Only list meaningful non-emp"&amp;"ty constraints. Express constraints using the primary driving factor (e.g., optic limitation over CCT).
3. **Determine sku_mappings:**
   - Identify the valid combination and create a array with sku and combination containing array of options ID
4. **O"&amp;"utput Format:**
   - Return strictly valid JSON containing two root keys: """"Options"""", """"Constraints"""" and """"sku_mappings"""".
   - Do not wrap the JSON in conversational filler text.
---
### Example Input:
{""""SKU"""":""""HRS001"""", """"Pow"&amp;"er"""": """"1.2W"""", """"Optics"""": """"SYM30°"""", """"CCT"""": """"3000K"""", """"IP Rating"""": """"IP67"""", """"Impact Strength"""": """"IK10""""}
{""""SKU"""":""""HRS002"""", """"Power"""": """"1.2W"""", """"Optics"""": """"SYM30°"""", """"CCT"""""&amp;": """"4000K"""", """"IP Rating"""": """"IP67"""", """"Impact Strength"""": """"IK10""""}
{""""SKU"""":""""HRS003"""", """"Power"""": """"1.2W"""", """"Optics"""": """"SYM60°"""", """"CCT"""": """"3000K"""", """"IP Rating"""": """"IP67"""", """"Impact Stre"&amp;"ngth"""": """"IK10""""}
{""""SKU"""":""""HRS004"""", """"Power"""": """"1.2W"""", """"Optics"""": """"SYM60°"""", """"CCT"""": """"4000K"""", """"IP Rating"""": """"IP67"""", """"Impact Strength"""": """"IK10""""}
{""""SKU"""":""""HRS005"""", """"Power"""&amp;""": """"1.2W"""", """"Optics"""": """"ASYM50°"""", """"CCT"""": """"3000K"""", """"IP Rating"""": """"IP67"""", """"Impact Strength"""": """"IK10""""}
### Example Output:
{
  """"Options"""": {
    """"Power"""": [
      {""""name"""": """"1.2W"""", """""&amp;"id"""": """"101""""}
    ],
    """"Optics"""": [
      {""""name"""": """"SYM30°"""", """"id"""": """"102""""},
      {""""name"""": """"SYM60°"""", """"id"""": """"103""""},
      {""""name"""": """"ASYM50°"""", """"id"""": """"104""""}
    ],
    """"C"&amp;"CT"""": [
      {""""name"""": """"3000K"""", """"id"""": """"105""""},
      {""""name"""": """"4000K"""", """"id"""": """"106""""}
    ],
    """"IP Rating"""": [
      {""""name"""": """"IP67"""", """"id"""": """"107""""}
    ],
    """"Impact Strength"&amp;""""": [
      {""""name"""": """"IK10"""", """"id"""": """"108""""}
    ]
  },
  """"Constraints"""": {
    """"104"""": [106]
  },
""""sku_mappings"""": [
      { """"sku"""": """"HRS001"""", """"combination"""": [""""101"""", """"102"""", """"105"""", "&amp;"""""107"""", """"108""""] },
      { """"sku"""": """"HRS002"""", """"combination"""": [""""101"""", """"102"""", """"106"""", """"107"""", """"108""""] },
      { """"sku"""": """"HRS003"""", """"combination"""": [""""101"""", """"103"""", """"105"""", "&amp;"""""107"""", """"108""""] },
      { """"sku"""": """"HRS004"""", """"combination"""": [""""101"""", """"103"""", """"106"""", """"107"""", """"108""""] },
      { """"sku"""": """"HRS005"""", """"combination"""": [""""101"""", """"104"""", """"105"""", "&amp;"""""107"""", """"108""""] },
      { """"sku"""": """"HRS006"""", """"combination"""": [""""101"""", """"104"""", """"106"""", """"107"""", """"108""""] }
    ]
}
Process the following product variant combinations and output the """"Options"""" and """"C"&amp;"onstraints"""" JSON:"", Q33)"),"{ ""Options"": { ""Dimension"": [ {""name"": ""30mm (W) x 30mm (H)"", ""id"": ""101""} ], ""Finish"": [ {""name"": ""Silver"", ""id"": ""102""} ], ""Profile Length"": [ {""name"": ""3m"", ""id"": ""103""} ] }, ""Constraints"": {}, ""sku_mappings"": [ { """&amp;"sku"": ""PR018-3m-Silver"", ""combination"": [""101"", ""102"", ""103""] } ] }")</f>
        <v>{ "Options": { "Dimension": [ {"name": "30mm (W) x 30mm (H)", "id": "101"} ], "Finish": [ {"name": "Silver", "id": "102"} ], "Profile Length": [ {"name": "3m", "id": "103"} ] }, "Constraints": {}, "sku_mappings": [ { "sku": "PR018-3m-Silver", "combination": ["101", "102", "103"] } ] }</v>
      </c>
      <c r="U33" s="30" t="s">
        <v>195</v>
      </c>
      <c r="V33" s="31" t="str">
        <f>IFERROR(__xludf.DUMMYFUNCTION("AI(""Extract options object from the json"", U33)"),"{""Dimension"": [{""name"": ""30mm (W) x 30mm (H)"", ""id"": ""101""}], ""Finish"": [{""name"": ""Silver"", ""id"": ""102""}], ""Profile Length"": [{""name"": ""3m"", ""id"": ""103""}]}")</f>
        <v>{"Dimension": [{"name": "30mm (W) x 30mm (H)", "id": "101"}], "Finish": [{"name": "Silver", "id": "102"}], "Profile Length": [{"name": "3m", "id": "103"}]}</v>
      </c>
      <c r="W33" s="31" t="str">
        <f>IFERROR(__xludf.DUMMYFUNCTION("AI(""Extract constraints object from the json"", U33)"),"{}")</f>
        <v>{}</v>
      </c>
      <c r="X33" s="31" t="str">
        <f>IFERROR(__xludf.DUMMYFUNCTION("AI(""Extract sku_mappings object from the json"", U33)"),"[ { ""sku"": ""PR018-3m-Silver"", ""combination"": [""101"", ""102"", ""103""] } ]")</f>
        <v>[ { "sku": "PR018-3m-Silver", "combination": ["101", "102", "103"] } ]</v>
      </c>
      <c r="Y33" s="17" t="s">
        <v>42</v>
      </c>
      <c r="Z33" s="17" t="s">
        <v>196</v>
      </c>
      <c r="AA33" s="17" t="s">
        <v>189</v>
      </c>
      <c r="AB33" s="20"/>
      <c r="AC33" s="21" t="str">
        <f>IFERROR(__xludf.DUMMYFUNCTION("AI(""Generate 6 powerful unique keywords for the product in this row separated by comma"")"),"Aluminium round corner profile, Curved LED corner channel, Round corner LED diffuser, Silver aluminium profile 3m, Rounded LED extrusion, 30mm corner light channel")</f>
        <v>Aluminium round corner profile, Curved LED corner channel, Round corner LED diffuser, Silver aluminium profile 3m, Rounded LED extrusion, 30mm corner light channel</v>
      </c>
      <c r="AD33" s="20" t="s">
        <v>197</v>
      </c>
    </row>
    <row r="34" ht="30.0" customHeight="1">
      <c r="A34" s="10" t="s">
        <v>198</v>
      </c>
      <c r="B34" s="11" t="s">
        <v>199</v>
      </c>
      <c r="C34" s="11" t="s">
        <v>32</v>
      </c>
      <c r="D34" s="11" t="s">
        <v>200</v>
      </c>
      <c r="E34" s="11" t="s">
        <v>34</v>
      </c>
      <c r="F34" s="12" t="str">
        <f>IFERROR(__xludf.DUMMYFUNCTION("AI(""Give me a paragraph marketing spiel for product in this row, no tech specs just marketing fluff "")"),"Reframe your space with a dramatic statement of floating light and contemporary elegance. Whether surface mounted for a clean, integrated feel or gracefully suspended to define architectural zones, this premium lighting solution surrounds your room with a"&amp;" rich, sophisticated ambiance. Designed to inspire and impress, it seamlessly blends modern minimalism with luxury, making it the ultimate centerpiece for elevated living.")</f>
        <v>Reframe your space with a dramatic statement of floating light and contemporary elegance. Whether surface mounted for a clean, integrated feel or gracefully suspended to define architectural zones, this premium lighting solution surrounds your room with a rich, sophisticated ambiance. Designed to inspire and impress, it seamlessly blends modern minimalism with luxury, making it the ultimate centerpiece for elevated living.</v>
      </c>
      <c r="G34" s="13" t="s">
        <v>201</v>
      </c>
      <c r="H34" s="12" t="str">
        <f>IFERROR(__xludf.DUMMYFUNCTION("AI(""Give me a paragraph marketing spiel for product in this row, no tech specs just marketing fluff under 180 characters "")"),"Transform any room with modern suspended elegance, bringing refined style and captivating ambiance to your architecture.")</f>
        <v>Transform any room with modern suspended elegance, bringing refined style and captivating ambiance to your architecture.</v>
      </c>
      <c r="I34" s="11" t="s">
        <v>202</v>
      </c>
      <c r="J34" s="22"/>
      <c r="K34" s="11"/>
      <c r="L34" s="11" t="s">
        <v>198</v>
      </c>
      <c r="M34" s="11" t="s">
        <v>203</v>
      </c>
      <c r="N34"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""&amp;M34)"),"Dimension | Finish | Profile Length")</f>
        <v>Dimension | Finish | Profile Length</v>
      </c>
      <c r="O34" s="15" t="s">
        <v>38</v>
      </c>
      <c r="P34" s="14" t="str">
        <f>IFERROR(__xludf.DUMMYFUNCTION("AI(""Using the labels""&amp;N34&amp;"" and values ""&amp;M34&amp;"" separated by character '|' and Using ""&amp;L34&amp;"" and key as 'SKU', Create a JSON object"")"),"{""SKU"": ""PR021-3m-Silver"", ""Dimension"": ""35mm (W) x 35mm (H)"", ""Finish"": ""Silver"", ""Profile Length"": ""3m""}")</f>
        <v>{"SKU": "PR021-3m-Silver", "Dimension": "35mm (W) x 35mm (H)", "Finish": "Silver", "Profile Length": "3m"}</v>
      </c>
      <c r="Q34" s="15" t="s">
        <v>204</v>
      </c>
      <c r="R34" s="16"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Q34:Q36)"),"{""SKU"": [""PR021-3m-Silver"", ""PR021-W"", ""PR021-B""], ""Dimension"": ""35mm (W) x 35mm (H)"", ""Finish"": [""Silver"", ""White"", ""Black""], ""Profile Length"": [""3m"", ""2m""]}")</f>
        <v>{"SKU": ["PR021-3m-Silver", "PR021-W", "PR021-B"], "Dimension": "35mm (W) x 35mm (H)", "Finish": ["Silver", "White", "Black"], "Profile Length": ["3m", "2m"]}</v>
      </c>
      <c r="S34" s="17" t="s">
        <v>205</v>
      </c>
      <c r="T34" s="16"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CCT, IP Rating, Impact Strength).
   - Assign a unique sequential integer string ID to every attribute value, starting from """"101"""" and incrementing by 1 in "&amp;"the order they appear.
   - Format each attribute as an array of objects: `[{""""name"""": """"VALUE"""", """"id"""": """"ID""""}]`.
2. **Determine Constraints (Incompatibilities):**
   - Identify attribute pairs that are impossible or missing from the v"&amp;"alid combinations.
   - Specifically, map an ID of an Option Value to an array of Option Value IDs that **cannot** be selected with it.
   - Output constraints in the format: `""""OPTION_ID"""": [INCOMPATIBLE_OPTION_ID]`.
   - Only list meaningful non-emp"&amp;"ty constraints. Express constraints using the primary driving factor (e.g., optic limitation over CCT).
3. **Determine sku_mappings:**
   - Identify the valid combination and create a array with sku and combination containing array of options ID
4. **O"&amp;"utput Format:**
   - Return strictly valid JSON containing two root keys: """"Options"""", """"Constraints"""" and """"sku_mappings"""".
   - Do not wrap the JSON in conversational filler text.
---
### Example Input:
{""""SKU"""":""""HRS001"""", """"Pow"&amp;"er"""": """"1.2W"""", """"Optics"""": """"SYM30°"""", """"CCT"""": """"3000K"""", """"IP Rating"""": """"IP67"""", """"Impact Strength"""": """"IK10""""}
{""""SKU"""":""""HRS002"""", """"Power"""": """"1.2W"""", """"Optics"""": """"SYM30°"""", """"CCT"""""&amp;": """"4000K"""", """"IP Rating"""": """"IP67"""", """"Impact Strength"""": """"IK10""""}
{""""SKU"""":""""HRS003"""", """"Power"""": """"1.2W"""", """"Optics"""": """"SYM60°"""", """"CCT"""": """"3000K"""", """"IP Rating"""": """"IP67"""", """"Impact Stre"&amp;"ngth"""": """"IK10""""}
{""""SKU"""":""""HRS004"""", """"Power"""": """"1.2W"""", """"Optics"""": """"SYM60°"""", """"CCT"""": """"4000K"""", """"IP Rating"""": """"IP67"""", """"Impact Strength"""": """"IK10""""}
{""""SKU"""":""""HRS005"""", """"Power"""&amp;""": """"1.2W"""", """"Optics"""": """"ASYM50°"""", """"CCT"""": """"3000K"""", """"IP Rating"""": """"IP67"""", """"Impact Strength"""": """"IK10""""}
### Example Output:
{
  """"Options"""": {
    """"Power"""": [
      {""""name"""": """"1.2W"""", """""&amp;"id"""": """"101""""}
    ],
    """"Optics"""": [
      {""""name"""": """"SYM30°"""", """"id"""": """"102""""},
      {""""name"""": """"SYM60°"""", """"id"""": """"103""""},
      {""""name"""": """"ASYM50°"""", """"id"""": """"104""""}
    ],
    """"C"&amp;"CT"""": [
      {""""name"""": """"3000K"""", """"id"""": """"105""""},
      {""""name"""": """"4000K"""", """"id"""": """"106""""}
    ],
    """"IP Rating"""": [
      {""""name"""": """"IP67"""", """"id"""": """"107""""}
    ],
    """"Impact Strength"&amp;""""": [
      {""""name"""": """"IK10"""", """"id"""": """"108""""}
    ]
  },
  """"Constraints"""": {
    """"104"""": [106]
  },
""""sku_mappings"""": [
      { """"sku"""": """"HRS001"""", """"combination"""": [""""101"""", """"102"""", """"105"""", "&amp;"""""107"""", """"108""""] },
      { """"sku"""": """"HRS002"""", """"combination"""": [""""101"""", """"102"""", """"106"""", """"107"""", """"108""""] },
      { """"sku"""": """"HRS003"""", """"combination"""": [""""101"""", """"103"""", """"105"""", "&amp;"""""107"""", """"108""""] },
      { """"sku"""": """"HRS004"""", """"combination"""": [""""101"""", """"103"""", """"106"""", """"107"""", """"108""""] },
      { """"sku"""": """"HRS005"""", """"combination"""": [""""101"""", """"104"""", """"105"""", "&amp;"""""107"""", """"108""""] },
      { """"sku"""": """"HRS006"""", """"combination"""": [""""101"""", """"104"""", """"106"""", """"107"""", """"108""""] }
    ]
}
Process the following product variant combinations and output the """"Options"""" and """"C"&amp;"onstraints"""" JSON:"", Q34:Q36)"),"{
""Options"": {
""Dimension"": [
{""name"": ""35mm (W) x 35mm (H)"", ""id"": ""101""}
],
""Finish"": [
{""name"": ""Silver"", ""id"": ""102""},
{""name"": ""White"", ""id"": ""103""},
{""name"": ""Black"", ""id"": ""104""}
],
""Profile Length"": [
{""nam"&amp;"e"": ""3m"", ""id"": ""105""},
{""name"": ""2m"", ""id"": ""106""}
]
},
""Constraints"": {
""103"": [""105""],
""104"": [""105""]
},
""sku_mappings"": [
{ ""sku"": ""PR021-3m-Silver"", ""combination"": [""101"", ""102"", ""105""] },
{ ""sku"": ""PR021-W"""&amp;", ""combination"": [""101"", ""103"", ""106""] },
{ ""sku"": ""PR021-B"", ""combination"": [""101"", ""104"", ""106""] }
]
}")</f>
        <v>{
"Options": {
"Dimension": [
{"name": "35mm (W) x 35mm (H)", "id": "101"}
],
"Finish": [
{"name": "Silver", "id": "102"},
{"name": "White", "id": "103"},
{"name": "Black", "id": "104"}
],
"Profile Length": [
{"name": "3m", "id": "105"},
{"name": "2m", "id": "106"}
]
},
"Constraints": {
"103": ["105"],
"104": ["105"]
},
"sku_mappings": [
{ "sku": "PR021-3m-Silver", "combination": ["101", "102", "105"] },
{ "sku": "PR021-W", "combination": ["101", "103", "106"] },
{ "sku": "PR021-B", "combination": ["101", "104", "106"] }
]
}</v>
      </c>
      <c r="U34" s="30" t="s">
        <v>206</v>
      </c>
      <c r="V34" s="31" t="str">
        <f>IFERROR(__xludf.DUMMYFUNCTION("AI(""Extract options object from the json"", U34)"),"{""Dimension"": [{""name"": ""35mm (W) x 35mm (H)"", ""id"": ""101""}], ""Finish"": [{""name"": ""Silver"", ""id"": ""102""}, {""name"": ""White"", ""id"": ""103""}, {""name"": ""Black"", ""id"": ""104""}], ""Profile Length"": [{""name"": ""3m"", ""id"": "&amp;"""105""}, {""name"": ""2m"", ""id"": ""106""}]}")</f>
        <v>{"Dimension": [{"name": "35mm (W) x 35mm (H)", "id": "101"}], "Finish": [{"name": "Silver", "id": "102"}, {"name": "White", "id": "103"}, {"name": "Black", "id": "104"}], "Profile Length": [{"name": "3m", "id": "105"}, {"name": "2m", "id": "106"}]}</v>
      </c>
      <c r="W34" s="31" t="str">
        <f>IFERROR(__xludf.DUMMYFUNCTION("AI(""Extract constraints object from the json"", U34)"),"{ ""103"": [""105""], ""104"": [""105""] }")</f>
        <v>{ "103": ["105"], "104": ["105"] }</v>
      </c>
      <c r="X34" s="31" t="str">
        <f>IFERROR(__xludf.DUMMYFUNCTION("AI(""Extract sku_mappings object from the json"", U34)"),"[ { ""sku"": ""PR021-3m-Silver"", ""combination"": [""101"", ""102"", ""105""] }, { ""sku"": ""PR021-W"", ""combination"": [""101"", ""103"", ""106""] }, { ""sku"": ""PR021-B"", ""combination"": [""101"", ""104"", ""106""] } ]")</f>
        <v>[ { "sku": "PR021-3m-Silver", "combination": ["101", "102", "105"] }, { "sku": "PR021-W", "combination": ["101", "103", "106"] }, { "sku": "PR021-B", "combination": ["101", "104", "106"] } ]</v>
      </c>
      <c r="Y34" s="17" t="s">
        <v>42</v>
      </c>
      <c r="Z34" s="17" t="s">
        <v>207</v>
      </c>
      <c r="AA34" s="17" t="s">
        <v>44</v>
      </c>
      <c r="AB34" s="20"/>
      <c r="AC34" s="21" t="str">
        <f>IFERROR(__xludf.DUMMYFUNCTION("AI(""Generate 6 powerful unique keywords for the product in this row separated by comma"")"),"Aluminium surface mounted profile, Suspended LED channel, Hanging linear LED housing, Architectural linear light profile, Surface mount LED channel, 35mm square LED extrusion")</f>
        <v>Aluminium surface mounted profile, Suspended LED channel, Hanging linear LED housing, Architectural linear light profile, Surface mount LED channel, 35mm square LED extrusion</v>
      </c>
      <c r="AD34" s="20" t="s">
        <v>208</v>
      </c>
    </row>
    <row r="35" ht="30.0" customHeight="1">
      <c r="A35" s="10"/>
      <c r="B35" s="22"/>
      <c r="C35" s="22"/>
      <c r="D35" s="22"/>
      <c r="E35" s="22"/>
      <c r="F35" s="23"/>
      <c r="G35" s="24"/>
      <c r="H35" s="23"/>
      <c r="I35" s="22"/>
      <c r="J35" s="22"/>
      <c r="K35" s="11"/>
      <c r="L35" s="11" t="s">
        <v>209</v>
      </c>
      <c r="M35" s="11" t="s">
        <v>210</v>
      </c>
      <c r="N35"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""&amp;M35)"),"Dimension | Finish | Profile Length")</f>
        <v>Dimension | Finish | Profile Length</v>
      </c>
      <c r="O35" s="15" t="s">
        <v>38</v>
      </c>
      <c r="P35" s="14" t="str">
        <f>IFERROR(__xludf.DUMMYFUNCTION("AI(""Using the labels""&amp;N35&amp;"" and values ""&amp;M35&amp;"" separated by character '|' and Using ""&amp;L35&amp;"" and key as 'SKU', Create a JSON object"")"),"{""SKU"": ""PR021-W"", ""Dimension"": ""35mm (W) x 35mm (H)"", ""Finish"": ""White"", ""Profile Length"": ""2m""}")</f>
        <v>{"SKU": "PR021-W", "Dimension": "35mm (W) x 35mm (H)", "Finish": "White", "Profile Length": "2m"}</v>
      </c>
      <c r="Q35" s="15" t="s">
        <v>211</v>
      </c>
      <c r="R35" s="25"/>
      <c r="S35" s="25"/>
      <c r="T35" s="25"/>
      <c r="U35" s="26"/>
      <c r="V35" s="25"/>
      <c r="W35" s="25"/>
      <c r="X35" s="25"/>
      <c r="Y35" s="17" t="s">
        <v>42</v>
      </c>
      <c r="Z35" s="17" t="s">
        <v>207</v>
      </c>
      <c r="AA35" s="17" t="s">
        <v>44</v>
      </c>
      <c r="AB35" s="20"/>
      <c r="AC35" s="20"/>
      <c r="AD35" s="20"/>
    </row>
    <row r="36" ht="30.0" customHeight="1">
      <c r="A36" s="10"/>
      <c r="B36" s="22"/>
      <c r="C36" s="22"/>
      <c r="D36" s="22"/>
      <c r="E36" s="22"/>
      <c r="F36" s="23"/>
      <c r="G36" s="24"/>
      <c r="H36" s="23"/>
      <c r="I36" s="22"/>
      <c r="J36" s="22"/>
      <c r="K36" s="11"/>
      <c r="L36" s="11" t="s">
        <v>212</v>
      </c>
      <c r="M36" s="11" t="s">
        <v>213</v>
      </c>
      <c r="N36"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""&amp;M36)"),"Dimension | Finish | Profile Length")</f>
        <v>Dimension | Finish | Profile Length</v>
      </c>
      <c r="O36" s="15" t="s">
        <v>38</v>
      </c>
      <c r="P36" s="14" t="str">
        <f>IFERROR(__xludf.DUMMYFUNCTION("AI(""Using the labels""&amp;N36&amp;"" and values ""&amp;M36&amp;"" separated by character '|' and Using ""&amp;L36&amp;"" and key as 'SKU', Create a JSON object"")"),"{""SKU"": ""PR021-B"", ""Dimension"": ""35mm (W) x 35mm (H)"", ""Finish"": ""Black"", ""Profile Length"": ""2m""}")</f>
        <v>{"SKU": "PR021-B", "Dimension": "35mm (W) x 35mm (H)", "Finish": "Black", "Profile Length": "2m"}</v>
      </c>
      <c r="Q36" s="15" t="s">
        <v>214</v>
      </c>
      <c r="R36" s="25"/>
      <c r="S36" s="25"/>
      <c r="T36" s="25"/>
      <c r="U36" s="26"/>
      <c r="V36" s="25"/>
      <c r="W36" s="25"/>
      <c r="X36" s="25"/>
      <c r="Y36" s="17" t="s">
        <v>42</v>
      </c>
      <c r="Z36" s="17" t="s">
        <v>207</v>
      </c>
      <c r="AA36" s="17" t="s">
        <v>44</v>
      </c>
      <c r="AB36" s="20"/>
      <c r="AC36" s="20"/>
      <c r="AD36" s="20"/>
    </row>
    <row r="37" ht="30.0" customHeight="1">
      <c r="A37" s="10" t="s">
        <v>215</v>
      </c>
      <c r="B37" s="11" t="s">
        <v>216</v>
      </c>
      <c r="C37" s="11" t="s">
        <v>32</v>
      </c>
      <c r="D37" s="10" t="s">
        <v>217</v>
      </c>
      <c r="E37" s="11" t="s">
        <v>34</v>
      </c>
      <c r="F37" s="12" t="str">
        <f>IFERROR(__xludf.DUMMYFUNCTION("AI(""Give me a paragraph marketing spiel for product in this row, no tech specs just marketing fluff "")"),"Transform your living spaces into a breathtaking visual journey with a perfect blend of elegance and modern design. This premium lighting solution offers seamless integration into your home, casting a warm, sophisticated glow that effortlessly guides the "&amp;"way while enhancing the natural beauty of your architecture. Crafted for those who appreciate refined detail and discreet luxury, it adds an unparalleled touch of ambiance, warmth, and captivating security to any setting, making it the ultimate choice for"&amp;" elevated architectural illumination.")</f>
        <v>Transform your living spaces into a breathtaking visual journey with a perfect blend of elegance and modern design. This premium lighting solution offers seamless integration into your home, casting a warm, sophisticated glow that effortlessly guides the way while enhancing the natural beauty of your architecture. Crafted for those who appreciate refined detail and discreet luxury, it adds an unparalleled touch of ambiance, warmth, and captivating security to any setting, making it the ultimate choice for elevated architectural illumination.</v>
      </c>
      <c r="G37" s="13" t="s">
        <v>35</v>
      </c>
      <c r="H37" s="12" t="str">
        <f>IFERROR(__xludf.DUMMYFUNCTION("AI(""Give me a paragraph marketing spiel for product in this row, no tech specs just marketing fluff under 180 characters "")"),"Elevate your staircase with refined design and discreet luxury, casting a warm, sophisticated glow that guides every step with style.")</f>
        <v>Elevate your staircase with refined design and discreet luxury, casting a warm, sophisticated glow that guides every step with style.</v>
      </c>
      <c r="I37" s="11" t="s">
        <v>218</v>
      </c>
      <c r="J37" s="22"/>
      <c r="K37" s="22"/>
      <c r="L37" s="11" t="s">
        <v>215</v>
      </c>
      <c r="M37" s="11" t="s">
        <v>219</v>
      </c>
      <c r="N37"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""&amp;M37)"),"Dimension | Finish | Profile Length")</f>
        <v>Dimension | Finish | Profile Length</v>
      </c>
      <c r="O37" s="15" t="s">
        <v>38</v>
      </c>
      <c r="P37" s="14" t="str">
        <f>IFERROR(__xludf.DUMMYFUNCTION("AI(""Using the labels""&amp;N37&amp;"" and values ""&amp;M37&amp;"" separated by character '|' and Using ""&amp;L37&amp;"" and key as 'SKU', Create a JSON object"")"),"{""SKU"": ""PR027"", ""Dimension"": ""80mm (W) x 50mm (H)"", ""Finish"": ""Silver"", ""Profile Length"": ""2m""}")</f>
        <v>{"SKU": "PR027", "Dimension": "80mm (W) x 50mm (H)", "Finish": "Silver", "Profile Length": "2m"}</v>
      </c>
      <c r="Q37" s="15" t="s">
        <v>220</v>
      </c>
      <c r="R37" s="16"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Q37:Q38)"),"{""SKU"": [""PR027"", ""PR027-3M""], ""Dimension"": ""80mm (W) x 50mm (H)"", ""Finish"": ""Silver"", ""Profile Length"": [""2m"", ""3m""]}")</f>
        <v>{"SKU": ["PR027", "PR027-3M"], "Dimension": "80mm (W) x 50mm (H)", "Finish": "Silver", "Profile Length": ["2m", "3m"]}</v>
      </c>
      <c r="S37" s="17" t="s">
        <v>221</v>
      </c>
      <c r="T37" s="16"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CCT, IP Rating, Impact Strength).
   - Assign a unique sequential integer string ID to every attribute value, starting from """"101"""" and incrementing by 1 in "&amp;"the order they appear.
   - Format each attribute as an array of objects: `[{""""name"""": """"VALUE"""", """"id"""": """"ID""""}]`.
2. **Determine Constraints (Incompatibilities):**
   - Identify attribute pairs that are impossible or missing from the v"&amp;"alid combinations.
   - Specifically, map an ID of an Option Value to an array of Option Value IDs that **cannot** be selected with it.
   - Output constraints in the format: `""""OPTION_ID"""": [INCOMPATIBLE_OPTION_ID]`.
   - Only list meaningful non-emp"&amp;"ty constraints. Express constraints using the primary driving factor (e.g., optic limitation over CCT).
3. **Determine sku_mappings:**
   - Identify the valid combination and create a array with sku and combination containing array of options ID
4. **O"&amp;"utput Format:**
   - Return strictly valid JSON containing two root keys: """"Options"""", """"Constraints"""" and """"sku_mappings"""".
   - Do not wrap the JSON in conversational filler text.
---
### Example Input:
{""""SKU"""":""""HRS001"""", """"Pow"&amp;"er"""": """"1.2W"""", """"Optics"""": """"SYM30°"""", """"CCT"""": """"3000K"""", """"IP Rating"""": """"IP67"""", """"Impact Strength"""": """"IK10""""}
{""""SKU"""":""""HRS002"""", """"Power"""": """"1.2W"""", """"Optics"""": """"SYM30°"""", """"CCT"""""&amp;": """"4000K"""", """"IP Rating"""": """"IP67"""", """"Impact Strength"""": """"IK10""""}
{""""SKU"""":""""HRS003"""", """"Power"""": """"1.2W"""", """"Optics"""": """"SYM60°"""", """"CCT"""": """"3000K"""", """"IP Rating"""": """"IP67"""", """"Impact Stre"&amp;"ngth"""": """"IK10""""}
{""""SKU"""":""""HRS004"""", """"Power"""": """"1.2W"""", """"Optics"""": """"SYM60°"""", """"CCT"""": """"4000K"""", """"IP Rating"""": """"IP67"""", """"Impact Strength"""": """"IK10""""}
{""""SKU"""":""""HRS005"""", """"Power"""&amp;""": """"1.2W"""", """"Optics"""": """"ASYM50°"""", """"CCT"""": """"3000K"""", """"IP Rating"""": """"IP67"""", """"Impact Strength"""": """"IK10""""}
### Example Output:
{
  """"Options"""": {
    """"Power"""": [
      {""""name"""": """"1.2W"""", """""&amp;"id"""": """"101""""}
    ],
    """"Optics"""": [
      {""""name"""": """"SYM30°"""", """"id"""": """"102""""},
      {""""name"""": """"SYM60°"""", """"id"""": """"103""""},
      {""""name"""": """"ASYM50°"""", """"id"""": """"104""""}
    ],
    """"C"&amp;"CT"""": [
      {""""name"""": """"3000K"""", """"id"""": """"105""""},
      {""""name"""": """"4000K"""", """"id"""": """"106""""}
    ],
    """"IP Rating"""": [
      {""""name"""": """"IP67"""", """"id"""": """"107""""}
    ],
    """"Impact Strength"&amp;""""": [
      {""""name"""": """"IK10"""", """"id"""": """"108""""}
    ]
  },
  """"Constraints"""": {
    """"104"""": [106]
  },
""""sku_mappings"""": [
      { """"sku"""": """"HRS001"""", """"combination"""": [""""101"""", """"102"""", """"105"""", "&amp;"""""107"""", """"108""""] },
      { """"sku"""": """"HRS002"""", """"combination"""": [""""101"""", """"102"""", """"106"""", """"107"""", """"108""""] },
      { """"sku"""": """"HRS003"""", """"combination"""": [""""101"""", """"103"""", """"105"""", "&amp;"""""107"""", """"108""""] },
      { """"sku"""": """"HRS004"""", """"combination"""": [""""101"""", """"103"""", """"106"""", """"107"""", """"108""""] },
      { """"sku"""": """"HRS005"""", """"combination"""": [""""101"""", """"104"""", """"105"""", "&amp;"""""107"""", """"108""""] },
      { """"sku"""": """"HRS006"""", """"combination"""": [""""101"""", """"104"""", """"106"""", """"107"""", """"108""""] }
    ]
}
Process the following product variant combinations and output the """"Options"""" and """"C"&amp;"onstraints"""" JSON:"", Q37:Q38)"),"{
""Options"": {
""Dimension"": [
{ ""name"": ""80mm (W) x 50mm (H)"", ""id"": ""101"" }
],
""Finish"": [
{ ""name"": ""Silver"", ""id"": ""102"" }
],
""Profile Length"": [
{ ""name"": ""2m"", ""id"": ""103"" },
{ ""name"": ""3m"", ""id"": ""104"" }
]
},
"&amp;"""Constraints"": {},
""sku_mappings"": [
{ ""sku"": ""PR027"", ""combination"": [""101"", ""102"", ""103""] },
{ ""sku"": ""PR027-3M"", ""combination"": [""101"", ""102"", ""104""] }
]
}")</f>
        <v>{
"Options": {
"Dimension": [
{ "name": "80mm (W) x 50mm (H)", "id": "101" }
],
"Finish": [
{ "name": "Silver", "id": "102" }
],
"Profile Length": [
{ "name": "2m", "id": "103" },
{ "name": "3m", "id": "104" }
]
},
"Constraints": {},
"sku_mappings": [
{ "sku": "PR027", "combination": ["101", "102", "103"] },
{ "sku": "PR027-3M", "combination": ["101", "102", "104"] }
]
}</v>
      </c>
      <c r="U37" s="30" t="s">
        <v>222</v>
      </c>
      <c r="V37" s="19" t="str">
        <f>IFERROR(__xludf.DUMMYFUNCTION("AI(""Extract options object from the json"", U37)"),"{""Dimension"": [{""name"": ""80mm (W) x 50mm (H)"", ""id"": ""101""}], ""Finish"": [{""name"": ""Silver"", ""id"": ""102""}], ""Profile Length"": [{""name"": ""2m"", ""id"": ""103""}, {""name"": ""3m"", ""id"": ""104""}]}")</f>
        <v>{"Dimension": [{"name": "80mm (W) x 50mm (H)", "id": "101"}], "Finish": [{"name": "Silver", "id": "102"}], "Profile Length": [{"name": "2m", "id": "103"}, {"name": "3m", "id": "104"}]}</v>
      </c>
      <c r="W37" s="19" t="str">
        <f>IFERROR(__xludf.DUMMYFUNCTION("AI(""Extract constraints object from the json"", U37)"),"{}")</f>
        <v>{}</v>
      </c>
      <c r="X37" s="19" t="str">
        <f>IFERROR(__xludf.DUMMYFUNCTION("AI(""Extract sku_mappings object from the json"", U37)"),"[ { ""sku"": ""PR027"", ""combination"": [""101"", ""102"", ""103""] }, { ""sku"": ""PR027-3M"", ""combination"": [""101"", ""102"", ""104""] } ]")</f>
        <v>[ { "sku": "PR027", "combination": ["101", "102", "103"] }, { "sku": "PR027-3M", "combination": ["101", "102", "104"] } ]</v>
      </c>
      <c r="Y37" s="17" t="s">
        <v>42</v>
      </c>
      <c r="Z37" s="17" t="s">
        <v>223</v>
      </c>
      <c r="AA37" s="17" t="s">
        <v>189</v>
      </c>
      <c r="AB37" s="20"/>
      <c r="AC37" s="21" t="str">
        <f>IFERROR(__xludf.DUMMYFUNCTION("AI(""Generate 6 powerful unique keywords for the product in this row separated by comma"")"),"Aluminium stair profile, LED stair tread housing, Non-slip step channel, Architectural stair lighting, Heavy-duty step profile, LED stair extrusion")</f>
        <v>Aluminium stair profile, LED stair tread housing, Non-slip step channel, Architectural stair lighting, Heavy-duty step profile, LED stair extrusion</v>
      </c>
      <c r="AD37" s="20" t="s">
        <v>224</v>
      </c>
    </row>
    <row r="38" ht="30.0" customHeight="1">
      <c r="A38" s="10"/>
      <c r="B38" s="11"/>
      <c r="C38" s="11"/>
      <c r="D38" s="10"/>
      <c r="E38" s="11"/>
      <c r="F38" s="12"/>
      <c r="G38" s="13"/>
      <c r="H38" s="27"/>
      <c r="I38" s="33"/>
      <c r="J38" s="22"/>
      <c r="K38" s="22"/>
      <c r="L38" s="11" t="s">
        <v>225</v>
      </c>
      <c r="M38" s="11" t="s">
        <v>226</v>
      </c>
      <c r="N38"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""&amp;M38)"),"Dimension | Finish | Profile Length")</f>
        <v>Dimension | Finish | Profile Length</v>
      </c>
      <c r="O38" s="15" t="s">
        <v>38</v>
      </c>
      <c r="P38" s="14" t="str">
        <f>IFERROR(__xludf.DUMMYFUNCTION("AI(""Using the labels""&amp;N38&amp;"" and values ""&amp;M38&amp;"" separated by character '|' and Using ""&amp;L38&amp;"" and key as 'SKU', Create a JSON object"")"),"{""SKU"": ""PR027-3M"", ""Dimension"": ""80mm (W) x 50mm (H)"", ""Finish"": ""Silver"", ""Profile Length"": ""3m""}")</f>
        <v>{"SKU": "PR027-3M", "Dimension": "80mm (W) x 50mm (H)", "Finish": "Silver", "Profile Length": "3m"}</v>
      </c>
      <c r="Q38" s="15" t="s">
        <v>227</v>
      </c>
      <c r="R38" s="25"/>
      <c r="S38" s="25"/>
      <c r="T38" s="27"/>
      <c r="U38" s="29"/>
      <c r="V38" s="17"/>
      <c r="W38" s="17"/>
      <c r="X38" s="17"/>
      <c r="Y38" s="17" t="s">
        <v>42</v>
      </c>
      <c r="Z38" s="17" t="s">
        <v>223</v>
      </c>
      <c r="AA38" s="17" t="s">
        <v>189</v>
      </c>
      <c r="AB38" s="20"/>
      <c r="AC38" s="20"/>
      <c r="AD38" s="20"/>
    </row>
    <row r="39" ht="30.0" customHeight="1">
      <c r="A39" s="10" t="s">
        <v>228</v>
      </c>
      <c r="B39" s="11" t="s">
        <v>76</v>
      </c>
      <c r="C39" s="11" t="s">
        <v>32</v>
      </c>
      <c r="D39" s="11" t="s">
        <v>77</v>
      </c>
      <c r="E39" s="11" t="s">
        <v>34</v>
      </c>
      <c r="F39" s="12" t="str">
        <f>IFERROR(__xludf.DUMMYFUNCTION("AI(""Give me a paragraph marketing spiel for product in this row, no tech specs just marketing fluff "")"),"Transform your living spaces into a breathtaking visual journey with a perfect blend of elegance and modern design. This premium surface-mounted profile offers seamless architectural integration, casting a warm, sophisticated glow that effortlessly guides"&amp;" the way while enhancing the natural beauty of your decor. Crafted for those who appreciate refined detail and discreet luxury, it adds an unparalleled touch of ambiance to any setting.")</f>
        <v>Transform your living spaces into a breathtaking visual journey with a perfect blend of elegance and modern design. This premium surface-mounted profile offers seamless architectural integration, casting a warm, sophisticated glow that effortlessly guides the way while enhancing the natural beauty of your decor. Crafted for those who appreciate refined detail and discreet luxury, it adds an unparalleled touch of ambiance to any setting.</v>
      </c>
      <c r="G39" s="13" t="s">
        <v>229</v>
      </c>
      <c r="H39" s="12" t="str">
        <f>IFERROR(__xludf.DUMMYFUNCTION("AI(""Give me a paragraph marketing spiel for product in this row, no tech specs just marketing fluff under 180 characters "")"),"Elevate your space with modern elegance and seamless illumination, creating a warm, sophisticated ambience for any room.")</f>
        <v>Elevate your space with modern elegance and seamless illumination, creating a warm, sophisticated ambience for any room.</v>
      </c>
      <c r="I39" s="11" t="s">
        <v>230</v>
      </c>
      <c r="J39" s="22"/>
      <c r="K39" s="22"/>
      <c r="L39" s="11" t="s">
        <v>228</v>
      </c>
      <c r="M39" s="11" t="s">
        <v>231</v>
      </c>
      <c r="N39"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""&amp;M39)"),"Dimension | Finish | Profile Length")</f>
        <v>Dimension | Finish | Profile Length</v>
      </c>
      <c r="O39" s="15" t="s">
        <v>38</v>
      </c>
      <c r="P39" s="14" t="str">
        <f>IFERROR(__xludf.DUMMYFUNCTION("AI(""Using the labels""&amp;N39&amp;"" and values ""&amp;M39&amp;"" separated by character '|' and Using ""&amp;L39&amp;"" and key as 'SKU', Create a JSON object"")"),"{""SKU"": ""PR036"", ""Dimension"": ""10mm (W) x 13mm (H)"", ""Finish"": ""Silver"", ""Profile Length"": ""2m""}")</f>
        <v>{"SKU": "PR036", "Dimension": "10mm (W) x 13mm (H)", "Finish": "Silver", "Profile Length": "2m"}</v>
      </c>
      <c r="Q39" s="15" t="s">
        <v>232</v>
      </c>
      <c r="R39" s="16"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Q39)"),"{""SKU"": ""PR036"", ""Dimension"": ""10mm (W) x 13mm (H)"", ""Finish"": ""Silver"", ""Profile Length"": ""2m""}")</f>
        <v>{"SKU": "PR036", "Dimension": "10mm (W) x 13mm (H)", "Finish": "Silver", "Profile Length": "2m"}</v>
      </c>
      <c r="S39" s="17" t="s">
        <v>232</v>
      </c>
      <c r="T39" s="16"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CCT, IP Rating, Impact Strength).
   - Assign a unique sequential integer string ID to every attribute value, starting from """"101"""" and incrementing by 1 in "&amp;"the order they appear.
   - Format each attribute as an array of objects: `[{""""name"""": """"VALUE"""", """"id"""": """"ID""""}]`.
2. **Determine Constraints (Incompatibilities):**
   - Identify attribute pairs that are impossible or missing from the v"&amp;"alid combinations.
   - Specifically, map an ID of an Option Value to an array of Option Value IDs that **cannot** be selected with it.
   - Output constraints in the format: `""""OPTION_ID"""": [INCOMPATIBLE_OPTION_ID]`.
   - Only list meaningful non-emp"&amp;"ty constraints. Express constraints using the primary driving factor (e.g., optic limitation over CCT).
3. **Determine sku_mappings:**
   - Identify the valid combination and create a array with sku and combination containing array of options ID
4. **O"&amp;"utput Format:**
   - Return strictly valid JSON containing two root keys: """"Options"""", """"Constraints"""" and """"sku_mappings"""".
   - Do not wrap the JSON in conversational filler text.
---
### Example Input:
{""""SKU"""":""""HRS001"""", """"Pow"&amp;"er"""": """"1.2W"""", """"Optics"""": """"SYM30°"""", """"CCT"""": """"3000K"""", """"IP Rating"""": """"IP67"""", """"Impact Strength"""": """"IK10""""}
{""""SKU"""":""""HRS002"""", """"Power"""": """"1.2W"""", """"Optics"""": """"SYM30°"""", """"CCT"""""&amp;": """"4000K"""", """"IP Rating"""": """"IP67"""", """"Impact Strength"""": """"IK10""""}
{""""SKU"""":""""HRS003"""", """"Power"""": """"1.2W"""", """"Optics"""": """"SYM60°"""", """"CCT"""": """"3000K"""", """"IP Rating"""": """"IP67"""", """"Impact Stre"&amp;"ngth"""": """"IK10""""}
{""""SKU"""":""""HRS004"""", """"Power"""": """"1.2W"""", """"Optics"""": """"SYM60°"""", """"CCT"""": """"4000K"""", """"IP Rating"""": """"IP67"""", """"Impact Strength"""": """"IK10""""}
{""""SKU"""":""""HRS005"""", """"Power"""&amp;""": """"1.2W"""", """"Optics"""": """"ASYM50°"""", """"CCT"""": """"3000K"""", """"IP Rating"""": """"IP67"""", """"Impact Strength"""": """"IK10""""}
### Example Output:
{
  """"Options"""": {
    """"Power"""": [
      {""""name"""": """"1.2W"""", """""&amp;"id"""": """"101""""}
    ],
    """"Optics"""": [
      {""""name"""": """"SYM30°"""", """"id"""": """"102""""},
      {""""name"""": """"SYM60°"""", """"id"""": """"103""""},
      {""""name"""": """"ASYM50°"""", """"id"""": """"104""""}
    ],
    """"C"&amp;"CT"""": [
      {""""name"""": """"3000K"""", """"id"""": """"105""""},
      {""""name"""": """"4000K"""", """"id"""": """"106""""}
    ],
    """"IP Rating"""": [
      {""""name"""": """"IP67"""", """"id"""": """"107""""}
    ],
    """"Impact Strength"&amp;""""": [
      {""""name"""": """"IK10"""", """"id"""": """"108""""}
    ]
  },
  """"Constraints"""": {
    """"104"""": [106]
  },
""""sku_mappings"""": [
      { """"sku"""": """"HRS001"""", """"combination"""": [""""101"""", """"102"""", """"105"""", "&amp;"""""107"""", """"108""""] },
      { """"sku"""": """"HRS002"""", """"combination"""": [""""101"""", """"102"""", """"106"""", """"107"""", """"108""""] },
      { """"sku"""": """"HRS003"""", """"combination"""": [""""101"""", """"103"""", """"105"""", "&amp;"""""107"""", """"108""""] },
      { """"sku"""": """"HRS004"""", """"combination"""": [""""101"""", """"103"""", """"106"""", """"107"""", """"108""""] },
      { """"sku"""": """"HRS005"""", """"combination"""": [""""101"""", """"104"""", """"105"""", "&amp;"""""107"""", """"108""""] },
      { """"sku"""": """"HRS006"""", """"combination"""": [""""101"""", """"104"""", """"106"""", """"107"""", """"108""""] }
    ]
}
Process the following product variant combinations and output the """"Options"""" and """"C"&amp;"onstraints"""" JSON:"", Q39)"),"{ ""Options"": { ""Dimension"": [ {""name"": ""10mm (W) x 13mm (H)"", ""id"": ""101""} ], ""Finish"": [ {""name"": ""Silver"", ""id"": ""102""} ], ""Profile Length"": [ {""name"": ""2m"", ""id"": ""103""} ] }, ""Constraints"": {}, ""sku_mappings"": [ { """&amp;"sku"": ""PR036"", ""combination"": [""101"", ""102"", ""103""] } ] }")</f>
        <v>{ "Options": { "Dimension": [ {"name": "10mm (W) x 13mm (H)", "id": "101"} ], "Finish": [ {"name": "Silver", "id": "102"} ], "Profile Length": [ {"name": "2m", "id": "103"} ] }, "Constraints": {}, "sku_mappings": [ { "sku": "PR036", "combination": ["101", "102", "103"] } ] }</v>
      </c>
      <c r="U39" s="30" t="s">
        <v>233</v>
      </c>
      <c r="V39" s="31" t="str">
        <f>IFERROR(__xludf.DUMMYFUNCTION("AI(""Extract options object from the json"", U39)"),"{""Dimension"": [{""name"": ""10mm (W) x 13mm (H)"", ""id"": ""101""}], ""Finish"": [{""name"": ""Silver"", ""id"": ""102""}], ""Profile Length"": [{""name"": ""2m"", ""id"": ""103""}]}")</f>
        <v>{"Dimension": [{"name": "10mm (W) x 13mm (H)", "id": "101"}], "Finish": [{"name": "Silver", "id": "102"}], "Profile Length": [{"name": "2m", "id": "103"}]}</v>
      </c>
      <c r="W39" s="31" t="str">
        <f>IFERROR(__xludf.DUMMYFUNCTION("AI(""Extract constraints object from the json"", U39)"),"{}")</f>
        <v>{}</v>
      </c>
      <c r="X39" s="31" t="str">
        <f>IFERROR(__xludf.DUMMYFUNCTION("AI(""Extract sku_mappings object from the json"", U39)"),"[ { ""sku"": ""PR036"", ""combination"": [""101"", ""102"", ""103""] } ]")</f>
        <v>[ { "sku": "PR036", "combination": ["101", "102", "103"] } ]</v>
      </c>
      <c r="Y39" s="17" t="s">
        <v>42</v>
      </c>
      <c r="Z39" s="17" t="s">
        <v>234</v>
      </c>
      <c r="AA39" s="17" t="s">
        <v>189</v>
      </c>
      <c r="AB39" s="20"/>
      <c r="AC39" s="21" t="str">
        <f>IFERROR(__xludf.DUMMYFUNCTION("AI(""Generate 6 powerful unique keywords for the product in this row separated by comma"")"),"Aluminium surfaced profile, Surface mount LED channel, LED aluminium extrusion, Linear light housing, Compact LED profile, Surface LED channel")</f>
        <v>Aluminium surfaced profile, Surface mount LED channel, LED aluminium extrusion, Linear light housing, Compact LED profile, Surface LED channel</v>
      </c>
      <c r="AD39" s="20" t="s">
        <v>235</v>
      </c>
    </row>
    <row r="40" ht="30.0" customHeight="1">
      <c r="A40" s="10"/>
      <c r="B40" s="11" t="s">
        <v>236</v>
      </c>
      <c r="C40" s="11" t="s">
        <v>32</v>
      </c>
      <c r="D40" s="10" t="s">
        <v>237</v>
      </c>
      <c r="E40" s="11" t="s">
        <v>34</v>
      </c>
      <c r="F40" s="12"/>
      <c r="G40" s="13"/>
      <c r="H40" s="12"/>
      <c r="I40" s="11"/>
      <c r="J40" s="22"/>
      <c r="K40" s="22"/>
      <c r="L40" s="11" t="s">
        <v>238</v>
      </c>
      <c r="M40" s="11" t="s">
        <v>239</v>
      </c>
      <c r="N40"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""&amp;M40)"),"Dimension | Finish | Profile Length")</f>
        <v>Dimension | Finish | Profile Length</v>
      </c>
      <c r="O40" s="15" t="s">
        <v>38</v>
      </c>
      <c r="P40" s="14" t="str">
        <f>IFERROR(__xludf.DUMMYFUNCTION("AI(""Using the labels""&amp;N40&amp;"" and values ""&amp;M40&amp;"" separated by character '|' and Using ""&amp;L40&amp;"" and key as 'SKU', Create a JSON object"")"),"{""SKU"": ""PR114"", ""Dimension"": ""36.1mm (W) x 14mm (H)"", ""Finish"": ""Silver"", ""Profile Length"": ""2m""}")</f>
        <v>{"SKU": "PR114", "Dimension": "36.1mm (W) x 14mm (H)", "Finish": "Silver", "Profile Length": "2m"}</v>
      </c>
      <c r="Q40" s="15" t="s">
        <v>240</v>
      </c>
      <c r="R40" s="16"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Q40)"),"{""SKU"": ""PR114"", ""Dimension"": ""36.1mm (W) x 14mm (H)"", ""Finish"": ""Silver"", ""Profile Length"": ""2m""}")</f>
        <v>{"SKU": "PR114", "Dimension": "36.1mm (W) x 14mm (H)", "Finish": "Silver", "Profile Length": "2m"}</v>
      </c>
      <c r="S40" s="17" t="s">
        <v>240</v>
      </c>
      <c r="T40" s="16"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CCT, IP Rating, Impact Strength).
   - Assign a unique sequential integer string ID to every attribute value, starting from """"101"""" and incrementing by 1 in "&amp;"the order they appear.
   - Format each attribute as an array of objects: `[{""""name"""": """"VALUE"""", """"id"""": """"ID""""}]`.
2. **Determine Constraints (Incompatibilities):**
   - Identify attribute pairs that are impossible or missing from the v"&amp;"alid combinations.
   - Specifically, map an ID of an Option Value to an array of Option Value IDs that **cannot** be selected with it.
   - Output constraints in the format: `""""OPTION_ID"""": [INCOMPATIBLE_OPTION_ID]`.
   - Only list meaningful non-emp"&amp;"ty constraints. Express constraints using the primary driving factor (e.g., optic limitation over CCT).
3. **Determine sku_mappings:**
   - Identify the valid combination and create a array with sku and combination containing array of options ID
4. **O"&amp;"utput Format:**
   - Return strictly valid JSON containing two root keys: """"Options"""", """"Constraints"""" and """"sku_mappings"""".
   - Do not wrap the JSON in conversational filler text.
---
### Example Input:
{""""SKU"""":""""HRS001"""", """"Pow"&amp;"er"""": """"1.2W"""", """"Optics"""": """"SYM30°"""", """"CCT"""": """"3000K"""", """"IP Rating"""": """"IP67"""", """"Impact Strength"""": """"IK10""""}
{""""SKU"""":""""HRS002"""", """"Power"""": """"1.2W"""", """"Optics"""": """"SYM30°"""", """"CCT"""""&amp;": """"4000K"""", """"IP Rating"""": """"IP67"""", """"Impact Strength"""": """"IK10""""}
{""""SKU"""":""""HRS003"""", """"Power"""": """"1.2W"""", """"Optics"""": """"SYM60°"""", """"CCT"""": """"3000K"""", """"IP Rating"""": """"IP67"""", """"Impact Stre"&amp;"ngth"""": """"IK10""""}
{""""SKU"""":""""HRS004"""", """"Power"""": """"1.2W"""", """"Optics"""": """"SYM60°"""", """"CCT"""": """"4000K"""", """"IP Rating"""": """"IP67"""", """"Impact Strength"""": """"IK10""""}
{""""SKU"""":""""HRS005"""", """"Power"""&amp;""": """"1.2W"""", """"Optics"""": """"ASYM50°"""", """"CCT"""": """"3000K"""", """"IP Rating"""": """"IP67"""", """"Impact Strength"""": """"IK10""""}
### Example Output:
{
  """"Options"""": {
    """"Power"""": [
      {""""name"""": """"1.2W"""", """""&amp;"id"""": """"101""""}
    ],
    """"Optics"""": [
      {""""name"""": """"SYM30°"""", """"id"""": """"102""""},
      {""""name"""": """"SYM60°"""", """"id"""": """"103""""},
      {""""name"""": """"ASYM50°"""", """"id"""": """"104""""}
    ],
    """"C"&amp;"CT"""": [
      {""""name"""": """"3000K"""", """"id"""": """"105""""},
      {""""name"""": """"4000K"""", """"id"""": """"106""""}
    ],
    """"IP Rating"""": [
      {""""name"""": """"IP67"""", """"id"""": """"107""""}
    ],
    """"Impact Strength"&amp;""""": [
      {""""name"""": """"IK10"""", """"id"""": """"108""""}
    ]
  },
  """"Constraints"""": {
    """"104"""": [106]
  },
""""sku_mappings"""": [
      { """"sku"""": """"HRS001"""", """"combination"""": [""""101"""", """"102"""", """"105"""", "&amp;"""""107"""", """"108""""] },
      { """"sku"""": """"HRS002"""", """"combination"""": [""""101"""", """"102"""", """"106"""", """"107"""", """"108""""] },
      { """"sku"""": """"HRS003"""", """"combination"""": [""""101"""", """"103"""", """"105"""", "&amp;"""""107"""", """"108""""] },
      { """"sku"""": """"HRS004"""", """"combination"""": [""""101"""", """"103"""", """"106"""", """"107"""", """"108""""] },
      { """"sku"""": """"HRS005"""", """"combination"""": [""""101"""", """"104"""", """"105"""", "&amp;"""""107"""", """"108""""] },
      { """"sku"""": """"HRS006"""", """"combination"""": [""""101"""", """"104"""", """"106"""", """"107"""", """"108""""] }
    ]
}
Process the following product variant combinations and output the """"Options"""" and """"C"&amp;"onstraints"""" JSON:"", Q40)"),"{""Options"": {""Dimension"": [{""name"": ""36.1mm (W) x 14mm (H)"", ""id"": ""101""}], ""Finish"": [{""name"": ""Silver"", ""id"": ""102""}], ""Profile Length"": [{""name"": ""2m"", ""id"": ""103""}]}, ""Constraints"": {}, ""sku_mappings"": [{""sku"": """&amp;"PR114"", ""combination"": [""101"", ""102"", ""103""]}]}")</f>
        <v>{"Options": {"Dimension": [{"name": "36.1mm (W) x 14mm (H)", "id": "101"}], "Finish": [{"name": "Silver", "id": "102"}], "Profile Length": [{"name": "2m", "id": "103"}]}, "Constraints": {}, "sku_mappings": [{"sku": "PR114", "combination": ["101", "102", "103"]}]}</v>
      </c>
      <c r="U40" s="30" t="s">
        <v>241</v>
      </c>
      <c r="V40" s="19" t="str">
        <f>IFERROR(__xludf.DUMMYFUNCTION("AI(""Extract options object from the json"", U40)"),"{""Dimension"": [{""name"": ""36.1mm (W) x 14mm (H)"", ""id"": ""101""}], ""Finish"": [{""name"": ""Silver"", ""id"": ""102""}], ""Profile Length"": [{""name"": ""2m"", ""id"": ""103""}]}")</f>
        <v>{"Dimension": [{"name": "36.1mm (W) x 14mm (H)", "id": "101"}], "Finish": [{"name": "Silver", "id": "102"}], "Profile Length": [{"name": "2m", "id": "103"}]}</v>
      </c>
      <c r="W40" s="19" t="str">
        <f>IFERROR(__xludf.DUMMYFUNCTION("AI(""Extract constraints object from the json"", U40)"),"{}")</f>
        <v>{}</v>
      </c>
      <c r="X40" s="19" t="str">
        <f>IFERROR(__xludf.DUMMYFUNCTION("AI(""Extract sku_mappings object from the json"", U40)"),"[{""sku"": ""PR114"", ""combination"": [""101"", ""102"", ""103""]}]")</f>
        <v>[{"sku": "PR114", "combination": ["101", "102", "103"]}]</v>
      </c>
      <c r="Y40" s="17" t="s">
        <v>42</v>
      </c>
      <c r="Z40" s="17" t="s">
        <v>242</v>
      </c>
      <c r="AA40" s="17" t="s">
        <v>189</v>
      </c>
      <c r="AB40" s="20"/>
      <c r="AC40" s="21" t="str">
        <f>IFERROR(__xludf.DUMMYFUNCTION("AI(""Generate 6 powerful unique keywords for the product in this row separated by comma"")"),"Trimless plaster profile, Plaster-in LED channel, Recessed aluminium profile, Seamless LED extrusion, Plasterboard LED channel, Drywall linear profile")</f>
        <v>Trimless plaster profile, Plaster-in LED channel, Recessed aluminium profile, Seamless LED extrusion, Plasterboard LED channel, Drywall linear profile</v>
      </c>
      <c r="AD40" s="20" t="s">
        <v>243</v>
      </c>
    </row>
    <row r="41" ht="30.0" customHeight="1">
      <c r="A41" s="10" t="s">
        <v>244</v>
      </c>
      <c r="B41" s="11" t="s">
        <v>245</v>
      </c>
      <c r="C41" s="11" t="s">
        <v>32</v>
      </c>
      <c r="D41" s="10" t="s">
        <v>237</v>
      </c>
      <c r="E41" s="11" t="s">
        <v>34</v>
      </c>
      <c r="F41" s="12" t="str">
        <f>IFERROR(__xludf.DUMMYFUNCTION("AI(""Give me a paragraph marketing spiel for product in this row, no tech specs just marketing fluff "")"),"Redefine modern luxury with a sleek, recessed lighting solution that merges seamlessly into your walls and ceilings for a completely flush finish. This trimless plaster-in channel transforms ambient light into an artistic statement, filling your room with"&amp;" a soft, captivating illumination. Bring architectural depth, sophisticated warmth, and unmatched refinement to your living or commercial environment.")</f>
        <v>Redefine modern luxury with a sleek, recessed lighting solution that merges seamlessly into your walls and ceilings for a completely flush finish. This trimless plaster-in channel transforms ambient light into an artistic statement, filling your room with a soft, captivating illumination. Bring architectural depth, sophisticated warmth, and unmatched refinement to your living or commercial environment.</v>
      </c>
      <c r="G41" s="13" t="s">
        <v>246</v>
      </c>
      <c r="H41" s="12" t="str">
        <f>IFERROR(__xludf.DUMMYFUNCTION("AI(""Give me a paragraph marketing spiel for product in this row, no tech specs just marketing fluff under 180 characters "")"),"Transform your home with flush, seamless lighting designed to blend effortlessly into your walls for ultimate luxury.")</f>
        <v>Transform your home with flush, seamless lighting designed to blend effortlessly into your walls for ultimate luxury.</v>
      </c>
      <c r="I41" s="11" t="s">
        <v>247</v>
      </c>
      <c r="J41" s="22"/>
      <c r="K41" s="22"/>
      <c r="L41" s="11" t="s">
        <v>244</v>
      </c>
      <c r="M41" s="11" t="s">
        <v>248</v>
      </c>
      <c r="N41"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""&amp;M41)"),"Dimension | Finish | Profile Length")</f>
        <v>Dimension | Finish | Profile Length</v>
      </c>
      <c r="O41" s="15" t="s">
        <v>38</v>
      </c>
      <c r="P41" s="14" t="str">
        <f>IFERROR(__xludf.DUMMYFUNCTION("AI(""Using the labels""&amp;N41&amp;"" and values ""&amp;M41&amp;"" separated by character '|' and Using ""&amp;L41&amp;"" and key as 'SKU', Create a JSON object"")"),"{""SKU"": ""PR115"", ""Dimension"": ""61.5mm (W) x 14mm (H)"", ""Finish"": ""Silver"", ""Profile Length"": ""2m""}")</f>
        <v>{"SKU": "PR115", "Dimension": "61.5mm (W) x 14mm (H)", "Finish": "Silver", "Profile Length": "2m"}</v>
      </c>
      <c r="Q41" s="15" t="s">
        <v>249</v>
      </c>
      <c r="R41" s="16"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Q41)"),"{""SKU"": ""PR115"", ""Dimension"": ""61.5mm (W) x 14mm (H)"", ""Finish"": ""Silver"", ""Profile Length"": ""2m""}")</f>
        <v>{"SKU": "PR115", "Dimension": "61.5mm (W) x 14mm (H)", "Finish": "Silver", "Profile Length": "2m"}</v>
      </c>
      <c r="S41" s="17" t="s">
        <v>249</v>
      </c>
      <c r="T41" s="16"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CCT, IP Rating, Impact Strength).
   - Assign a unique sequential integer string ID to every attribute value, starting from """"101"""" and incrementing by 1 in "&amp;"the order they appear.
   - Format each attribute as an array of objects: `[{""""name"""": """"VALUE"""", """"id"""": """"ID""""}]`.
2. **Determine Constraints (Incompatibilities):**
   - Identify attribute pairs that are impossible or missing from the v"&amp;"alid combinations.
   - Specifically, map an ID of an Option Value to an array of Option Value IDs that **cannot** be selected with it.
   - Output constraints in the format: `""""OPTION_ID"""": [INCOMPATIBLE_OPTION_ID]`.
   - Only list meaningful non-emp"&amp;"ty constraints. Express constraints using the primary driving factor (e.g., optic limitation over CCT).
3. **Determine sku_mappings:**
   - Identify the valid combination and create a array with sku and combination containing array of options ID
4. **O"&amp;"utput Format:**
   - Return strictly valid JSON containing two root keys: """"Options"""", """"Constraints"""" and """"sku_mappings"""".
   - Do not wrap the JSON in conversational filler text.
---
### Example Input:
{""""SKU"""":""""HRS001"""", """"Pow"&amp;"er"""": """"1.2W"""", """"Optics"""": """"SYM30°"""", """"CCT"""": """"3000K"""", """"IP Rating"""": """"IP67"""", """"Impact Strength"""": """"IK10""""}
{""""SKU"""":""""HRS002"""", """"Power"""": """"1.2W"""", """"Optics"""": """"SYM30°"""", """"CCT"""""&amp;": """"4000K"""", """"IP Rating"""": """"IP67"""", """"Impact Strength"""": """"IK10""""}
{""""SKU"""":""""HRS003"""", """"Power"""": """"1.2W"""", """"Optics"""": """"SYM60°"""", """"CCT"""": """"3000K"""", """"IP Rating"""": """"IP67"""", """"Impact Stre"&amp;"ngth"""": """"IK10""""}
{""""SKU"""":""""HRS004"""", """"Power"""": """"1.2W"""", """"Optics"""": """"SYM60°"""", """"CCT"""": """"4000K"""", """"IP Rating"""": """"IP67"""", """"Impact Strength"""": """"IK10""""}
{""""SKU"""":""""HRS005"""", """"Power"""&amp;""": """"1.2W"""", """"Optics"""": """"ASYM50°"""", """"CCT"""": """"3000K"""", """"IP Rating"""": """"IP67"""", """"Impact Strength"""": """"IK10""""}
### Example Output:
{
  """"Options"""": {
    """"Power"""": [
      {""""name"""": """"1.2W"""", """""&amp;"id"""": """"101""""}
    ],
    """"Optics"""": [
      {""""name"""": """"SYM30°"""", """"id"""": """"102""""},
      {""""name"""": """"SYM60°"""", """"id"""": """"103""""},
      {""""name"""": """"ASYM50°"""", """"id"""": """"104""""}
    ],
    """"C"&amp;"CT"""": [
      {""""name"""": """"3000K"""", """"id"""": """"105""""},
      {""""name"""": """"4000K"""", """"id"""": """"106""""}
    ],
    """"IP Rating"""": [
      {""""name"""": """"IP67"""", """"id"""": """"107""""}
    ],
    """"Impact Strength"&amp;""""": [
      {""""name"""": """"IK10"""", """"id"""": """"108""""}
    ]
  },
  """"Constraints"""": {
    """"104"""": [106]
  },
""""sku_mappings"""": [
      { """"sku"""": """"HRS001"""", """"combination"""": [""""101"""", """"102"""", """"105"""", "&amp;"""""107"""", """"108""""] },
      { """"sku"""": """"HRS002"""", """"combination"""": [""""101"""", """"102"""", """"106"""", """"107"""", """"108""""] },
      { """"sku"""": """"HRS003"""", """"combination"""": [""""101"""", """"103"""", """"105"""", "&amp;"""""107"""", """"108""""] },
      { """"sku"""": """"HRS004"""", """"combination"""": [""""101"""", """"103"""", """"106"""", """"107"""", """"108""""] },
      { """"sku"""": """"HRS005"""", """"combination"""": [""""101"""", """"104"""", """"105"""", "&amp;"""""107"""", """"108""""] },
      { """"sku"""": """"HRS006"""", """"combination"""": [""""101"""", """"104"""", """"106"""", """"107"""", """"108""""] }
    ]
}
Process the following product variant combinations and output the """"Options"""" and """"C"&amp;"onstraints"""" JSON:"", Q41)"),"{ ""Options"": { ""Dimension"": [ {""name"": ""61.5mm (W) x 14mm (H)"", ""id"": ""101""} ], ""Finish"": [ {""name"": ""Silver"", ""id"": ""102""} ], ""Profile Length"": [ {""name"": ""2m"", ""id"": ""103""} ] }, ""Constraints"": {}, ""sku_mappings"": [ { "&amp;"""sku"": ""PR115"", ""combination"": [""101"", ""102"", ""103""] } ] }")</f>
        <v>{ "Options": { "Dimension": [ {"name": "61.5mm (W) x 14mm (H)", "id": "101"} ], "Finish": [ {"name": "Silver", "id": "102"} ], "Profile Length": [ {"name": "2m", "id": "103"} ] }, "Constraints": {}, "sku_mappings": [ { "sku": "PR115", "combination": ["101", "102", "103"] } ] }</v>
      </c>
      <c r="U41" s="30" t="s">
        <v>250</v>
      </c>
      <c r="V41" s="19" t="str">
        <f>IFERROR(__xludf.DUMMYFUNCTION("AI(""Extract options object from the json"", U41)"),"{""Dimension"": [{""name"": ""61.5mm (W) x 14mm (H)"", ""id"": ""101""}], ""Finish"": [{""name"": ""Silver"", ""id"": ""102""}], ""Profile Length"": [{""name"": ""2m"", ""id"": ""103""}]}")</f>
        <v>{"Dimension": [{"name": "61.5mm (W) x 14mm (H)", "id": "101"}], "Finish": [{"name": "Silver", "id": "102"}], "Profile Length": [{"name": "2m", "id": "103"}]}</v>
      </c>
      <c r="W41" s="19" t="str">
        <f>IFERROR(__xludf.DUMMYFUNCTION("AI(""Extract constraints object from the json"", U41)"),"{}")</f>
        <v>{}</v>
      </c>
      <c r="X41" s="19" t="str">
        <f>IFERROR(__xludf.DUMMYFUNCTION("AI(""Extract sku_mappings object from the json"", U41)"),"[ { ""sku"": ""PR115"", ""combination"": [""101"", ""102"", ""103""] } ]")</f>
        <v>[ { "sku": "PR115", "combination": ["101", "102", "103"] } ]</v>
      </c>
      <c r="Y41" s="17" t="s">
        <v>42</v>
      </c>
      <c r="Z41" s="17" t="s">
        <v>251</v>
      </c>
      <c r="AA41" s="17" t="s">
        <v>44</v>
      </c>
      <c r="AB41" s="20"/>
      <c r="AC41" s="21" t="str">
        <f>IFERROR(__xludf.DUMMYFUNCTION("AI(""Generate 6 powerful unique keywords for the product in this row separated by comma"")"),"Trimless recessed plaster profile, Recessed plaster-in channel, Architectural LED extrusion, Seamless drywall lighting, Flush plaster LED profile, Wide recessed channel")</f>
        <v>Trimless recessed plaster profile, Recessed plaster-in channel, Architectural LED extrusion, Seamless drywall lighting, Flush plaster LED profile, Wide recessed channel</v>
      </c>
      <c r="AD41" s="20" t="s">
        <v>252</v>
      </c>
    </row>
    <row r="42" ht="30.0" customHeight="1">
      <c r="A42" s="10" t="s">
        <v>253</v>
      </c>
      <c r="B42" s="11" t="s">
        <v>236</v>
      </c>
      <c r="C42" s="11" t="s">
        <v>32</v>
      </c>
      <c r="D42" s="10" t="s">
        <v>237</v>
      </c>
      <c r="E42" s="11" t="s">
        <v>34</v>
      </c>
      <c r="F42" s="12" t="str">
        <f>IFERROR(__xludf.DUMMYFUNCTION("AI(""Give me a paragraph marketing spiel for product in this row, no tech specs just marketing fluff "")"),"Craft an ambiance of pure architectural perfection with a borderless lighting channel designed for smooth, invisible integration into drywall. This trimless profile disappears into the structure to deliver a mesmerizing, uninterrupted flow of light. Ideal"&amp;" for sophisticated interiors, it brings warmth, modern charm, and a touch of effortless luxury to any space.")</f>
        <v>Craft an ambiance of pure architectural perfection with a borderless lighting channel designed for smooth, invisible integration into drywall. This trimless profile disappears into the structure to deliver a mesmerizing, uninterrupted flow of light. Ideal for sophisticated interiors, it brings warmth, modern charm, and a touch of effortless luxury to any space.</v>
      </c>
      <c r="G42" s="13" t="s">
        <v>254</v>
      </c>
      <c r="H42" s="12" t="str">
        <f>IFERROR(__xludf.DUMMYFUNCTION("AI(""Give me a paragraph marketing spiel for product in this row, no tech specs just marketing fluff under 180 characters "")"),"Create sophisticated ambient lighting that disappears into your ceiling, leaving only a pure, breathtaking radiance.")</f>
        <v>Create sophisticated ambient lighting that disappears into your ceiling, leaving only a pure, breathtaking radiance.</v>
      </c>
      <c r="I42" s="11" t="s">
        <v>255</v>
      </c>
      <c r="J42" s="22"/>
      <c r="K42" s="22"/>
      <c r="L42" s="11" t="s">
        <v>253</v>
      </c>
      <c r="M42" s="11" t="s">
        <v>256</v>
      </c>
      <c r="N42"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""&amp;M42)"),"Dimension | Finish | Profile Length")</f>
        <v>Dimension | Finish | Profile Length</v>
      </c>
      <c r="O42" s="15" t="s">
        <v>38</v>
      </c>
      <c r="P42" s="14" t="str">
        <f>IFERROR(__xludf.DUMMYFUNCTION("AI(""Using the labels""&amp;N42&amp;"" and values ""&amp;M42&amp;"" separated by character '|' and Using ""&amp;L42&amp;"" and key as 'SKU', Create a JSON object"")"),"{""SKU"": ""PR116"", ""Dimension"": ""53mm (W) x 14mm (H)"", ""Finish"": ""Silver"", ""Profile Length"": ""2m""}")</f>
        <v>{"SKU": "PR116", "Dimension": "53mm (W) x 14mm (H)", "Finish": "Silver", "Profile Length": "2m"}</v>
      </c>
      <c r="Q42" s="15" t="s">
        <v>257</v>
      </c>
      <c r="R42" s="16"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Q42)"),"{""SKU"": ""PR116"", ""Dimension"": ""53mm (W) x 14mm (H)"", ""Finish"": ""Silver"", ""Profile Length"": ""2m""}")</f>
        <v>{"SKU": "PR116", "Dimension": "53mm (W) x 14mm (H)", "Finish": "Silver", "Profile Length": "2m"}</v>
      </c>
      <c r="S42" s="17" t="s">
        <v>257</v>
      </c>
      <c r="T42" s="16"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CCT, IP Rating, Impact Strength).
   - Assign a unique sequential integer string ID to every attribute value, starting from """"101"""" and incrementing by 1 in "&amp;"the order they appear.
   - Format each attribute as an array of objects: `[{""""name"""": """"VALUE"""", """"id"""": """"ID""""}]`.
2. **Determine Constraints (Incompatibilities):**
   - Identify attribute pairs that are impossible or missing from the v"&amp;"alid combinations.
   - Specifically, map an ID of an Option Value to an array of Option Value IDs that **cannot** be selected with it.
   - Output constraints in the format: `""""OPTION_ID"""": [INCOMPATIBLE_OPTION_ID]`.
   - Only list meaningful non-emp"&amp;"ty constraints. Express constraints using the primary driving factor (e.g., optic limitation over CCT).
3. **Determine sku_mappings:**
   - Identify the valid combination and create a array with sku and combination containing array of options ID
4. **O"&amp;"utput Format:**
   - Return strictly valid JSON containing two root keys: """"Options"""", """"Constraints"""" and """"sku_mappings"""".
   - Do not wrap the JSON in conversational filler text.
---
### Example Input:
{""""SKU"""":""""HRS001"""", """"Pow"&amp;"er"""": """"1.2W"""", """"Optics"""": """"SYM30°"""", """"CCT"""": """"3000K"""", """"IP Rating"""": """"IP67"""", """"Impact Strength"""": """"IK10""""}
{""""SKU"""":""""HRS002"""", """"Power"""": """"1.2W"""", """"Optics"""": """"SYM30°"""", """"CCT"""""&amp;": """"4000K"""", """"IP Rating"""": """"IP67"""", """"Impact Strength"""": """"IK10""""}
{""""SKU"""":""""HRS003"""", """"Power"""": """"1.2W"""", """"Optics"""": """"SYM60°"""", """"CCT"""": """"3000K"""", """"IP Rating"""": """"IP67"""", """"Impact Stre"&amp;"ngth"""": """"IK10""""}
{""""SKU"""":""""HRS004"""", """"Power"""": """"1.2W"""", """"Optics"""": """"SYM60°"""", """"CCT"""": """"4000K"""", """"IP Rating"""": """"IP67"""", """"Impact Strength"""": """"IK10""""}
{""""SKU"""":""""HRS005"""", """"Power"""&amp;""": """"1.2W"""", """"Optics"""": """"ASYM50°"""", """"CCT"""": """"3000K"""", """"IP Rating"""": """"IP67"""", """"Impact Strength"""": """"IK10""""}
### Example Output:
{
  """"Options"""": {
    """"Power"""": [
      {""""name"""": """"1.2W"""", """""&amp;"id"""": """"101""""}
    ],
    """"Optics"""": [
      {""""name"""": """"SYM30°"""", """"id"""": """"102""""},
      {""""name"""": """"SYM60°"""", """"id"""": """"103""""},
      {""""name"""": """"ASYM50°"""", """"id"""": """"104""""}
    ],
    """"C"&amp;"CT"""": [
      {""""name"""": """"3000K"""", """"id"""": """"105""""},
      {""""name"""": """"4000K"""", """"id"""": """"106""""}
    ],
    """"IP Rating"""": [
      {""""name"""": """"IP67"""", """"id"""": """"107""""}
    ],
    """"Impact Strength"&amp;""""": [
      {""""name"""": """"IK10"""", """"id"""": """"108""""}
    ]
  },
  """"Constraints"""": {
    """"104"""": [106]
  },
""""sku_mappings"""": [
      { """"sku"""": """"HRS001"""", """"combination"""": [""""101"""", """"102"""", """"105"""", "&amp;"""""107"""", """"108""""] },
      { """"sku"""": """"HRS002"""", """"combination"""": [""""101"""", """"102"""", """"106"""", """"107"""", """"108""""] },
      { """"sku"""": """"HRS003"""", """"combination"""": [""""101"""", """"103"""", """"105"""", "&amp;"""""107"""", """"108""""] },
      { """"sku"""": """"HRS004"""", """"combination"""": [""""101"""", """"103"""", """"106"""", """"107"""", """"108""""] },
      { """"sku"""": """"HRS005"""", """"combination"""": [""""101"""", """"104"""", """"105"""", "&amp;"""""107"""", """"108""""] },
      { """"sku"""": """"HRS006"""", """"combination"""": [""""101"""", """"104"""", """"106"""", """"107"""", """"108""""] }
    ]
}
Process the following product variant combinations and output the """"Options"""" and """"C"&amp;"onstraints"""" JSON:"", Q42)"),"{
""Options"": {
""Dimension"": [
{""name"": ""53mm (W) x 14mm (H)"", ""id"": ""101""}
],
""Finish"": [
{""name"": ""Silver"", ""id"": ""102""}
],
""Profile Length"": [
{""name"": ""2m"", ""id"": ""103""}
]
},
""Constraints"": {},
""sku_mappings"": [
{ """&amp;"sku"": ""PR116"", ""combination"": [""101"", ""102"", ""103""] }
]
}")</f>
        <v>{
"Options": {
"Dimension": [
{"name": "53mm (W) x 14mm (H)", "id": "101"}
],
"Finish": [
{"name": "Silver", "id": "102"}
],
"Profile Length": [
{"name": "2m", "id": "103"}
]
},
"Constraints": {},
"sku_mappings": [
{ "sku": "PR116", "combination": ["101", "102", "103"] }
]
}</v>
      </c>
      <c r="U42" s="30" t="s">
        <v>258</v>
      </c>
      <c r="V42" s="19" t="str">
        <f>IFERROR(__xludf.DUMMYFUNCTION("AI(""Extract options object from the json"", U42)"),"{""Dimension"": [{""name"": ""53mm (W) x 14mm (H)"", ""id"": ""101""}], ""Finish"": [{""name"": ""Silver"", ""id"": ""102""}], ""Profile Length"": [{""name"": ""2m"", ""id"": ""103""}]}")</f>
        <v>{"Dimension": [{"name": "53mm (W) x 14mm (H)", "id": "101"}], "Finish": [{"name": "Silver", "id": "102"}], "Profile Length": [{"name": "2m", "id": "103"}]}</v>
      </c>
      <c r="W42" s="19" t="str">
        <f>IFERROR(__xludf.DUMMYFUNCTION("AI(""Extract constraints object from the json"", U42)"),"{}")</f>
        <v>{}</v>
      </c>
      <c r="X42" s="19" t="str">
        <f>IFERROR(__xludf.DUMMYFUNCTION("AI(""Extract sku_mappings object from the json"", U42)"),"[ { ""sku"": ""PR116"", ""combination"": [""101"", ""102"", ""103""] } ]")</f>
        <v>[ { "sku": "PR116", "combination": ["101", "102", "103"] } ]</v>
      </c>
      <c r="Y42" s="17" t="s">
        <v>42</v>
      </c>
      <c r="Z42" s="17" t="s">
        <v>259</v>
      </c>
      <c r="AA42" s="17" t="s">
        <v>189</v>
      </c>
      <c r="AB42" s="20"/>
      <c r="AC42" s="21" t="str">
        <f>IFERROR(__xludf.DUMMYFUNCTION("AI(""Generate 6 powerful unique keywords for the product in this row separated by comma"")"),"Plaster-in LED extrusion, Trimless aluminium profile, Drywall recessed channel, Seamless linear housing, Architectural plaster light, Recessed LED profile")</f>
        <v>Plaster-in LED extrusion, Trimless aluminium profile, Drywall recessed channel, Seamless linear housing, Architectural plaster light, Recessed LED profile</v>
      </c>
      <c r="AD42" s="20" t="s">
        <v>260</v>
      </c>
    </row>
    <row r="43" ht="30.0" customHeight="1">
      <c r="A43" s="10" t="s">
        <v>261</v>
      </c>
      <c r="B43" s="11" t="s">
        <v>262</v>
      </c>
      <c r="C43" s="11" t="s">
        <v>32</v>
      </c>
      <c r="D43" s="10" t="s">
        <v>263</v>
      </c>
      <c r="E43" s="11" t="s">
        <v>34</v>
      </c>
      <c r="F43" s="12" t="str">
        <f>IFERROR(__xludf.DUMMYFUNCTION("AI(""Give me a paragraph marketing spiel for product in this row, no tech specs just marketing fluff "")"),"Unleash your creative vision with a flexible lighting solution engineered to follow graceful curves and custom architectural contours. Perfect for creating soft, flowing lines of light, this bendable profile turns ordinary walls and ceilings into dynamic "&amp;"visual masterpieces. Bring artistic brilliance, ambient elegance, and captivating warmth to every corner of your interior space.")</f>
        <v>Unleash your creative vision with a flexible lighting solution engineered to follow graceful curves and custom architectural contours. Perfect for creating soft, flowing lines of light, this bendable profile turns ordinary walls and ceilings into dynamic visual masterpieces. Bring artistic brilliance, ambient elegance, and captivating warmth to every corner of your interior space.</v>
      </c>
      <c r="G43" s="13" t="s">
        <v>264</v>
      </c>
      <c r="H43" s="12" t="str">
        <f>IFERROR(__xludf.DUMMYFUNCTION("AI(""Give me a paragraph marketing spiel for product in this row, no tech specs just marketing fluff under 180 characters "")"),"Unleash creative freedom with flexible lighting designed to effortlessly follow every curve and contour of your space.")</f>
        <v>Unleash creative freedom with flexible lighting designed to effortlessly follow every curve and contour of your space.</v>
      </c>
      <c r="I43" s="11" t="s">
        <v>265</v>
      </c>
      <c r="J43" s="22"/>
      <c r="K43" s="22"/>
      <c r="L43" s="10" t="s">
        <v>261</v>
      </c>
      <c r="M43" s="11" t="s">
        <v>266</v>
      </c>
      <c r="N43"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""&amp;M43)"),"Dimension | Finish | Profile Length")</f>
        <v>Dimension | Finish | Profile Length</v>
      </c>
      <c r="O43" s="15" t="s">
        <v>38</v>
      </c>
      <c r="P43" s="14" t="str">
        <f>IFERROR(__xludf.DUMMYFUNCTION("AI(""Using the labels""&amp;N43&amp;"" and values ""&amp;M43&amp;"" separated by character '|' and Using ""&amp;L43&amp;"" and key as 'SKU', Create a JSON object"")"),"{""SKU"": ""PR125"", ""Dimension"": ""18mm (W) x 5.6mm (H)"", ""Finish"": ""Silver"", ""Profile Length"": ""2m""}")</f>
        <v>{"SKU": "PR125", "Dimension": "18mm (W) x 5.6mm (H)", "Finish": "Silver", "Profile Length": "2m"}</v>
      </c>
      <c r="Q43" s="15" t="s">
        <v>267</v>
      </c>
      <c r="R43" s="16"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Q43)"),"{""SKU"": ""PR125"", ""Dimension"": ""18mm (W) x 5.6mm (H)"", ""Finish"": ""Silver"", ""Profile Length"": ""2m""}")</f>
        <v>{"SKU": "PR125", "Dimension": "18mm (W) x 5.6mm (H)", "Finish": "Silver", "Profile Length": "2m"}</v>
      </c>
      <c r="S43" s="17" t="s">
        <v>267</v>
      </c>
      <c r="T43" s="16"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CCT, IP Rating, Impact Strength).
   - Assign a unique sequential integer string ID to every attribute value, starting from """"101"""" and incrementing by 1 in "&amp;"the order they appear.
   - Format each attribute as an array of objects: `[{""""name"""": """"VALUE"""", """"id"""": """"ID""""}]`.
2. **Determine Constraints (Incompatibilities):**
   - Identify attribute pairs that are impossible or missing from the v"&amp;"alid combinations.
   - Specifically, map an ID of an Option Value to an array of Option Value IDs that **cannot** be selected with it.
   - Output constraints in the format: `""""OPTION_ID"""": [INCOMPATIBLE_OPTION_ID]`.
   - Only list meaningful non-emp"&amp;"ty constraints. Express constraints using the primary driving factor (e.g., optic limitation over CCT).
3. **Determine sku_mappings:**
   - Identify the valid combination and create a array with sku and combination containing array of options ID
4. **O"&amp;"utput Format:**
   - Return strictly valid JSON containing two root keys: """"Options"""", """"Constraints"""" and """"sku_mappings"""".
   - Do not wrap the JSON in conversational filler text.
---
### Example Input:
{""""SKU"""":""""HRS001"""", """"Pow"&amp;"er"""": """"1.2W"""", """"Optics"""": """"SYM30°"""", """"CCT"""": """"3000K"""", """"IP Rating"""": """"IP67"""", """"Impact Strength"""": """"IK10""""}
{""""SKU"""":""""HRS002"""", """"Power"""": """"1.2W"""", """"Optics"""": """"SYM30°"""", """"CCT"""""&amp;": """"4000K"""", """"IP Rating"""": """"IP67"""", """"Impact Strength"""": """"IK10""""}
{""""SKU"""":""""HRS003"""", """"Power"""": """"1.2W"""", """"Optics"""": """"SYM60°"""", """"CCT"""": """"3000K"""", """"IP Rating"""": """"IP67"""", """"Impact Stre"&amp;"ngth"""": """"IK10""""}
{""""SKU"""":""""HRS004"""", """"Power"""": """"1.2W"""", """"Optics"""": """"SYM60°"""", """"CCT"""": """"4000K"""", """"IP Rating"""": """"IP67"""", """"Impact Strength"""": """"IK10""""}
{""""SKU"""":""""HRS005"""", """"Power"""&amp;""": """"1.2W"""", """"Optics"""": """"ASYM50°"""", """"CCT"""": """"3000K"""", """"IP Rating"""": """"IP67"""", """"Impact Strength"""": """"IK10""""}
### Example Output:
{
  """"Options"""": {
    """"Power"""": [
      {""""name"""": """"1.2W"""", """""&amp;"id"""": """"101""""}
    ],
    """"Optics"""": [
      {""""name"""": """"SYM30°"""", """"id"""": """"102""""},
      {""""name"""": """"SYM60°"""", """"id"""": """"103""""},
      {""""name"""": """"ASYM50°"""", """"id"""": """"104""""}
    ],
    """"C"&amp;"CT"""": [
      {""""name"""": """"3000K"""", """"id"""": """"105""""},
      {""""name"""": """"4000K"""", """"id"""": """"106""""}
    ],
    """"IP Rating"""": [
      {""""name"""": """"IP67"""", """"id"""": """"107""""}
    ],
    """"Impact Strength"&amp;""""": [
      {""""name"""": """"IK10"""", """"id"""": """"108""""}
    ]
  },
  """"Constraints"""": {
    """"104"""": [106]
  },
""""sku_mappings"""": [
      { """"sku"""": """"HRS001"""", """"combination"""": [""""101"""", """"102"""", """"105"""", "&amp;"""""107"""", """"108""""] },
      { """"sku"""": """"HRS002"""", """"combination"""": [""""101"""", """"102"""", """"106"""", """"107"""", """"108""""] },
      { """"sku"""": """"HRS003"""", """"combination"""": [""""101"""", """"103"""", """"105"""", "&amp;"""""107"""", """"108""""] },
      { """"sku"""": """"HRS004"""", """"combination"""": [""""101"""", """"103"""", """"106"""", """"107"""", """"108""""] },
      { """"sku"""": """"HRS005"""", """"combination"""": [""""101"""", """"104"""", """"105"""", "&amp;"""""107"""", """"108""""] },
      { """"sku"""": """"HRS006"""", """"combination"""": [""""101"""", """"104"""", """"106"""", """"107"""", """"108""""] }
    ]
}
Process the following product variant combinations and output the """"Options"""" and """"C"&amp;"onstraints"""" JSON:"", Q43)"),"{ ""Options"": { ""Dimension"": [ {""name"": ""18mm (W) x 5.6mm (H)"", ""id"": ""101""} ], ""Finish"": [ {""name"": ""Silver"", ""id"": ""102""} ], ""Profile Length"": [ {""name"": ""2m"", ""id"": ""103""} ] }, ""Constraints"": {}, ""sku_mappings"": [ { "&amp;"""sku"": ""PR125"", ""combination"": [""101"", ""102"", ""103""] } ] }")</f>
        <v>{ "Options": { "Dimension": [ {"name": "18mm (W) x 5.6mm (H)", "id": "101"} ], "Finish": [ {"name": "Silver", "id": "102"} ], "Profile Length": [ {"name": "2m", "id": "103"} ] }, "Constraints": {}, "sku_mappings": [ { "sku": "PR125", "combination": ["101", "102", "103"] } ] }</v>
      </c>
      <c r="U43" s="30" t="s">
        <v>268</v>
      </c>
      <c r="V43" s="19" t="str">
        <f>IFERROR(__xludf.DUMMYFUNCTION("AI(""Extract options object from the json"", U43)"),"{""Dimension"": [{""name"": ""18mm (W) x 5.6mm (H)"", ""id"": ""101""}], ""Finish"": [{""name"": ""Silver"", ""id"": ""102""}], ""Profile Length"": [{""name"": ""2m"", ""id"": ""103""}]}")</f>
        <v>{"Dimension": [{"name": "18mm (W) x 5.6mm (H)", "id": "101"}], "Finish": [{"name": "Silver", "id": "102"}], "Profile Length": [{"name": "2m", "id": "103"}]}</v>
      </c>
      <c r="W43" s="19" t="str">
        <f>IFERROR(__xludf.DUMMYFUNCTION("AI(""Extract constraints object from the json"", U43)"),"{}")</f>
        <v>{}</v>
      </c>
      <c r="X43" s="19" t="str">
        <f>IFERROR(__xludf.DUMMYFUNCTION("AI(""Extract sku_mappings object from the json"", U43)"),"[ { ""sku"": ""PR125"", ""combination"": [""101"", ""102"", ""103""] } ]")</f>
        <v>[ { "sku": "PR125", "combination": ["101", "102", "103"] } ]</v>
      </c>
      <c r="Y43" s="17" t="s">
        <v>42</v>
      </c>
      <c r="Z43" s="17" t="s">
        <v>269</v>
      </c>
      <c r="AA43" s="17" t="s">
        <v>44</v>
      </c>
      <c r="AB43" s="20"/>
      <c r="AC43" s="21" t="str">
        <f>IFERROR(__xludf.DUMMYFUNCTION("AI(""Generate 6 powerful unique keywords for the product in this row separated by comma"")"),"Bendable aluminium profile, Flexible LED channel, Curved LED extrusion, Flexible linear housing, Bendable LED channel, Slim flexible profile")</f>
        <v>Bendable aluminium profile, Flexible LED channel, Curved LED extrusion, Flexible linear housing, Bendable LED channel, Slim flexible profile</v>
      </c>
      <c r="AD43" s="20" t="s">
        <v>270</v>
      </c>
    </row>
    <row r="44" ht="30.0" customHeight="1">
      <c r="A44" s="10" t="s">
        <v>271</v>
      </c>
      <c r="B44" s="11" t="s">
        <v>199</v>
      </c>
      <c r="C44" s="11" t="s">
        <v>32</v>
      </c>
      <c r="D44" s="10" t="s">
        <v>200</v>
      </c>
      <c r="E44" s="11" t="s">
        <v>34</v>
      </c>
      <c r="F44" s="12" t="str">
        <f>IFERROR(__xludf.DUMMYFUNCTION("AI(""Give me a paragraph marketing spiel for product in this row, no tech specs just marketing fluff "")"),"Elevate your environment with a versatile, modern lighting profile that effortlessly adapts to either surface-mounted or suspended installations. Designed to make a striking visual statement while delivering a continuous, elegant glow, it adds dimension, "&amp;"warmth, and architectural drama to any high-end setting. Experience the perfect harmony of contemporary style and sophisticated ambiance.")</f>
        <v>Elevate your environment with a versatile, modern lighting profile that effortlessly adapts to either surface-mounted or suspended installations. Designed to make a striking visual statement while delivering a continuous, elegant glow, it adds dimension, warmth, and architectural drama to any high-end setting. Experience the perfect harmony of contemporary style and sophisticated ambiance.</v>
      </c>
      <c r="G44" s="13" t="s">
        <v>272</v>
      </c>
      <c r="H44" s="12" t="str">
        <f>IFERROR(__xludf.DUMMYFUNCTION("AI(""Give me a paragraph marketing spiel for product in this row, no tech specs just marketing fluff under 180 characters "")"),"Make a bold statement with versatile lighting that adds striking modern luxury and ambient warmth to high-end interiors.")</f>
        <v>Make a bold statement with versatile lighting that adds striking modern luxury and ambient warmth to high-end interiors.</v>
      </c>
      <c r="I44" s="11" t="s">
        <v>273</v>
      </c>
      <c r="J44" s="22"/>
      <c r="K44" s="22"/>
      <c r="L44" s="11" t="s">
        <v>271</v>
      </c>
      <c r="M44" s="11" t="s">
        <v>274</v>
      </c>
      <c r="N44"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""&amp;M44)"),"Dimension | Finish | Profile Length")</f>
        <v>Dimension | Finish | Profile Length</v>
      </c>
      <c r="O44" s="15" t="s">
        <v>38</v>
      </c>
      <c r="P44" s="14" t="str">
        <f>IFERROR(__xludf.DUMMYFUNCTION("AI(""Using the labels""&amp;N44&amp;"" and values ""&amp;M44&amp;"" separated by character '|' and Using ""&amp;L44&amp;"" and key as 'SKU', Create a JSON object"")"),"{""SKU"": ""PR126-3m-Silver"", ""Dimension"": ""25mm (W) x 25mm (H)"", ""Finish"": ""Silver"", ""Profile Length"": ""3m""}")</f>
        <v>{"SKU": "PR126-3m-Silver", "Dimension": "25mm (W) x 25mm (H)", "Finish": "Silver", "Profile Length": "3m"}</v>
      </c>
      <c r="Q44" s="15" t="s">
        <v>275</v>
      </c>
      <c r="R44" s="16"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Q44:Q46)"),"{""SKU"": [""PR126-3m-Silver"", ""PR126-3m-Black"", ""PR126-3m-White""], ""Dimension"": ""25mm (W) x 25mm (H)"", ""Finish"": [""Silver"", ""Black"", ""White""], ""Profile Length"": ""3m""}")</f>
        <v>{"SKU": ["PR126-3m-Silver", "PR126-3m-Black", "PR126-3m-White"], "Dimension": "25mm (W) x 25mm (H)", "Finish": ["Silver", "Black", "White"], "Profile Length": "3m"}</v>
      </c>
      <c r="S44" s="17" t="s">
        <v>276</v>
      </c>
      <c r="T44" s="16"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CCT, IP Rating, Impact Strength).
   - Assign a unique sequential integer string ID to every attribute value, starting from """"101"""" and incrementing by 1 in "&amp;"the order they appear.
   - Format each attribute as an array of objects: `[{""""name"""": """"VALUE"""", """"id"""": """"ID""""}]`.
2. **Determine Constraints (Incompatibilities):**
   - Identify attribute pairs that are impossible or missing from the v"&amp;"alid combinations.
   - Specifically, map an ID of an Option Value to an array of Option Value IDs that **cannot** be selected with it.
   - Output constraints in the format: `""""OPTION_ID"""": [INCOMPATIBLE_OPTION_ID]`.
   - Only list meaningful non-emp"&amp;"ty constraints. Express constraints using the primary driving factor (e.g., optic limitation over CCT).
3. **Determine sku_mappings:**
   - Identify the valid combination and create a array with sku and combination containing array of options ID
4. **O"&amp;"utput Format:**
   - Return strictly valid JSON containing two root keys: """"Options"""", """"Constraints"""" and """"sku_mappings"""".
   - Do not wrap the JSON in conversational filler text.
---
### Example Input:
{""""SKU"""":""""HRS001"""", """"Pow"&amp;"er"""": """"1.2W"""", """"Optics"""": """"SYM30°"""", """"CCT"""": """"3000K"""", """"IP Rating"""": """"IP67"""", """"Impact Strength"""": """"IK10""""}
{""""SKU"""":""""HRS002"""", """"Power"""": """"1.2W"""", """"Optics"""": """"SYM30°"""", """"CCT"""""&amp;": """"4000K"""", """"IP Rating"""": """"IP67"""", """"Impact Strength"""": """"IK10""""}
{""""SKU"""":""""HRS003"""", """"Power"""": """"1.2W"""", """"Optics"""": """"SYM60°"""", """"CCT"""": """"3000K"""", """"IP Rating"""": """"IP67"""", """"Impact Stre"&amp;"ngth"""": """"IK10""""}
{""""SKU"""":""""HRS004"""", """"Power"""": """"1.2W"""", """"Optics"""": """"SYM60°"""", """"CCT"""": """"4000K"""", """"IP Rating"""": """"IP67"""", """"Impact Strength"""": """"IK10""""}
{""""SKU"""":""""HRS005"""", """"Power"""&amp;""": """"1.2W"""", """"Optics"""": """"ASYM50°"""", """"CCT"""": """"3000K"""", """"IP Rating"""": """"IP67"""", """"Impact Strength"""": """"IK10""""}
### Example Output:
{
  """"Options"""": {
    """"Power"""": [
      {""""name"""": """"1.2W"""", """""&amp;"id"""": """"101""""}
    ],
    """"Optics"""": [
      {""""name"""": """"SYM30°"""", """"id"""": """"102""""},
      {""""name"""": """"SYM60°"""", """"id"""": """"103""""},
      {""""name"""": """"ASYM50°"""", """"id"""": """"104""""}
    ],
    """"C"&amp;"CT"""": [
      {""""name"""": """"3000K"""", """"id"""": """"105""""},
      {""""name"""": """"4000K"""", """"id"""": """"106""""}
    ],
    """"IP Rating"""": [
      {""""name"""": """"IP67"""", """"id"""": """"107""""}
    ],
    """"Impact Strength"&amp;""""": [
      {""""name"""": """"IK10"""", """"id"""": """"108""""}
    ]
  },
  """"Constraints"""": {
    """"104"""": [106]
  },
""""sku_mappings"""": [
      { """"sku"""": """"HRS001"""", """"combination"""": [""""101"""", """"102"""", """"105"""", "&amp;"""""107"""", """"108""""] },
      { """"sku"""": """"HRS002"""", """"combination"""": [""""101"""", """"102"""", """"106"""", """"107"""", """"108""""] },
      { """"sku"""": """"HRS003"""", """"combination"""": [""""101"""", """"103"""", """"105"""", "&amp;"""""107"""", """"108""""] },
      { """"sku"""": """"HRS004"""", """"combination"""": [""""101"""", """"103"""", """"106"""", """"107"""", """"108""""] },
      { """"sku"""": """"HRS005"""", """"combination"""": [""""101"""", """"104"""", """"105"""", "&amp;"""""107"""", """"108""""] },
      { """"sku"""": """"HRS006"""", """"combination"""": [""""101"""", """"104"""", """"106"""", """"107"""", """"108""""] }
    ]
}
Process the following product variant combinations and output the """"Options"""" and """"C"&amp;"onstraints"""" JSON:"", Q44:Q46)"),"{ ""Options"": { ""Dimension"": [ {""name"": ""25mm (W) x 25mm (H)"", ""id"": ""101""} ], ""Finish"": [ {""name"": ""Silver"", ""id"": ""102""}, {""name"": ""Black"", ""id"": ""103""}, {""name"": ""White"", ""id"": ""104""} ], ""Profile Length"": [ {""nam"&amp;"e"": ""3m"", ""id"": ""105""} ] }, ""Constraints"": {}, ""sku_mappings"": [ { ""sku"": ""PR126-3m-Silver"", ""combination"": [""101"", ""102"", ""105""] }, { ""sku"": ""PR126-3m-Black"", ""combination"": [""101"", ""103"", ""105""] }, { ""sku"": ""PR126-3"&amp;"m-White"", ""combination"": [""101"", ""104"", ""105""] } ] }")</f>
        <v>{ "Options": { "Dimension": [ {"name": "25mm (W) x 25mm (H)", "id": "101"} ], "Finish": [ {"name": "Silver", "id": "102"}, {"name": "Black", "id": "103"}, {"name": "White", "id": "104"} ], "Profile Length": [ {"name": "3m", "id": "105"} ] }, "Constraints": {}, "sku_mappings": [ { "sku": "PR126-3m-Silver", "combination": ["101", "102", "105"] }, { "sku": "PR126-3m-Black", "combination": ["101", "103", "105"] }, { "sku": "PR126-3m-White", "combination": ["101", "104", "105"] } ] }</v>
      </c>
      <c r="U44" s="30" t="s">
        <v>277</v>
      </c>
      <c r="V44" s="19" t="str">
        <f>IFERROR(__xludf.DUMMYFUNCTION("AI(""Extract options object from the json"", U44)"),"{""Dimension"": [{""name"": ""25mm (W) x 25mm (H)"", ""id"": ""101""}], ""Finish"": [{""name"": ""Silver"", ""id"": ""102""}, {""name"": ""Black"", ""id"": ""103""}, {""name"": ""White"", ""id"": ""104""}], ""Profile Length"": [{""name"": ""3m"", ""id"": "&amp;"""105""}]}")</f>
        <v>{"Dimension": [{"name": "25mm (W) x 25mm (H)", "id": "101"}], "Finish": [{"name": "Silver", "id": "102"}, {"name": "Black", "id": "103"}, {"name": "White", "id": "104"}], "Profile Length": [{"name": "3m", "id": "105"}]}</v>
      </c>
      <c r="W44" s="19" t="str">
        <f>IFERROR(__xludf.DUMMYFUNCTION("AI(""Extract constraints object from the json"", U44)"),"{}")</f>
        <v>{}</v>
      </c>
      <c r="X44" s="19" t="str">
        <f>IFERROR(__xludf.DUMMYFUNCTION("AI(""Extract sku_mappings object from the json"", U44)"),"[ { ""sku"": ""PR126-3m-Silver"", ""combination"": [""101"", ""102"", ""105""] }, { ""sku"": ""PR126-3m-Black"", ""combination"": [""101"", ""103"", ""105""] }, { ""sku"": ""PR126-3m-White"", ""combination"": [""101"", ""104"", ""105""] } ]")</f>
        <v>[ { "sku": "PR126-3m-Silver", "combination": ["101", "102", "105"] }, { "sku": "PR126-3m-Black", "combination": ["101", "103", "105"] }, { "sku": "PR126-3m-White", "combination": ["101", "104", "105"] } ]</v>
      </c>
      <c r="Y44" s="17" t="s">
        <v>42</v>
      </c>
      <c r="Z44" s="17" t="s">
        <v>278</v>
      </c>
      <c r="AA44" s="17" t="s">
        <v>44</v>
      </c>
      <c r="AB44" s="20"/>
      <c r="AC44" s="21" t="str">
        <f>IFERROR(__xludf.DUMMYFUNCTION("AI(""Generate 6 powerful unique keywords for the product in this row separated by comma"")"),"Suspended LED profile, Surface mount aluminium channel, Square LED extrusion, Hanging linear housing, 3m aluminium profile, Architectural linear channel")</f>
        <v>Suspended LED profile, Surface mount aluminium channel, Square LED extrusion, Hanging linear housing, 3m aluminium profile, Architectural linear channel</v>
      </c>
      <c r="AD44" s="20" t="s">
        <v>279</v>
      </c>
    </row>
    <row r="45" ht="30.0" customHeight="1">
      <c r="A45" s="10"/>
      <c r="B45" s="22"/>
      <c r="C45" s="22"/>
      <c r="D45" s="22"/>
      <c r="E45" s="22"/>
      <c r="F45" s="23"/>
      <c r="G45" s="22"/>
      <c r="H45" s="23"/>
      <c r="I45" s="22"/>
      <c r="J45" s="22"/>
      <c r="K45" s="22"/>
      <c r="L45" s="34" t="s">
        <v>280</v>
      </c>
      <c r="M45" s="34" t="s">
        <v>281</v>
      </c>
      <c r="N45"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""&amp;M45)"),"Dimension | Finish | Profile Length")</f>
        <v>Dimension | Finish | Profile Length</v>
      </c>
      <c r="O45" s="15" t="s">
        <v>38</v>
      </c>
      <c r="P45" s="14" t="str">
        <f>IFERROR(__xludf.DUMMYFUNCTION("AI(""Using the labels""&amp;N45&amp;"" and values ""&amp;M45&amp;"" separated by character '|' and Using ""&amp;L45&amp;"" and key as 'SKU', Create a JSON object"")"),"{""SKU"": ""PR126-3m-Black"", ""Dimension"": ""25mm (W) x 25mm (H)"", ""Finish"": ""Black"", ""Profile Length"": ""3m""}")</f>
        <v>{"SKU": "PR126-3m-Black", "Dimension": "25mm (W) x 25mm (H)", "Finish": "Black", "Profile Length": "3m"}</v>
      </c>
      <c r="Q45" s="15" t="s">
        <v>282</v>
      </c>
      <c r="R45" s="25"/>
      <c r="S45" s="25"/>
      <c r="T45" s="25"/>
      <c r="U45" s="26"/>
      <c r="V45" s="25"/>
      <c r="W45" s="25"/>
      <c r="X45" s="25"/>
      <c r="Y45" s="32" t="s">
        <v>42</v>
      </c>
      <c r="Z45" s="32" t="s">
        <v>278</v>
      </c>
      <c r="AA45" s="17" t="s">
        <v>44</v>
      </c>
      <c r="AB45" s="20"/>
      <c r="AC45" s="20"/>
      <c r="AD45" s="20"/>
    </row>
    <row r="46" ht="30.0" customHeight="1">
      <c r="A46" s="10"/>
      <c r="B46" s="22"/>
      <c r="C46" s="22"/>
      <c r="D46" s="22"/>
      <c r="E46" s="22"/>
      <c r="F46" s="23"/>
      <c r="G46" s="22"/>
      <c r="H46" s="23"/>
      <c r="I46" s="22"/>
      <c r="J46" s="22"/>
      <c r="K46" s="22"/>
      <c r="L46" s="34" t="s">
        <v>283</v>
      </c>
      <c r="M46" s="34" t="s">
        <v>284</v>
      </c>
      <c r="N46"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""&amp;M46)"),"Dimension | Finish | Profile Length")</f>
        <v>Dimension | Finish | Profile Length</v>
      </c>
      <c r="O46" s="15" t="s">
        <v>38</v>
      </c>
      <c r="P46" s="14" t="str">
        <f>IFERROR(__xludf.DUMMYFUNCTION("AI(""Using the labels""&amp;N46&amp;"" and values ""&amp;M46&amp;"" separated by character '|' and Using ""&amp;L46&amp;"" and key as 'SKU', Create a JSON object"")"),"{""SKU"": ""PR126-3m-White"", ""Dimension"": ""25mm (W) x 25mm (H)"", ""Finish"": ""White"", ""Profile Length"": ""3m""}")</f>
        <v>{"SKU": "PR126-3m-White", "Dimension": "25mm (W) x 25mm (H)", "Finish": "White", "Profile Length": "3m"}</v>
      </c>
      <c r="Q46" s="15" t="s">
        <v>285</v>
      </c>
      <c r="R46" s="25"/>
      <c r="S46" s="25"/>
      <c r="T46" s="25"/>
      <c r="U46" s="26"/>
      <c r="V46" s="25"/>
      <c r="W46" s="25"/>
      <c r="X46" s="25"/>
      <c r="Y46" s="32" t="s">
        <v>42</v>
      </c>
      <c r="Z46" s="32" t="s">
        <v>278</v>
      </c>
      <c r="AA46" s="17" t="s">
        <v>44</v>
      </c>
      <c r="AB46" s="20"/>
      <c r="AC46" s="20"/>
      <c r="AD46" s="20"/>
    </row>
    <row r="47" ht="30.0" customHeight="1">
      <c r="A47" s="10" t="s">
        <v>286</v>
      </c>
      <c r="B47" s="11" t="s">
        <v>199</v>
      </c>
      <c r="C47" s="11" t="s">
        <v>32</v>
      </c>
      <c r="D47" s="10" t="s">
        <v>200</v>
      </c>
      <c r="E47" s="11" t="s">
        <v>34</v>
      </c>
      <c r="F47" s="12" t="str">
        <f>IFERROR(__xludf.DUMMYFUNCTION("AI(""Give me a paragraph marketing spiel for product in this row, no tech specs just marketing fluff "")"),"Transform your living spaces into a breathtaking visual journey with a perfect blend of elegance and modern design. This premium lighting solution offers seamless integration into your home, casting a warm, sophisticated glow that effortlessly guides the "&amp;"way while enhancing the natural beauty of your architecture. Crafted for those who appreciate refined detail and discreet luxury, it adds an unparalleled touch of ambiance, warmth, and captivating security to any setting, making it the ultimate choice for"&amp;" elevated architectural illumination.")</f>
        <v>Transform your living spaces into a breathtaking visual journey with a perfect blend of elegance and modern design. This premium lighting solution offers seamless integration into your home, casting a warm, sophisticated glow that effortlessly guides the way while enhancing the natural beauty of your architecture. Crafted for those who appreciate refined detail and discreet luxury, it adds an unparalleled touch of ambiance, warmth, and captivating security to any setting, making it the ultimate choice for elevated architectural illumination.</v>
      </c>
      <c r="G47" s="13" t="s">
        <v>35</v>
      </c>
      <c r="H47" s="12" t="str">
        <f>IFERROR(__xludf.DUMMYFUNCTION("AI(""Give me a paragraph marketing spiel for product in this row, no tech specs just marketing fluff under 180 characters "")"),"Elevate your space with elegant design and discreet luxury, creating a sophisticated, seamless glow.")</f>
        <v>Elevate your space with elegant design and discreet luxury, creating a sophisticated, seamless glow.</v>
      </c>
      <c r="I47" s="11" t="s">
        <v>36</v>
      </c>
      <c r="J47" s="22"/>
      <c r="K47" s="22"/>
      <c r="L47" s="34" t="s">
        <v>286</v>
      </c>
      <c r="M47" s="34" t="s">
        <v>287</v>
      </c>
      <c r="N47"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""&amp;M47)"),"Dimension | Finish | Profile Length")</f>
        <v>Dimension | Finish | Profile Length</v>
      </c>
      <c r="O47" s="15" t="s">
        <v>38</v>
      </c>
      <c r="P47" s="14" t="str">
        <f>IFERROR(__xludf.DUMMYFUNCTION("AI(""Using the labels""&amp;N47&amp;"" and values ""&amp;M47&amp;"" separated by character '|' and Using ""&amp;L47&amp;"" and key as 'SKU', Create a JSON object"")"),"{""SKU"": ""PR127-3m-Silver"", ""Dimension"": ""50mm (W) x 75mm (H)"", ""Finish"": ""Silver"", ""Profile Length"": ""3m""}")</f>
        <v>{"SKU": "PR127-3m-Silver", "Dimension": "50mm (W) x 75mm (H)", "Finish": "Silver", "Profile Length": "3m"}</v>
      </c>
      <c r="Q47" s="15" t="s">
        <v>288</v>
      </c>
      <c r="R47" s="16"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Q47:Q49)"),"{""SKU"": ""PR127-3m-Silver"", ""Dimension"": ""50mm (W) x 75mm (H)"", ""Finish"": ""Silver"", ""Profile Length"": ""3m""}")</f>
        <v>{"SKU": "PR127-3m-Silver", "Dimension": "50mm (W) x 75mm (H)", "Finish": "Silver", "Profile Length": "3m"}</v>
      </c>
      <c r="S47" s="17" t="s">
        <v>288</v>
      </c>
      <c r="T47" s="16"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CCT, IP Rating, Impact Strength).
   - Assign a unique sequential integer string ID to every attribute value, starting from """"101"""" and incrementing by 1 in "&amp;"the order they appear.
   - Format each attribute as an array of objects: `[{""""name"""": """"VALUE"""", """"id"""": """"ID""""}]`.
2. **Determine Constraints (Incompatibilities):**
   - Identify attribute pairs that are impossible or missing from the v"&amp;"alid combinations.
   - Specifically, map an ID of an Option Value to an array of Option Value IDs that **cannot** be selected with it.
   - Output constraints in the format: `""""OPTION_ID"""": [INCOMPATIBLE_OPTION_ID]`.
   - Only list meaningful non-emp"&amp;"ty constraints. Express constraints using the primary driving factor (e.g., optic limitation over CCT).
3. **Determine sku_mappings:**
   - Identify the valid combination and create a array with sku and combination containing array of options ID
4. **O"&amp;"utput Format:**
   - Return strictly valid JSON containing two root keys: """"Options"""", """"Constraints"""" and """"sku_mappings"""".
   - Do not wrap the JSON in conversational filler text.
---
### Example Input:
{""""SKU"""":""""HRS001"""", """"Pow"&amp;"er"""": """"1.2W"""", """"Optics"""": """"SYM30°"""", """"CCT"""": """"3000K"""", """"IP Rating"""": """"IP67"""", """"Impact Strength"""": """"IK10""""}
{""""SKU"""":""""HRS002"""", """"Power"""": """"1.2W"""", """"Optics"""": """"SYM30°"""", """"CCT"""""&amp;": """"4000K"""", """"IP Rating"""": """"IP67"""", """"Impact Strength"""": """"IK10""""}
{""""SKU"""":""""HRS003"""", """"Power"""": """"1.2W"""", """"Optics"""": """"SYM60°"""", """"CCT"""": """"3000K"""", """"IP Rating"""": """"IP67"""", """"Impact Stre"&amp;"ngth"""": """"IK10""""}
{""""SKU"""":""""HRS004"""", """"Power"""": """"1.2W"""", """"Optics"""": """"SYM60°"""", """"CCT"""": """"4000K"""", """"IP Rating"""": """"IP67"""", """"Impact Strength"""": """"IK10""""}
{""""SKU"""":""""HRS005"""", """"Power"""&amp;""": """"1.2W"""", """"Optics"""": """"ASYM50°"""", """"CCT"""": """"3000K"""", """"IP Rating"""": """"IP67"""", """"Impact Strength"""": """"IK10""""}
### Example Output:
{
  """"Options"""": {
    """"Power"""": [
      {""""name"""": """"1.2W"""", """""&amp;"id"""": """"101""""}
    ],
    """"Optics"""": [
      {""""name"""": """"SYM30°"""", """"id"""": """"102""""},
      {""""name"""": """"SYM60°"""", """"id"""": """"103""""},
      {""""name"""": """"ASYM50°"""", """"id"""": """"104""""}
    ],
    """"C"&amp;"CT"""": [
      {""""name"""": """"3000K"""", """"id"""": """"105""""},
      {""""name"""": """"4000K"""", """"id"""": """"106""""}
    ],
    """"IP Rating"""": [
      {""""name"""": """"IP67"""", """"id"""": """"107""""}
    ],
    """"Impact Strength"&amp;""""": [
      {""""name"""": """"IK10"""", """"id"""": """"108""""}
    ]
  },
  """"Constraints"""": {
    """"104"""": [106]
  },
""""sku_mappings"""": [
      { """"sku"""": """"HRS001"""", """"combination"""": [""""101"""", """"102"""", """"105"""", "&amp;"""""107"""", """"108""""] },
      { """"sku"""": """"HRS002"""", """"combination"""": [""""101"""", """"102"""", """"106"""", """"107"""", """"108""""] },
      { """"sku"""": """"HRS003"""", """"combination"""": [""""101"""", """"103"""", """"105"""", "&amp;"""""107"""", """"108""""] },
      { """"sku"""": """"HRS004"""", """"combination"""": [""""101"""", """"103"""", """"106"""", """"107"""", """"108""""] },
      { """"sku"""": """"HRS005"""", """"combination"""": [""""101"""", """"104"""", """"105"""", "&amp;"""""107"""", """"108""""] },
      { """"sku"""": """"HRS006"""", """"combination"""": [""""101"""", """"104"""", """"106"""", """"107"""", """"108""""] }
    ]
}
Process the following product variant combinations and output the """"Options"""" and """"C"&amp;"onstraints"""" JSON:"", Q47:Q49)"),"{ ""Options"": { ""Dimension"": [ {""name"": ""50mm (W) x 75mm (H)"", ""id"": ""101""} ], ""Finish"": [ {""name"": ""Silver"", ""id"": ""102""}, {""name"": ""Black"", ""id"": ""103""}, {""name"": ""White"", ""id"": ""104""} ], ""Profile Length"": [ {""nam"&amp;"e"": ""3m"", ""id"": ""105""} ] }, ""Constraints"": {}, ""sku_mappings"": [ { ""sku"": ""PR127-3m-Silver"", ""combination"": [""101"", ""102"", ""105""] }, { ""sku"": ""PR127-3m-Black"", ""combination"": [""101"", ""103"", ""105""] }, { ""sku"": ""PR127-3"&amp;"m-White"", ""combination"": [""101"", ""104"", ""105""] } ] }")</f>
        <v>{ "Options": { "Dimension": [ {"name": "50mm (W) x 75mm (H)", "id": "101"} ], "Finish": [ {"name": "Silver", "id": "102"}, {"name": "Black", "id": "103"}, {"name": "White", "id": "104"} ], "Profile Length": [ {"name": "3m", "id": "105"} ] }, "Constraints": {}, "sku_mappings": [ { "sku": "PR127-3m-Silver", "combination": ["101", "102", "105"] }, { "sku": "PR127-3m-Black", "combination": ["101", "103", "105"] }, { "sku": "PR127-3m-White", "combination": ["101", "104", "105"] } ] }</v>
      </c>
      <c r="U47" s="30" t="s">
        <v>289</v>
      </c>
      <c r="V47" s="31" t="str">
        <f>IFERROR(__xludf.DUMMYFUNCTION("AI(""Extract options object from the json"", U47)"),"{""Dimension"": [{""name"": ""50mm (W) x 75mm (H)"", ""id"": ""101""}], ""Finish"": [{""name"": ""Silver"", ""id"": ""102""}, {""name"": ""Black"", ""id"": ""103""}, {""name"": ""White"", ""id"": ""104""}], ""Profile Length"": [{""name"": ""3m"", ""id"": "&amp;"""105""}]}")</f>
        <v>{"Dimension": [{"name": "50mm (W) x 75mm (H)", "id": "101"}], "Finish": [{"name": "Silver", "id": "102"}, {"name": "Black", "id": "103"}, {"name": "White", "id": "104"}], "Profile Length": [{"name": "3m", "id": "105"}]}</v>
      </c>
      <c r="W47" s="31" t="str">
        <f>IFERROR(__xludf.DUMMYFUNCTION("AI(""Extract constraints object from the json"", U47)"),"{}")</f>
        <v>{}</v>
      </c>
      <c r="X47" s="31" t="str">
        <f>IFERROR(__xludf.DUMMYFUNCTION("AI(""Extract sku_mappings object from the json"", U47)"),"[ { ""sku"": ""PR127-3m-Silver"", ""combination"": [""101"", ""102"", ""105""] }, { ""sku"": ""PR127-3m-Black"", ""combination"": [""101"", ""103"", ""105""] }, { ""sku"": ""PR127-3m-White"", ""combination"": [""101"", ""104"", ""105""] } ]")</f>
        <v>[ { "sku": "PR127-3m-Silver", "combination": ["101", "102", "105"] }, { "sku": "PR127-3m-Black", "combination": ["101", "103", "105"] }, { "sku": "PR127-3m-White", "combination": ["101", "104", "105"] } ]</v>
      </c>
      <c r="Y47" s="32" t="s">
        <v>42</v>
      </c>
      <c r="Z47" s="32" t="s">
        <v>290</v>
      </c>
      <c r="AA47" s="17" t="s">
        <v>44</v>
      </c>
      <c r="AB47" s="20"/>
      <c r="AC47" s="21" t="str">
        <f>IFERROR(__xludf.DUMMYFUNCTION("AI(""Generate 6 powerful unique keywords for the product in this row separated by comma"")"),"Aluminium surface suspended profile, Architectural linear lighting, Suspended LED channel, Surface mount LED extrusion, High bay LED light housing, Commercial linear diffuser")</f>
        <v>Aluminium surface suspended profile, Architectural linear lighting, Suspended LED channel, Surface mount LED extrusion, High bay LED light housing, Commercial linear diffuser</v>
      </c>
      <c r="AD47" s="20" t="s">
        <v>291</v>
      </c>
    </row>
    <row r="48" ht="30.0" customHeight="1">
      <c r="A48" s="20"/>
      <c r="B48" s="22"/>
      <c r="C48" s="22"/>
      <c r="D48" s="22"/>
      <c r="E48" s="22"/>
      <c r="F48" s="23"/>
      <c r="G48" s="22"/>
      <c r="H48" s="23"/>
      <c r="I48" s="22"/>
      <c r="J48" s="22"/>
      <c r="K48" s="22"/>
      <c r="L48" s="34" t="s">
        <v>292</v>
      </c>
      <c r="M48" s="34" t="s">
        <v>293</v>
      </c>
      <c r="N48"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""&amp;M48)"),"Dimension | Finish | Profile Length")</f>
        <v>Dimension | Finish | Profile Length</v>
      </c>
      <c r="O48" s="15" t="s">
        <v>38</v>
      </c>
      <c r="P48" s="14" t="str">
        <f>IFERROR(__xludf.DUMMYFUNCTION("AI(""Using the labels""&amp;N48&amp;"" and values ""&amp;M48&amp;"" separated by character '|' and Using ""&amp;L48&amp;"" and key as 'SKU', Create a JSON object"")"),"{""SKU"": ""PR127-3m-Black"", ""Dimension"": ""50mm (W) x 75mm (H)"", ""Finish"": ""Black"", ""Profile Length"": ""3m""}")</f>
        <v>{"SKU": "PR127-3m-Black", "Dimension": "50mm (W) x 75mm (H)", "Finish": "Black", "Profile Length": "3m"}</v>
      </c>
      <c r="Q48" s="15" t="s">
        <v>294</v>
      </c>
      <c r="R48" s="25"/>
      <c r="S48" s="25"/>
      <c r="T48" s="25"/>
      <c r="U48" s="26"/>
      <c r="V48" s="25"/>
      <c r="W48" s="25"/>
      <c r="X48" s="25"/>
      <c r="Y48" s="32" t="s">
        <v>42</v>
      </c>
      <c r="Z48" s="32" t="s">
        <v>290</v>
      </c>
      <c r="AA48" s="17" t="s">
        <v>44</v>
      </c>
      <c r="AB48" s="20"/>
      <c r="AC48" s="20"/>
      <c r="AD48" s="20"/>
    </row>
    <row r="49" ht="30.0" customHeight="1">
      <c r="A49" s="20"/>
      <c r="B49" s="22"/>
      <c r="C49" s="22"/>
      <c r="D49" s="22"/>
      <c r="E49" s="22"/>
      <c r="F49" s="23"/>
      <c r="G49" s="22"/>
      <c r="H49" s="23"/>
      <c r="I49" s="22"/>
      <c r="J49" s="22"/>
      <c r="K49" s="22"/>
      <c r="L49" s="34" t="s">
        <v>295</v>
      </c>
      <c r="M49" s="34" t="s">
        <v>296</v>
      </c>
      <c r="N49"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""&amp;M49)"),"Dimension | Finish | Profile Length")</f>
        <v>Dimension | Finish | Profile Length</v>
      </c>
      <c r="O49" s="15" t="s">
        <v>38</v>
      </c>
      <c r="P49" s="14" t="str">
        <f>IFERROR(__xludf.DUMMYFUNCTION("AI(""Using the labels""&amp;N49&amp;"" and values ""&amp;M49&amp;"" separated by character '|' and Using ""&amp;L49&amp;"" and key as 'SKU', Create a JSON object"")"),"{""SKU"": ""PR127-3m-White"", ""Dimension"": ""50mm (W) x 75mm (H)"", ""Finish"": ""White"", ""Profile Length"": ""3m""}")</f>
        <v>{"SKU": "PR127-3m-White", "Dimension": "50mm (W) x 75mm (H)", "Finish": "White", "Profile Length": "3m"}</v>
      </c>
      <c r="Q49" s="15" t="s">
        <v>297</v>
      </c>
      <c r="R49" s="25"/>
      <c r="S49" s="25"/>
      <c r="T49" s="25"/>
      <c r="U49" s="26"/>
      <c r="V49" s="25"/>
      <c r="W49" s="25"/>
      <c r="X49" s="25"/>
      <c r="Y49" s="32" t="s">
        <v>42</v>
      </c>
      <c r="Z49" s="32" t="s">
        <v>290</v>
      </c>
      <c r="AA49" s="17" t="s">
        <v>44</v>
      </c>
      <c r="AB49" s="20"/>
      <c r="AC49" s="20"/>
      <c r="AD49" s="20"/>
    </row>
    <row r="50" ht="30.0" customHeight="1">
      <c r="A50" s="10"/>
      <c r="B50" s="11"/>
      <c r="C50" s="11"/>
      <c r="D50" s="11"/>
      <c r="E50" s="11"/>
      <c r="F50" s="12"/>
      <c r="G50" s="13"/>
      <c r="H50" s="12"/>
      <c r="I50" s="11"/>
      <c r="J50" s="22"/>
      <c r="K50" s="22"/>
      <c r="L50" s="34" t="s">
        <v>298</v>
      </c>
      <c r="M50" s="34" t="s">
        <v>299</v>
      </c>
      <c r="N50"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""&amp;M50)"),"Dimension | Finish | Profile Length")</f>
        <v>Dimension | Finish | Profile Length</v>
      </c>
      <c r="O50" s="15" t="s">
        <v>38</v>
      </c>
      <c r="P50" s="14" t="str">
        <f>IFERROR(__xludf.DUMMYFUNCTION("AI(""Using the labels""&amp;N50&amp;"" and values ""&amp;M50&amp;"" separated by character '|' and Using ""&amp;L50&amp;"" and key as 'SKU', Create a JSON object"")"),"{""SKU"": ""PR129"", ""Dimension"": ""45.7mm (W) x 50 (H)"", ""Finish"": ""Silver"", ""Profile Length"": ""2m""}")</f>
        <v>{"SKU": "PR129", "Dimension": "45.7mm (W) x 50 (H)", "Finish": "Silver", "Profile Length": "2m"}</v>
      </c>
      <c r="Q50" s="15" t="s">
        <v>300</v>
      </c>
      <c r="R50" s="16"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Q50)"),"{""SKU"": ""PR127-3m-Black"", ""Dimension"": ""50mm (W) x 75mm (H)"", ""Finish"": ""Black"", ""Profile Length"": ""3m""}")</f>
        <v>{"SKU": "PR127-3m-Black", "Dimension": "50mm (W) x 75mm (H)", "Finish": "Black", "Profile Length": "3m"}</v>
      </c>
      <c r="S50" s="17" t="s">
        <v>294</v>
      </c>
      <c r="T50" s="16"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CCT, IP Rating, Impact Strength).
   - Assign a unique sequential integer string ID to every attribute value, starting from """"101"""" and incrementing by 1 in "&amp;"the order they appear.
   - Format each attribute as an array of objects: `[{""""name"""": """"VALUE"""", """"id"""": """"ID""""}]`.
2. **Determine Constraints (Incompatibilities):**
   - Identify attribute pairs that are impossible or missing from the v"&amp;"alid combinations.
   - Specifically, map an ID of an Option Value to an array of Option Value IDs that **cannot** be selected with it.
   - Output constraints in the format: `""""OPTION_ID"""": [INCOMPATIBLE_OPTION_ID]`.
   - Only list meaningful non-emp"&amp;"ty constraints. Express constraints using the primary driving factor (e.g., optic limitation over CCT).
3. **Determine sku_mappings:**
   - Identify the valid combination and create a array with sku and combination containing array of options ID
4. **O"&amp;"utput Format:**
   - Return strictly valid JSON containing two root keys: """"Options"""", """"Constraints"""" and """"sku_mappings"""".
   - Do not wrap the JSON in conversational filler text.
---
### Example Input:
{""""SKU"""":""""HRS001"""", """"Pow"&amp;"er"""": """"1.2W"""", """"Optics"""": """"SYM30°"""", """"CCT"""": """"3000K"""", """"IP Rating"""": """"IP67"""", """"Impact Strength"""": """"IK10""""}
{""""SKU"""":""""HRS002"""", """"Power"""": """"1.2W"""", """"Optics"""": """"SYM30°"""", """"CCT"""""&amp;": """"4000K"""", """"IP Rating"""": """"IP67"""", """"Impact Strength"""": """"IK10""""}
{""""SKU"""":""""HRS003"""", """"Power"""": """"1.2W"""", """"Optics"""": """"SYM60°"""", """"CCT"""": """"3000K"""", """"IP Rating"""": """"IP67"""", """"Impact Stre"&amp;"ngth"""": """"IK10""""}
{""""SKU"""":""""HRS004"""", """"Power"""": """"1.2W"""", """"Optics"""": """"SYM60°"""", """"CCT"""": """"4000K"""", """"IP Rating"""": """"IP67"""", """"Impact Strength"""": """"IK10""""}
{""""SKU"""":""""HRS005"""", """"Power"""&amp;""": """"1.2W"""", """"Optics"""": """"ASYM50°"""", """"CCT"""": """"3000K"""", """"IP Rating"""": """"IP67"""", """"Impact Strength"""": """"IK10""""}
### Example Output:
{
  """"Options"""": {
    """"Power"""": [
      {""""name"""": """"1.2W"""", """""&amp;"id"""": """"101""""}
    ],
    """"Optics"""": [
      {""""name"""": """"SYM30°"""", """"id"""": """"102""""},
      {""""name"""": """"SYM60°"""", """"id"""": """"103""""},
      {""""name"""": """"ASYM50°"""", """"id"""": """"104""""}
    ],
    """"C"&amp;"CT"""": [
      {""""name"""": """"3000K"""", """"id"""": """"105""""},
      {""""name"""": """"4000K"""", """"id"""": """"106""""}
    ],
    """"IP Rating"""": [
      {""""name"""": """"IP67"""", """"id"""": """"107""""}
    ],
    """"Impact Strength"&amp;""""": [
      {""""name"""": """"IK10"""", """"id"""": """"108""""}
    ]
  },
  """"Constraints"""": {
    """"104"""": [106]
  },
""""sku_mappings"""": [
      { """"sku"""": """"HRS001"""", """"combination"""": [""""101"""", """"102"""", """"105"""", "&amp;"""""107"""", """"108""""] },
      { """"sku"""": """"HRS002"""", """"combination"""": [""""101"""", """"102"""", """"106"""", """"107"""", """"108""""] },
      { """"sku"""": """"HRS003"""", """"combination"""": [""""101"""", """"103"""", """"105"""", "&amp;"""""107"""", """"108""""] },
      { """"sku"""": """"HRS004"""", """"combination"""": [""""101"""", """"103"""", """"106"""", """"107"""", """"108""""] },
      { """"sku"""": """"HRS005"""", """"combination"""": [""""101"""", """"104"""", """"105"""", "&amp;"""""107"""", """"108""""] },
      { """"sku"""": """"HRS006"""", """"combination"""": [""""101"""", """"104"""", """"106"""", """"107"""", """"108""""] }
    ]
}
Process the following product variant combinations and output the """"Options"""" and """"C"&amp;"onstraints"""" JSON:"", Q50)"),"{
""Options"": {
""Dimension"": [
{
""name"": ""45.7mm (W) x 50 (H)"",
""id"": ""101""
}
],
""Finish"": [
{
""name"": ""Silver"",
""id"": ""102""
}
],
""Profile Length"": [
{
""name"": ""2m"",
""id"": ""103""
}
]
},
""Constraints"": {},
""sku_mappings"": "&amp;"[
{
""sku"": ""PR129"",
""combination"": [
""101"",
""102"",
""103""
]
}
]
}")</f>
        <v>{
"Options": {
"Dimension": [
{
"name": "45.7mm (W) x 50 (H)",
"id": "101"
}
],
"Finish": [
{
"name": "Silver",
"id": "102"
}
],
"Profile Length": [
{
"name": "2m",
"id": "103"
}
]
},
"Constraints": {},
"sku_mappings": [
{
"sku": "PR129",
"combination": [
"101",
"102",
"103"
]
}
]
}</v>
      </c>
      <c r="U50" s="30" t="s">
        <v>301</v>
      </c>
      <c r="V50" s="31" t="str">
        <f>IFERROR(__xludf.DUMMYFUNCTION("AI(""Extract options object from the json"", U50)"),"{""Dimension"": [{""name"": ""45.7mm (W) x 50 (H)"", ""id"": ""101""}], ""Finish"": [{""name"": ""Silver"", ""id"": ""102""}], ""Profile Length"": [{""name"": ""2m"", ""id"": ""103""}]}")</f>
        <v>{"Dimension": [{"name": "45.7mm (W) x 50 (H)", "id": "101"}], "Finish": [{"name": "Silver", "id": "102"}], "Profile Length": [{"name": "2m", "id": "103"}]}</v>
      </c>
      <c r="W50" s="31" t="str">
        <f>IFERROR(__xludf.DUMMYFUNCTION("AI(""Extract constraints object from the json"", U50)"),"{}")</f>
        <v>{}</v>
      </c>
      <c r="X50" s="31" t="str">
        <f>IFERROR(__xludf.DUMMYFUNCTION("AI(""Extract sku_mappings object from the json"", U50)"),"[ { ""sku"": ""PR129"", ""combination"": [ ""101"", ""102"", ""103"" ] } ]")</f>
        <v>[ { "sku": "PR129", "combination": [ "101", "102", "103" ] } ]</v>
      </c>
      <c r="Y50" s="32" t="s">
        <v>42</v>
      </c>
      <c r="Z50" s="32" t="s">
        <v>302</v>
      </c>
      <c r="AA50" s="17" t="s">
        <v>189</v>
      </c>
      <c r="AB50" s="20"/>
      <c r="AC50" s="21" t="str">
        <f>IFERROR(__xludf.DUMMYFUNCTION("AI(""Generate 6 powerful unique keywords for the product in this row separated by comma"")"),"Corner LED profile, Aluminium wall washer channel, Corner aluminium extrusion, Surface mount corner LED housing, Architectural wall wash lighting, Linear LED extrusion")</f>
        <v>Corner LED profile, Aluminium wall washer channel, Corner aluminium extrusion, Surface mount corner LED housing, Architectural wall wash lighting, Linear LED extrusion</v>
      </c>
      <c r="AD50" s="20" t="s">
        <v>303</v>
      </c>
    </row>
    <row r="51" ht="30.0" customHeight="1">
      <c r="A51" s="10" t="s">
        <v>304</v>
      </c>
      <c r="B51" s="11" t="s">
        <v>305</v>
      </c>
      <c r="C51" s="11" t="s">
        <v>32</v>
      </c>
      <c r="D51" s="11" t="s">
        <v>306</v>
      </c>
      <c r="E51" s="11" t="s">
        <v>34</v>
      </c>
      <c r="F51" s="12" t="str">
        <f>IFERROR(__xludf.DUMMYFUNCTION("AI(""Give me a paragraph marketing spiel for product in this row, no tech specs just marketing fluff "")"),"Experience the ultimate in seamless lighting design with an ultra-clean, plaster-in wall washer that blends flawlessly into your ceilings and walls. By concealing the light source within a deep recessed profile, it delivers a stunning, dramatic wash of so"&amp;"ft light without any visual clutter or glare. Designed for contemporary spaces seeking a sophisticated ambiance, this profile turns structural surfaces into glowing canvases of modern architectural elegance.")</f>
        <v>Experience the ultimate in seamless lighting design with an ultra-clean, plaster-in wall washer that blends flawlessly into your ceilings and walls. By concealing the light source within a deep recessed profile, it delivers a stunning, dramatic wash of soft light without any visual clutter or glare. Designed for contemporary spaces seeking a sophisticated ambiance, this profile turns structural surfaces into glowing canvases of modern architectural elegance.</v>
      </c>
      <c r="G51" s="13" t="s">
        <v>307</v>
      </c>
      <c r="H51" s="12" t="str">
        <f>IFERROR(__xludf.DUMMYFUNCTION("AI(""Give me a paragraph marketing spiel for product in this row, no tech specs just marketing fluff under 180 characters "")"),"Elevate your interior design with seamless trimless wall washing, casting a refined, warm glow that perfectly highlights your home's unique architecture.")</f>
        <v>Elevate your interior design with seamless trimless wall washing, casting a refined, warm glow that perfectly highlights your home's unique architecture.</v>
      </c>
      <c r="I51" s="11" t="s">
        <v>308</v>
      </c>
      <c r="J51" s="22"/>
      <c r="K51" s="22"/>
      <c r="L51" s="34" t="s">
        <v>304</v>
      </c>
      <c r="M51" s="34" t="s">
        <v>309</v>
      </c>
      <c r="N51"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""&amp;M51)"),"Dimension | Finish | Profile Length")</f>
        <v>Dimension | Finish | Profile Length</v>
      </c>
      <c r="O51" s="15" t="s">
        <v>38</v>
      </c>
      <c r="P51" s="14" t="str">
        <f>IFERROR(__xludf.DUMMYFUNCTION("AI(""Using the labels""&amp;N51&amp;"" and values ""&amp;M51&amp;"" separated by character '|' and Using ""&amp;L51&amp;"" and key as 'SKU', Create a JSON object"")"),"{""SKU"": ""PR130-W"", ""Dimension"": ""85.5mm (W) x 56.8mm (H)"", ""Finish"": ""White"", ""Profile Length"": ""2m""}")</f>
        <v>{"SKU": "PR130-W", "Dimension": "85.5mm (W) x 56.8mm (H)", "Finish": "White", "Profile Length": "2m"}</v>
      </c>
      <c r="Q51" s="15" t="s">
        <v>310</v>
      </c>
      <c r="R51" s="16"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Q51)"),"{""SKU"": ""PR127-3m-White"", ""Dimension"": ""50mm (W) x 75mm (H)"", ""Finish"": ""White"", ""Profile Length"": ""3m""}")</f>
        <v>{"SKU": "PR127-3m-White", "Dimension": "50mm (W) x 75mm (H)", "Finish": "White", "Profile Length": "3m"}</v>
      </c>
      <c r="S51" s="17" t="s">
        <v>297</v>
      </c>
      <c r="T51" s="16"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CCT, IP Rating, Impact Strength).
   - Assign a unique sequential integer string ID to every attribute value, starting from """"101"""" and incrementing by 1 in "&amp;"the order they appear.
   - Format each attribute as an array of objects: `[{""""name"""": """"VALUE"""", """"id"""": """"ID""""}]`.
2. **Determine Constraints (Incompatibilities):**
   - Identify attribute pairs that are impossible or missing from the v"&amp;"alid combinations.
   - Specifically, map an ID of an Option Value to an array of Option Value IDs that **cannot** be selected with it.
   - Output constraints in the format: `""""OPTION_ID"""": [INCOMPATIBLE_OPTION_ID]`.
   - Only list meaningful non-emp"&amp;"ty constraints. Express constraints using the primary driving factor (e.g., optic limitation over CCT).
3. **Determine sku_mappings:**
   - Identify the valid combination and create a array with sku and combination containing array of options ID
4. **O"&amp;"utput Format:**
   - Return strictly valid JSON containing two root keys: """"Options"""", """"Constraints"""" and """"sku_mappings"""".
   - Do not wrap the JSON in conversational filler text.
---
### Example Input:
{""""SKU"""":""""HRS001"""", """"Pow"&amp;"er"""": """"1.2W"""", """"Optics"""": """"SYM30°"""", """"CCT"""": """"3000K"""", """"IP Rating"""": """"IP67"""", """"Impact Strength"""": """"IK10""""}
{""""SKU"""":""""HRS002"""", """"Power"""": """"1.2W"""", """"Optics"""": """"SYM30°"""", """"CCT"""""&amp;": """"4000K"""", """"IP Rating"""": """"IP67"""", """"Impact Strength"""": """"IK10""""}
{""""SKU"""":""""HRS003"""", """"Power"""": """"1.2W"""", """"Optics"""": """"SYM60°"""", """"CCT"""": """"3000K"""", """"IP Rating"""": """"IP67"""", """"Impact Stre"&amp;"ngth"""": """"IK10""""}
{""""SKU"""":""""HRS004"""", """"Power"""": """"1.2W"""", """"Optics"""": """"SYM60°"""", """"CCT"""": """"4000K"""", """"IP Rating"""": """"IP67"""", """"Impact Strength"""": """"IK10""""}
{""""SKU"""":""""HRS005"""", """"Power"""&amp;""": """"1.2W"""", """"Optics"""": """"ASYM50°"""", """"CCT"""": """"3000K"""", """"IP Rating"""": """"IP67"""", """"Impact Strength"""": """"IK10""""}
### Example Output:
{
  """"Options"""": {
    """"Power"""": [
      {""""name"""": """"1.2W"""", """""&amp;"id"""": """"101""""}
    ],
    """"Optics"""": [
      {""""name"""": """"SYM30°"""", """"id"""": """"102""""},
      {""""name"""": """"SYM60°"""", """"id"""": """"103""""},
      {""""name"""": """"ASYM50°"""", """"id"""": """"104""""}
    ],
    """"C"&amp;"CT"""": [
      {""""name"""": """"3000K"""", """"id"""": """"105""""},
      {""""name"""": """"4000K"""", """"id"""": """"106""""}
    ],
    """"IP Rating"""": [
      {""""name"""": """"IP67"""", """"id"""": """"107""""}
    ],
    """"Impact Strength"&amp;""""": [
      {""""name"""": """"IK10"""", """"id"""": """"108""""}
    ]
  },
  """"Constraints"""": {
    """"104"""": [106]
  },
""""sku_mappings"""": [
      { """"sku"""": """"HRS001"""", """"combination"""": [""""101"""", """"102"""", """"105"""", "&amp;"""""107"""", """"108""""] },
      { """"sku"""": """"HRS002"""", """"combination"""": [""""101"""", """"102"""", """"106"""", """"107"""", """"108""""] },
      { """"sku"""": """"HRS003"""", """"combination"""": [""""101"""", """"103"""", """"105"""", "&amp;"""""107"""", """"108""""] },
      { """"sku"""": """"HRS004"""", """"combination"""": [""""101"""", """"103"""", """"106"""", """"107"""", """"108""""] },
      { """"sku"""": """"HRS005"""", """"combination"""": [""""101"""", """"104"""", """"105"""", "&amp;"""""107"""", """"108""""] },
      { """"sku"""": """"HRS006"""", """"combination"""": [""""101"""", """"104"""", """"106"""", """"107"""", """"108""""] }
    ]
}
Process the following product variant combinations and output the """"Options"""" and """"C"&amp;"onstraints"""" JSON:"", Q51)"),"{
""Options"": {
""Dimension"": [
{
""name"": ""85.5mm (W) x 56.8mm (H)"",
""id"": ""101""
}
],
""Finish"": [
{
""name"": ""White"",
""id"": ""102""
}
],
""Profile Length"": [
{
""name"": ""2m"",
""id"": ""103""
}
]
},
""Constraints"": {},
""sku_mappings"&amp;""": [
{
""sku"": ""PR130-W"",
""combination"": [
""101"",
""102"",
""103""
]
}
]
}")</f>
        <v>{
"Options": {
"Dimension": [
{
"name": "85.5mm (W) x 56.8mm (H)",
"id": "101"
}
],
"Finish": [
{
"name": "White",
"id": "102"
}
],
"Profile Length": [
{
"name": "2m",
"id": "103"
}
]
},
"Constraints": {},
"sku_mappings": [
{
"sku": "PR130-W",
"combination": [
"101",
"102",
"103"
]
}
]
}</v>
      </c>
      <c r="U51" s="30" t="s">
        <v>311</v>
      </c>
      <c r="V51" s="31" t="str">
        <f>IFERROR(__xludf.DUMMYFUNCTION("AI(""Extract options object from the json"", U51)"),"{""Dimension"": [{""name"": ""85.5mm (W) x 56.8mm (H)"", ""id"": ""101""}], ""Finish"": [{""name"": ""White"", ""id"": ""102""}], ""Profile Length"": [{""name"": ""2m"", ""id"": ""103""}]}")</f>
        <v>{"Dimension": [{"name": "85.5mm (W) x 56.8mm (H)", "id": "101"}], "Finish": [{"name": "White", "id": "102"}], "Profile Length": [{"name": "2m", "id": "103"}]}</v>
      </c>
      <c r="W51" s="31" t="str">
        <f>IFERROR(__xludf.DUMMYFUNCTION("AI(""Extract constraints object from the json"", U51)"),"{}")</f>
        <v>{}</v>
      </c>
      <c r="X51" s="31" t="str">
        <f>IFERROR(__xludf.DUMMYFUNCTION("AI(""Extract sku_mappings object from the json"", U51)"),"[ { ""sku"": ""PR130-W"", ""combination"": [ ""101"", ""102"", ""103"" ] } ]")</f>
        <v>[ { "sku": "PR130-W", "combination": [ "101", "102", "103" ] } ]</v>
      </c>
      <c r="Y51" s="17" t="s">
        <v>42</v>
      </c>
      <c r="Z51" s="17" t="s">
        <v>312</v>
      </c>
      <c r="AA51" s="17" t="s">
        <v>44</v>
      </c>
      <c r="AB51" s="20"/>
      <c r="AC51" s="21" t="str">
        <f>IFERROR(__xludf.DUMMYFUNCTION("AI(""Generate 6 powerful unique keywords for the product in this row separated by comma"")"),"Trimless LED wall washer, Deep recessed aluminium channel, Plaster-in LED profile, Architectural wall wash light, Recessed linear extrusion, Flush wall washer channel")</f>
        <v>Trimless LED wall washer, Deep recessed aluminium channel, Plaster-in LED profile, Architectural wall wash light, Recessed linear extrusion, Flush wall washer channel</v>
      </c>
      <c r="AD51" s="20" t="s">
        <v>313</v>
      </c>
    </row>
    <row r="52" ht="30.0" customHeight="1">
      <c r="A52" s="10" t="s">
        <v>314</v>
      </c>
      <c r="B52" s="11" t="s">
        <v>315</v>
      </c>
      <c r="C52" s="11" t="s">
        <v>32</v>
      </c>
      <c r="D52" s="11" t="s">
        <v>306</v>
      </c>
      <c r="E52" s="11" t="s">
        <v>34</v>
      </c>
      <c r="F52" s="12" t="str">
        <f>IFERROR(__xludf.DUMMYFUNCTION("AI(""Give me a paragraph marketing spiel for product in this row, no tech specs just marketing fluff "")"),"Redefine your interior design with sleek, flush-mounted lighting that integrates directly into your architecture for a truly borderless aesthetic. Designed to deliver a continuous, breathtaking sweep of light along your walls, this trimless solution enhan"&amp;"ces textures and spatial dimensions while maintaining a minimalist presence. It is the ideal choice for creating refined, immersive environments filled with subtle elegance and timeless warmth.")</f>
        <v>Redefine your interior design with sleek, flush-mounted lighting that integrates directly into your architecture for a truly borderless aesthetic. Designed to deliver a continuous, breathtaking sweep of light along your walls, this trimless solution enhances textures and spatial dimensions while maintaining a minimalist presence. It is the ideal choice for creating refined, immersive environments filled with subtle elegance and timeless warmth.</v>
      </c>
      <c r="G52" s="13" t="s">
        <v>316</v>
      </c>
      <c r="H52" s="12" t="str">
        <f>IFERROR(__xludf.DUMMYFUNCTION("AI(""Give me a paragraph marketing spiel for product in this row, no tech specs just marketing fluff under 180 characters "")"),"Bring modern elegance and discreet luxury to your walls with flush, seamless lighting that creates an inviting, sophisticated ambiance throughout your space.")</f>
        <v>Bring modern elegance and discreet luxury to your walls with flush, seamless lighting that creates an inviting, sophisticated ambiance throughout your space.</v>
      </c>
      <c r="I52" s="11" t="s">
        <v>317</v>
      </c>
      <c r="J52" s="22"/>
      <c r="K52" s="22"/>
      <c r="L52" s="34" t="s">
        <v>314</v>
      </c>
      <c r="M52" s="34" t="s">
        <v>318</v>
      </c>
      <c r="N52"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""&amp;M52)"),"Dimension | Finish | Profile Length")</f>
        <v>Dimension | Finish | Profile Length</v>
      </c>
      <c r="O52" s="15" t="s">
        <v>38</v>
      </c>
      <c r="P52" s="14" t="str">
        <f>IFERROR(__xludf.DUMMYFUNCTION("AI(""Using the labels""&amp;N52&amp;"" and values ""&amp;M52&amp;"" separated by character '|' and Using ""&amp;L52&amp;"" and key as 'SKU', Create a JSON object"")"),"{""SKU"": ""PR131-W"", ""Dimension"": ""94.4mm (W) x 34mm (H)"", ""Finish"": ""White"", ""Profile Length"": ""2m""}")</f>
        <v>{"SKU": "PR131-W", "Dimension": "94.4mm (W) x 34mm (H)", "Finish": "White", "Profile Length": "2m"}</v>
      </c>
      <c r="Q52" s="15" t="s">
        <v>319</v>
      </c>
      <c r="R52" s="16"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Q52:Q53)"),"{""SKU"": [""PR131-W"", ""PR131-3m-White""], ""Dimension"": ""94.4mm (W) x 34mm (H)"", ""Finish"": ""White"", ""Profile Length"": [""2m"", ""3m""]}")</f>
        <v>{"SKU": ["PR131-W", "PR131-3m-White"], "Dimension": "94.4mm (W) x 34mm (H)", "Finish": "White", "Profile Length": ["2m", "3m"]}</v>
      </c>
      <c r="S52" s="17" t="s">
        <v>320</v>
      </c>
      <c r="T52" s="16" t="str">
        <f>IFERROR(__xludf.DUMMYFUNCTION("AI(""You are a product catalog configuration expert. Your task is to analyze a list of valid product variant combinations (provided as JSON lines/objects) and generate two JSON structures: """"Options"""" and """"Constraints"""".
### Instructions:
1. **"&amp;"Extract Options:**
   - Group all unique values by their attribute keys (e.g., Power, Optics, CCT, IP Rating, Impact Strength).
   - Assign a unique sequential integer string ID to every attribute value, starting from """"101"""" and incrementing by 1 in "&amp;"the order they appear.
   - Format each attribute as an array of objects: `[{""""name"""": """"VALUE"""", """"id"""": """"ID""""}]`.
2. **Determine Constraints (Incompatibilities):**
   - Identify attribute pairs that are impossible or missing from the v"&amp;"alid combinations.
   - Specifically, map an ID of an Option Value to an array of Option Value IDs that **cannot** be selected with it.
   - Output constraints in the format: `""""OPTION_ID"""": [INCOMPATIBLE_OPTION_ID]`.
   - Only list meaningful non-emp"&amp;"ty constraints. Express constraints using the primary driving factor (e.g., optic limitation over CCT).
3. **Determine sku_mappings:**
   - Identify the valid combination and create a array with sku and combination containing array of options ID
4. **O"&amp;"utput Format:**
   - Return strictly valid JSON containing two root keys: """"Options"""", """"Constraints"""" and """"sku_mappings"""".
   - Do not wrap the JSON in conversational filler text.
---
### Example Input:
{""""SKU"""":""""HRS001"""", """"Pow"&amp;"er"""": """"1.2W"""", """"Optics"""": """"SYM30°"""", """"CCT"""": """"3000K"""", """"IP Rating"""": """"IP67"""", """"Impact Strength"""": """"IK10""""}
{""""SKU"""":""""HRS002"""", """"Power"""": """"1.2W"""", """"Optics"""": """"SYM30°"""", """"CCT"""""&amp;": """"4000K"""", """"IP Rating"""": """"IP67"""", """"Impact Strength"""": """"IK10""""}
{""""SKU"""":""""HRS003"""", """"Power"""": """"1.2W"""", """"Optics"""": """"SYM60°"""", """"CCT"""": """"3000K"""", """"IP Rating"""": """"IP67"""", """"Impact Stre"&amp;"ngth"""": """"IK10""""}
{""""SKU"""":""""HRS004"""", """"Power"""": """"1.2W"""", """"Optics"""": """"SYM60°"""", """"CCT"""": """"4000K"""", """"IP Rating"""": """"IP67"""", """"Impact Strength"""": """"IK10""""}
{""""SKU"""":""""HRS005"""", """"Power"""&amp;""": """"1.2W"""", """"Optics"""": """"ASYM50°"""", """"CCT"""": """"3000K"""", """"IP Rating"""": """"IP67"""", """"Impact Strength"""": """"IK10""""}
### Example Output:
{
  """"Options"""": {
    """"Power"""": [
      {""""name"""": """"1.2W"""", """""&amp;"id"""": """"101""""}
    ],
    """"Optics"""": [
      {""""name"""": """"SYM30°"""", """"id"""": """"102""""},
      {""""name"""": """"SYM60°"""", """"id"""": """"103""""},
      {""""name"""": """"ASYM50°"""", """"id"""": """"104""""}
    ],
    """"C"&amp;"CT"""": [
      {""""name"""": """"3000K"""", """"id"""": """"105""""},
      {""""name"""": """"4000K"""", """"id"""": """"106""""}
    ],
    """"IP Rating"""": [
      {""""name"""": """"IP67"""", """"id"""": """"107""""}
    ],
    """"Impact Strength"&amp;""""": [
      {""""name"""": """"IK10"""", """"id"""": """"108""""}
    ]
  },
  """"Constraints"""": {
    """"104"""": [106]
  },
""""sku_mappings"""": [
      { """"sku"""": """"HRS001"""", """"combination"""": [""""101"""", """"102"""", """"105"""", "&amp;"""""107"""", """"108""""] },
      { """"sku"""": """"HRS002"""", """"combination"""": [""""101"""", """"102"""", """"106"""", """"107"""", """"108""""] },
      { """"sku"""": """"HRS003"""", """"combination"""": [""""101"""", """"103"""", """"105"""", "&amp;"""""107"""", """"108""""] },
      { """"sku"""": """"HRS004"""", """"combination"""": [""""101"""", """"103"""", """"106"""", """"107"""", """"108""""] },
      { """"sku"""": """"HRS005"""", """"combination"""": [""""101"""", """"104"""", """"105"""", "&amp;"""""107"""", """"108""""] },
      { """"sku"""": """"HRS006"""", """"combination"""": [""""101"""", """"104"""", """"106"""", """"107"""", """"108""""] }
    ]
}
Process the following product variant combinations and output the """"Options"""" and """"C"&amp;"onstraints"""" JSON:"", Q52:Q53)"),"{ ""Options"": { ""Dimension"": [ {""name"": ""94.4mm (W) x 34mm (H)"", ""id"": ""101""} ], ""Finish"": [ {""name"": ""White"", ""id"": ""102""} ], ""Profile Length"": [ {""name"": ""2m"", ""id"": ""103""}, {""name"": ""3m"", ""id"": ""104""} ] }, ""Const"&amp;"raints"": {}, ""sku_mappings"": [ { ""sku"": ""PR131-W"", ""combination"": [""101"", ""102"", ""103""] }, { ""sku"": ""PR131-3m-White"", ""combination"": [""101"", ""102"", ""104""] } ] }")</f>
        <v>{ "Options": { "Dimension": [ {"name": "94.4mm (W) x 34mm (H)", "id": "101"} ], "Finish": [ {"name": "White", "id": "102"} ], "Profile Length": [ {"name": "2m", "id": "103"}, {"name": "3m", "id": "104"} ] }, "Constraints": {}, "sku_mappings": [ { "sku": "PR131-W", "combination": ["101", "102", "103"] }, { "sku": "PR131-3m-White", "combination": ["101", "102", "104"] } ] }</v>
      </c>
      <c r="U52" s="30" t="s">
        <v>321</v>
      </c>
      <c r="V52" s="31" t="str">
        <f>IFERROR(__xludf.DUMMYFUNCTION("AI(""Extract options object from the json"", U52)"),"{""Dimension"": [{""name"": ""94.4mm (W) x 34mm (H)"", ""id"": ""101""}], ""Finish"": [{""name"": ""White"", ""id"": ""102""}], ""Profile Length"": [{""name"": ""2m"", ""id"": ""103""}, {""name"": ""3m"", ""id"": ""104""}]}")</f>
        <v>{"Dimension": [{"name": "94.4mm (W) x 34mm (H)", "id": "101"}], "Finish": [{"name": "White", "id": "102"}], "Profile Length": [{"name": "2m", "id": "103"}, {"name": "3m", "id": "104"}]}</v>
      </c>
      <c r="W52" s="31" t="str">
        <f>IFERROR(__xludf.DUMMYFUNCTION("AI(""Extract constraints object from the json"", U52)"),"{}")</f>
        <v>{}</v>
      </c>
      <c r="X52" s="31" t="str">
        <f>IFERROR(__xludf.DUMMYFUNCTION("AI(""Extract sku_mappings object from the json"", U52)"),"[ { ""sku"": ""PR131-W"", ""combination"": [""101"", ""102"", ""103""] }, { ""sku"": ""PR131-3m-White"", ""combination"": [""101"", ""102"", ""104""] } ]")</f>
        <v>[ { "sku": "PR131-W", "combination": ["101", "102", "103"] }, { "sku": "PR131-3m-White", "combination": ["101", "102", "104"] } ]</v>
      </c>
      <c r="Y52" s="17" t="s">
        <v>42</v>
      </c>
      <c r="Z52" s="17" t="s">
        <v>322</v>
      </c>
      <c r="AA52" s="17" t="s">
        <v>44</v>
      </c>
      <c r="AB52" s="20"/>
      <c r="AC52" s="21" t="str">
        <f>IFERROR(__xludf.DUMMYFUNCTION("AI(""Generate 6 powerful unique keywords for the product in this row separated by comma"")"),"Trimless LED channel, Plaster-in wall washer profile, Recessed aluminium extrusion, Linear wall washer housing, Architectural LED profile, Flush mount wall wash channel")</f>
        <v>Trimless LED channel, Plaster-in wall washer profile, Recessed aluminium extrusion, Linear wall washer housing, Architectural LED profile, Flush mount wall wash channel</v>
      </c>
      <c r="AD52" s="20" t="s">
        <v>323</v>
      </c>
    </row>
    <row r="53" ht="30.0" customHeight="1">
      <c r="A53" s="10"/>
      <c r="B53" s="22"/>
      <c r="C53" s="22"/>
      <c r="D53" s="22"/>
      <c r="E53" s="22"/>
      <c r="F53" s="23"/>
      <c r="G53" s="22"/>
      <c r="H53" s="23"/>
      <c r="I53" s="22"/>
      <c r="J53" s="22"/>
      <c r="K53" s="22"/>
      <c r="L53" s="34" t="s">
        <v>324</v>
      </c>
      <c r="M53" s="34" t="s">
        <v>325</v>
      </c>
      <c r="N53"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RGBW)
- CCT (Example 3000K, 4000K)
- Voltage (Example 20V, 12V/24V)
- Current Type (Example AC/DC)
- IP Rating (Example IP67, IP68, IP20)
- Impact Strength (Example IK10)
"&amp;"- Optics (Example SYS30°)
- Finish (Example Black finish, Silver)
- Channel Configuration (Example Singel-Sided, Double-Sided, Bendable Single-Sided, Bendable Double-Sided)
- Dimension (Example 53mm (W) x 14mm (H), 480mm (L) x 240mm (W))
- Strip Width (Ex"&amp;"ample 8mm, 12mm)
- Power Consumption Rate (Example 8W/m, 5W/m)
- Profile Length (Example 1,000mm, 2m, 3m)
- AC Phase-Cut (Example Triac)
- Current Sinking (Example 0-10V)
- Current Sourcing (Example 1-10V)
- Duty Cycle (Example PWM)
- Variable Resistance "&amp;"(Example Potentiometer)
### STRICT OUTPUT RULES
1. Output ONLY the corresponding labels mentioned above separated by pipes ('|'). 
2. Do not include the values in your output.
3. Do not include any conversational text, introductory remarks, or markdown f"&amp;"ormatting blocks.
4. The number of labels in your output must exactly match the number of values provided in the input.
---
### FEW-SHOT EXAMPLES
#### Example 1 (Standard Neon Strip)
Input: 1.2W | SYM30° | 3000K | IP67 | IK10
Output: Power|Optics|CCT|I"&amp;"P Rating|Impact Strength
Input: 7W | Warm White | 12V/24V | AC/DC | IP67 | Black finish
Output: Power | Light Color | Current Type | IP Rating | Finish
---
### YOUR TASK
Generate output for the values text ""&amp;M53)"),"Dimension | Finish | Profile Length")</f>
        <v>Dimension | Finish | Profile Length</v>
      </c>
      <c r="O53" s="15" t="s">
        <v>38</v>
      </c>
      <c r="P53" s="14" t="str">
        <f>IFERROR(__xludf.DUMMYFUNCTION("AI(""Using the labels""&amp;N53&amp;"" and values ""&amp;M53&amp;"" separated by character '|' and Using ""&amp;L53&amp;"" and key as 'SKU', Create a JSON object"")"),"{""SKU"": ""PR131-3m-White"", ""Dimension"": ""94.4mm (W) x 34mm (H)"", ""Finish"": ""White"", ""Profile Length"": ""3m""}")</f>
        <v>{"SKU": "PR131-3m-White", "Dimension": "94.4mm (W) x 34mm (H)", "Finish": "White", "Profile Length": "3m"}</v>
      </c>
      <c r="Q53" s="15" t="s">
        <v>326</v>
      </c>
      <c r="R53" s="25"/>
      <c r="S53" s="25"/>
      <c r="T53" s="25"/>
      <c r="U53" s="26"/>
      <c r="V53" s="25"/>
      <c r="W53" s="25"/>
      <c r="X53" s="25"/>
      <c r="Y53" s="17" t="s">
        <v>42</v>
      </c>
      <c r="Z53" s="17" t="s">
        <v>322</v>
      </c>
      <c r="AA53" s="17" t="s">
        <v>44</v>
      </c>
      <c r="AB53" s="20"/>
      <c r="AC53" s="20"/>
      <c r="AD53" s="20"/>
    </row>
    <row r="54">
      <c r="A54" s="20"/>
      <c r="B54" s="22"/>
      <c r="C54" s="22"/>
      <c r="D54" s="22"/>
      <c r="E54" s="22"/>
      <c r="F54" s="23"/>
      <c r="G54" s="22"/>
      <c r="H54" s="23"/>
      <c r="I54" s="22"/>
      <c r="J54" s="22"/>
      <c r="K54" s="22"/>
      <c r="L54" s="35"/>
      <c r="M54" s="35"/>
      <c r="N54" s="28"/>
      <c r="O54" s="29"/>
      <c r="P54" s="28"/>
      <c r="Q54" s="29"/>
      <c r="R54" s="25"/>
      <c r="S54" s="25"/>
      <c r="T54" s="25"/>
      <c r="U54" s="26"/>
      <c r="V54" s="25"/>
      <c r="W54" s="25"/>
      <c r="X54" s="25"/>
      <c r="Y54" s="17"/>
      <c r="Z54" s="17"/>
      <c r="AA54" s="25"/>
      <c r="AB54" s="20"/>
      <c r="AC54" s="20"/>
      <c r="AD54" s="20"/>
    </row>
    <row r="55">
      <c r="A55" s="20"/>
      <c r="B55" s="22"/>
      <c r="C55" s="22"/>
      <c r="D55" s="22"/>
      <c r="E55" s="22"/>
      <c r="F55" s="23"/>
      <c r="G55" s="22"/>
      <c r="H55" s="23"/>
      <c r="I55" s="22"/>
      <c r="J55" s="22"/>
      <c r="K55" s="22"/>
      <c r="L55" s="35"/>
      <c r="M55" s="35"/>
      <c r="N55" s="28"/>
      <c r="O55" s="29"/>
      <c r="P55" s="28"/>
      <c r="Q55" s="29"/>
      <c r="R55" s="25"/>
      <c r="S55" s="25"/>
      <c r="T55" s="25"/>
      <c r="U55" s="26"/>
      <c r="V55" s="25"/>
      <c r="W55" s="25"/>
      <c r="X55" s="25"/>
      <c r="Y55" s="27"/>
      <c r="Z55" s="27"/>
      <c r="AA55" s="25"/>
      <c r="AB55" s="20"/>
      <c r="AC55" s="20"/>
      <c r="AD55" s="20"/>
    </row>
    <row r="56">
      <c r="A56" s="20"/>
      <c r="B56" s="22"/>
      <c r="C56" s="22"/>
      <c r="D56" s="22"/>
      <c r="E56" s="22"/>
      <c r="F56" s="23"/>
      <c r="G56" s="22"/>
      <c r="H56" s="23"/>
      <c r="I56" s="22"/>
      <c r="J56" s="22"/>
      <c r="K56" s="22"/>
      <c r="L56" s="35"/>
      <c r="M56" s="35"/>
      <c r="N56" s="28"/>
      <c r="O56" s="29"/>
      <c r="P56" s="28"/>
      <c r="Q56" s="29"/>
      <c r="R56" s="25"/>
      <c r="S56" s="25"/>
      <c r="T56" s="25"/>
      <c r="U56" s="26"/>
      <c r="V56" s="25"/>
      <c r="W56" s="25"/>
      <c r="X56" s="25"/>
      <c r="Y56" s="27"/>
      <c r="Z56" s="27"/>
      <c r="AA56" s="25"/>
      <c r="AB56" s="20"/>
      <c r="AC56" s="20"/>
      <c r="AD56" s="20"/>
    </row>
    <row r="57">
      <c r="A57" s="20"/>
      <c r="B57" s="22"/>
      <c r="C57" s="22"/>
      <c r="D57" s="22"/>
      <c r="E57" s="22"/>
      <c r="F57" s="23"/>
      <c r="G57" s="22"/>
      <c r="H57" s="23"/>
      <c r="I57" s="22"/>
      <c r="J57" s="22"/>
      <c r="K57" s="22"/>
      <c r="L57" s="35"/>
      <c r="M57" s="35"/>
      <c r="N57" s="28"/>
      <c r="O57" s="29"/>
      <c r="P57" s="28"/>
      <c r="Q57" s="29"/>
      <c r="R57" s="25"/>
      <c r="S57" s="25"/>
      <c r="T57" s="25"/>
      <c r="U57" s="26"/>
      <c r="V57" s="25"/>
      <c r="W57" s="25"/>
      <c r="X57" s="25"/>
      <c r="Y57" s="27"/>
      <c r="Z57" s="27"/>
      <c r="AA57" s="25"/>
      <c r="AB57" s="20"/>
      <c r="AC57" s="20"/>
      <c r="AD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row>
  </sheetData>
  <drawing r:id="rId1"/>
  <tableParts count="1">
    <tablePart r:id="rId3"/>
  </tableParts>
</worksheet>
</file>