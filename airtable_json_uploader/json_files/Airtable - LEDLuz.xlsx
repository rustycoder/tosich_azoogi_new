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DLuz" sheetId="1" r:id="rId5"/>
  </sheets>
  <definedNames/>
  <calcPr/>
</workbook>
</file>

<file path=xl/sharedStrings.xml><?xml version="1.0" encoding="utf-8"?>
<sst xmlns="http://schemas.openxmlformats.org/spreadsheetml/2006/main" count="576" uniqueCount="295">
  <si>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</si>
  <si>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</si>
  <si>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</si>
  <si>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</si>
  <si>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</si>
  <si>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</si>
  <si>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</si>
  <si>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</si>
  <si>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</si>
  <si>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</si>
  <si>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</si>
  <si>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</si>
  <si>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</si>
  <si>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</si>
  <si>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</si>
  <si>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</si>
  <si>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</si>
  <si>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</si>
  <si>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</si>
  <si>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</si>
  <si>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</si>
  <si>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</si>
  <si>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</si>
  <si>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</si>
  <si>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</si>
  <si>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</si>
  <si>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</si>
  <si>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</si>
  <si>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</si>
  <si>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</si>
  <si>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PROM</t>
  </si>
  <si>
    <t>Aluminium Mini Surfaced Profile</t>
  </si>
  <si>
    <t>simple</t>
  </si>
  <si>
    <t>Mini Surface</t>
  </si>
  <si>
    <t>draft</t>
  </si>
  <si>
    <t>7.8mm (W) x 9mm (H) | Silver | 2m</t>
  </si>
  <si>
    <t>Dimension | Finish | Profile Length</t>
  </si>
  <si>
    <t>{"SKU": "PROM", "Dimension": "7.8mm (W) x 9mm (H)", "Finish": "Silver", "Profile Length": "2m"}</t>
  </si>
  <si>
    <t>{"SKU": ["PROM", "PROM-3m-silver", "PROM-B", "PROM-W"], "Dimension": "7.8mm (W) x 9mm (H)", "Finish": ["Silver", "Black", "White"], "Profile Length": ["2m", "3m"]}</t>
  </si>
  <si>
    <t>{
"Options": {
"Dimension": [
{"name": "7.8mm (W) x 9mm (H)", "id": "101"}
],
"Finish": [
{"name": "Silver", "id": "102"},
{"name": "Black", "id": "103"},
{"name": "White", "id": "104"}
],
"Profile Length": [
{"name": "2m", "id": "105"},
{"name": "3m", "id": "106"}
]
},
"Constraints": {
"103": ["106"],
"104": ["106"]
},
"sku_mappings": [
{ "sku": "PROM", "combination": ["101", "102", "105"] },
{ "sku": "PROM-3m-silver", "combination": ["101", "102", "106"] },
{ "sku": "PROM-B", "combination": ["101", "103", "105"] },
{ "sku": "PROM-W", "combination": ["101", "104", "105"] }
]
}</t>
  </si>
  <si>
    <t>CHINA - LEDLUZ CO. LIMITED</t>
  </si>
  <si>
    <t>ALP073</t>
  </si>
  <si>
    <t>Yes</t>
  </si>
  <si>
    <t>Mini surfaced profile, Aluminium LED channel, Compact linear profile, Surface mount light channel, Slim LED extrusion, Architectural mini profile</t>
  </si>
  <si>
    <t>PROM-3m-silver</t>
  </si>
  <si>
    <t>7.8mm (W) x 9mm (H) | Silver | 3m</t>
  </si>
  <si>
    <t>{"SKU": "PROM-3m-silver", "Dimension": "7.8mm (W) x 9mm (H)", "Finish": "Silver", "Profile Length": "3m"}</t>
  </si>
  <si>
    <t>PROM-B</t>
  </si>
  <si>
    <t>7.8mm (W) x 9mm (H) | Black | 2m</t>
  </si>
  <si>
    <t>{"SKU": "PROM-B", "Dimension": "7.8mm (W) x 9mm (H)", "Finish": "Black", "Profile Length": "2m"}</t>
  </si>
  <si>
    <t>PROM-W</t>
  </si>
  <si>
    <t>7.8mm (W) x 9mm (H) | White | 2m</t>
  </si>
  <si>
    <t>{"SKU": "PROM-W", "Dimension": "7.8mm (W) x 9mm (H)", "Finish": "White", "Profile Length": "2m"}</t>
  </si>
  <si>
    <t>PR001</t>
  </si>
  <si>
    <t>Aluminium Recessed Profile</t>
  </si>
  <si>
    <t>Recessed</t>
  </si>
  <si>
    <t>23.1mm (W) x 8.5mm (H) | Silver | 2m</t>
  </si>
  <si>
    <t>{"SKU": "PR001", "Dimension": "23.1mm (W) x 8.5mm (H)", "Finish": "Silver", "Profile Length": "2m"}</t>
  </si>
  <si>
    <t>{"SKU": ["PR001", "PR001-3m-Silver", "PR001-B", "PR001-W"], "Dimension": "23.1mm (W) x 8.5mm (H)", "Finish": ["Silver", "Black", "White"], "Profile Length": ["2m", "3m"]}</t>
  </si>
  <si>
    <t>{ "Options": { "Dimension": [ {"name": "23.1mm (W) x 8.5mm (H)", "id": "101"} ], "Finish": [ {"name": "Silver", "id": "102"}, {"name": "Black", "id": "103"}, {"name": "White", "id": "104"} ], "Profile Length": [ {"name": "2m", "id": "105"}, {"name": "3m", "id": "106"} ] }, "Constraints": { "103": ["106"], "104": ["106"] }, "sku_mappings": [ { "sku": "PR001", "combination": ["101", "102", "105"] }, { "sku": "PR001-3m-Silver", "combination": ["101", "102", "106"] }, { "sku": "PR001-B", "combination": ["101", "103", "105"] }, { "sku": "PR001-W", "combination": ["101", "104", "105"] } ] }</t>
  </si>
  <si>
    <t>ALP001-R</t>
  </si>
  <si>
    <t>Recessed LED Profile, Aluminium Light Channel, Flush Mount LED Extrusion, Architectural Linear Lighting, LED Strip Diffuser Channel, Recessed Aluminium Housing</t>
  </si>
  <si>
    <t>PR001-3m-Silver</t>
  </si>
  <si>
    <t>23.1mm (W) x 8.5mm (H) | Silver | 3m</t>
  </si>
  <si>
    <t>{"SKU": "PR001-3m-Silver", "Dimension": "23.1mm (W) x 8.5mm (H)", "Finish": "Silver", "Profile Length": "3m"}</t>
  </si>
  <si>
    <t>PR001-B</t>
  </si>
  <si>
    <t>23.1mm (W) x 8.5mm (H) | Black | 2m</t>
  </si>
  <si>
    <t>{"SKU": "PR001-B", "Dimension": "23.1mm (W) x 8.5mm (H)", "Finish": "Black", "Profile Length": "2m"}</t>
  </si>
  <si>
    <t>PR001-W</t>
  </si>
  <si>
    <t>23.1mm (W) x 8.5mm (H) | White | 2m</t>
  </si>
  <si>
    <t>{"SKU": "PR001-W", "Dimension": "23.1mm (W) x 8.5mm (H)", "Finish": "White", "Profile Length": "2m"}</t>
  </si>
  <si>
    <t>PR002</t>
  </si>
  <si>
    <t>Aluminium Surfaced Profile</t>
  </si>
  <si>
    <t>Surfaced</t>
  </si>
  <si>
    <t>17.1mm (W) x 8mm (H) | Silver | 2m</t>
  </si>
  <si>
    <t>{"SKU": "PR002", "Dimension": "17.1mm (W) x 8mm (H)", "Finish": "Silver", "Profile Length": "2m"}</t>
  </si>
  <si>
    <t>{"SKU": ["PR002", "PR002-3m-Silver", "PR002-B", "PR002-W"], "Dimension": "17.1mm (W) x 8mm (H)", "Finish": ["Silver", "Black", "White"], "Profile Length": ["2m", "3m"]}</t>
  </si>
  <si>
    <t>{
"Options": {
"Dimension": [
{
"name": "17.1mm (W) x 8mm (H)",
"id": "101"
}
],
"Finish": [
{
"name": "Silver",
"id": "102"
},
{
"name": "Black",
"id": "103"
},
{
"name": "White",
"id": "104"
}
],
"Profile Length": [
{
"name": "2m",
"id": "105"
},
{
"name": "3m",
"id": "106"
}
]
},
"Constraints": {
"103": [
"106"
],
"104": [
"106"
]
},
"sku_mappings": [
{
"sku": "PR002",
"combination": [
"101",
"102",
"105"
]
},
{
"sku": "PR002-3m-Silver",
"combination": [
"101",
"102",
"106"
]
},
{
"sku": "PR002-B",
"combination": [
"101",
"103",
"105"
]
},
{
"sku": "PR002-W",
"combination": [
"101",
"104",
"105"
]
}
]
}</t>
  </si>
  <si>
    <t>ALP002-R</t>
  </si>
  <si>
    <t>Surface Mount LED Channel, Aluminium Extrusion Profile, Linear Light Housing, LED Strip Diffuser Channel, Surface Mounted LED Housing, Architectural Linear Lighting</t>
  </si>
  <si>
    <t>PR002-3m-Silver</t>
  </si>
  <si>
    <t>17.1mm (W) x 8mm (H) | Silver | 3m</t>
  </si>
  <si>
    <t>{"SKU": "PR002-3m-Silver", "Dimension": "17.1mm (W) x 8mm (H)", "Finish": "Silver", "Profile Length": "3m"}</t>
  </si>
  <si>
    <t>PR002-B</t>
  </si>
  <si>
    <t>17.1mm (W) x 8mm (H) | Black | 2m</t>
  </si>
  <si>
    <t>{"SKU": "PR002-B", "Dimension": "17.1mm (W) x 8mm (H)", "Finish": "Black", "Profile Length": "2m"}</t>
  </si>
  <si>
    <t>PR002-W</t>
  </si>
  <si>
    <t>17.1mm (W) x 8mm (H) | White | 2m</t>
  </si>
  <si>
    <t>{"SKU": "PR002-W", "Dimension": "17.1mm (W) x 8mm (H)", "Finish": "White", "Profile Length": "2m"}</t>
  </si>
  <si>
    <t>PR005</t>
  </si>
  <si>
    <t>Deep Recessed</t>
  </si>
  <si>
    <t>23.2mm (W) x 15.3mm (H) | Silver | 2m</t>
  </si>
  <si>
    <t>{"SKU": "PR005", "Dimension": "23.2mm (W) x 15.3mm (H)", "Finish": "Silver", "Profile Length": "2m"}</t>
  </si>
  <si>
    <t>{"SKU": ["PR005", "PR005-3m-Silver", "PR005-B", "PR005-W"], "Dimension": "23.2mm (W) x 15.3mm (H)", "Finish": ["Silver", "Black", "White"], "Profile Length": ["2m", "3m"]}</t>
  </si>
  <si>
    <t>{ "Options": { "Dimension": [ {"name": "23.2mm (W) x 15.3mm (H)", "id": "101"} ], "Finish": [ {"name": "Silver", "id": "102"}, {"name": "Black", "id": "103"}, {"name": "White", "id": "104"} ], "Profile Length": [ {"name": "2m", "id": "105"}, {"name": "3m", "id": "106"} ] }, "Constraints": { "103": ["106"], "104": ["106"] }, "sku_mappings": [ { "sku": "PR005", "combination": ["101", "102", "105"] }, { "sku": "PR005-3m-Silver", "combination": ["101", "102", "106"] }, { "sku": "PR005-B", "combination": ["101", "103", "105"] }, { "sku": "PR005-W", "combination": ["101", "104", "105"] } ] }</t>
  </si>
  <si>
    <t>ALP003-R</t>
  </si>
  <si>
    <t>Deep recessed LED channel, Aluminium extrusion profile, Architectural linear housing, Flush mount LED channel, Deep LED light diffuser, Ceiling recessed extrusion</t>
  </si>
  <si>
    <t>PR005-3m-Silver</t>
  </si>
  <si>
    <t>23.2mm (W) x 15.3mm (H) | Silver | 3m</t>
  </si>
  <si>
    <t>{"SKU": "PR005-3m-Silver", "Dimension": "23.2mm (W) x 15.3mm (H)", "Finish": "Silver", "Profile Length": "3m"}</t>
  </si>
  <si>
    <t>PR005-B</t>
  </si>
  <si>
    <t>23.2mm (W) x 15.3mm (H) | Black | 2m</t>
  </si>
  <si>
    <t>{"SKU": "PR005-B", "Dimension": "23.2mm (W) x 15.3mm (H)", "Finish": "Black", "Profile Length": "2m"}</t>
  </si>
  <si>
    <t>PR005-W</t>
  </si>
  <si>
    <t>23.2mm (W) x 15.3mm (H) | White | 2m</t>
  </si>
  <si>
    <t>{"SKU": "PR005-W", "Dimension": "23.2mm (W) x 15.3mm (H)", "Finish": "White", "Profile Length": "2m"}</t>
  </si>
  <si>
    <t>PR006</t>
  </si>
  <si>
    <t>Deep Surfaced</t>
  </si>
  <si>
    <t>17.1mm (W) x 15.3mm (H) | Silver | 2m</t>
  </si>
  <si>
    <t>{"SKU": "PR006", "Dimension": "17.1mm (W) x 15.3mm (H)", "Finish": "Silver", "Profile Length": "2m"}</t>
  </si>
  <si>
    <t>{"SKU": ["PR006", "PR006-3m-Silver", "PR006-B", "PR006-W"], "Dimension": "17.1mm (W) x 15.3mm (H)", "Finish": ["Silver", "Black", "White"], "Profile Length": ["2m", "3m"]}</t>
  </si>
  <si>
    <t>{
"Options": {
"Dimension": [
{"name": "17.1mm (W) x 15.3mm (H)", "id": "101"}
],
"Finish": [
{"name": "Silver", "id": "102"},
{"name": "Black", "id": "103"},
{"name": "White", "id": "104"}
],
"Profile Length": [
{"name": "2m", "id": "105"},
{"name": "3m", "id": "106"}
]
},
"Constraints": {
"103": ["106"],
"104": ["106"]
},
"sku_mappings": [
{ "sku": "PR006", "combination": ["101", "102", "105"] },
{ "sku": "PR006-3m-Silver", "combination": ["101", "102", "106"] },
{ "sku": "PR006-B", "combination": ["101", "103", "105"] },
{ "sku": "PR006-W", "combination": ["101", "104", "105"] }
]
}</t>
  </si>
  <si>
    <t>ALP004-R</t>
  </si>
  <si>
    <t>Deep surfaced LED profile, Aluminium surface mount extrusion, Architectural linear lighting, Deep LED strip channel, Surface mounted light diffuser, Aluminium linear housing</t>
  </si>
  <si>
    <t>PR006-3m-Silver</t>
  </si>
  <si>
    <t>17.1mm (W) x 15.3mm (H) | Silver | 3m</t>
  </si>
  <si>
    <t>{"SKU": "PR006-3m-Silver", "Dimension": "17.1mm (W) x 15.3mm (H)", "Finish": "Silver", "Profile Length": "3m"}</t>
  </si>
  <si>
    <t>PR006-B</t>
  </si>
  <si>
    <t>17.1mm (W) x 15.3mm (H) | Black | 2m</t>
  </si>
  <si>
    <t>{"SKU": "PR006-B", "Dimension": "17.1mm (W) x 15.3mm (H)", "Finish": "Black", "Profile Length": "2m"}</t>
  </si>
  <si>
    <t>PR006-W</t>
  </si>
  <si>
    <t>17.1mm (W) x 15.3mm (H) | White | 2m</t>
  </si>
  <si>
    <t>{"SKU": "PR006-W", "Dimension": "17.1mm (W) x 15.3mm (H)", "Finish": "White", "Profile Length": "2m"}</t>
  </si>
  <si>
    <t>PR007</t>
  </si>
  <si>
    <t>Aluminium Square Corner Profile</t>
  </si>
  <si>
    <t>Corner</t>
  </si>
  <si>
    <t>16mm (W) x 16mm (H) | Silver | 2m</t>
  </si>
  <si>
    <t>{"SKU": "PR007", "Dimension": "16mm (W) x 16mm (H)", "Finish": "Silver", "Profile Length": "2m"}</t>
  </si>
  <si>
    <t>{
"Options": {
"Dimension": [
{"name": "16mm (W) x 16mm (H)", "id": "101"}
],
"Finish": [
{"name": "Silver", "id": "102"}
],
"Profile Length": [
{"name": "2m", "id": "103"}
]
},
"Constraints": {},
"sku_mappings": [
{ "sku": "PR007", "combination": ["101", "102", "103"] }
]
}</t>
  </si>
  <si>
    <t>ALP005</t>
  </si>
  <si>
    <t>Square corner LED channel, Aluminium extrusion profile, Corner LED light housing, 16mm square aluminum profile, LED strip corner channel, Silver aluminum LED profile</t>
  </si>
  <si>
    <t>PR008</t>
  </si>
  <si>
    <t>Aluminium Round Corner Profile</t>
  </si>
  <si>
    <t>{"SKU": "PR008", "Dimension": "16mm (W) x 16mm (H)", "Finish": "Silver", "Profile Length": "2m"}</t>
  </si>
  <si>
    <t>{"SKU": ["PR008", "PR008-3m-Silver", "PR008-B", "PR008-W"], "Dimension": "16mm (W) x 16mm (H)", "Finish": ["Silver", "Black", "White"], "Profile Length": "2m"}</t>
  </si>
  <si>
    <t>{ "Options": { "Dimension": [ {"name": "16mm (W) x 16mm (H)", "id": "101"} ], "Finish": [ {"name": "Silver", "id": "102"}, {"name": "Black", "id": "103"}, {"name": "White", "id": "104"} ], "Profile Length": [ {"name": "2m", "id": "105"} ] }, "Constraints": {}, "sku_mappings": [ { "sku": "PR008", "combination": ["101", "102", "105"] }, { "sku": "PR008-3m-Silver", "combination": ["101", "102", "105"] }, { "sku": "PR008-B", "combination": ["101", "103", "105"] }, { "sku": "PR008-W", "combination": ["101", "104", "105"] } ] }</t>
  </si>
  <si>
    <t>ALP006</t>
  </si>
  <si>
    <t>Round corner LED channel, Aluminium extrusion profile, Curved corner LED housing, 16mm round aluminum profile, LED strip corner channel, Round profile LED light diffuser</t>
  </si>
  <si>
    <t>PR008-3m-Silver</t>
  </si>
  <si>
    <t>{"SKU": "PR008-3m-Silver", "Dimension": "16mm (W) x 16mm (H)", "Finish": "Silver", "Profile Length": "2m"}</t>
  </si>
  <si>
    <t>PR008-B</t>
  </si>
  <si>
    <t>16mm (W) x 16mm (H) | Black | 2m</t>
  </si>
  <si>
    <t>{"SKU": "PR008-B", "Dimension": "16mm (W) x 16mm (H)", "Finish": "Black", "Profile Length": "2m"}</t>
  </si>
  <si>
    <t>PR008-W</t>
  </si>
  <si>
    <t>16mm (W) x 16mm (H) | White | 2m</t>
  </si>
  <si>
    <t>{"SKU": "PR008-W", "Dimension": "16mm (W) x 16mm (H)", "Finish": "White", "Profile Length": "2m"}</t>
  </si>
  <si>
    <t>PR009</t>
  </si>
  <si>
    <t>Aluminium Flat Corner Profile</t>
  </si>
  <si>
    <t>18.4mm (W) x 18.4mm (H) | Silver | 2m</t>
  </si>
  <si>
    <t>{"SKU": "PR009", "Dimension": "18.4mm (W) x 18.4mm (H)", "Finish": "Silver", "Profile Length": "2m"}</t>
  </si>
  <si>
    <t>{
"Options": {
"Dimension": [
{ "name": "18.4mm (W) x 18.4mm (H)", "id": "101" }
],
"Finish": [
{ "name": "Silver", "id": "102" }
],
"Profile Length": [
{ "name": "2m", "id": "103" }
]
},
"Constraints": {},
"sku_mappings": [
{ "sku": "PR009", "combination": ["101", "102", "103"] }
]
}</t>
  </si>
  <si>
    <t>ALP007-R</t>
  </si>
  <si>
    <t>Aluminium flat corner profile, Corner LED channel, Silver aluminum extrusion, 90 degree LED profile, Corner mounted light channel, Linear corner diffuser</t>
  </si>
  <si>
    <t>PR016</t>
  </si>
  <si>
    <t>23.5mm (W) x 10.9mm (H) | Silver | 2m</t>
  </si>
  <si>
    <t>{"SKU": "PR016", "Dimension": "23.5mm (W) x 10.9mm (H)", "Finish": "Silver", "Profile Length": "2m"}</t>
  </si>
  <si>
    <t>{"SKU": ["PR016", "PR016-3m-Silver", "PR016-B", "PR016-W"], "Dimension": "23.5mm (W) x 10.9mm (H)", "Finish": ["Silver", "Black", "White"], "Profile Length": ["2m", "3m"]}</t>
  </si>
  <si>
    <t>{
"Options": {
"Dimension": [
{"name": "23.5mm (W) x 10.9mm (H)", "id": "101"}
],
"Finish": [
{"name": "Silver", "id": "102"},
{"name": "Black", "id": "103"},
{"name": "White", "id": "104"}
],
"Profile Length": [
{"name": "2m", "id": "105"},
{"name": "3m", "id": "106"}
]
},
"Constraints": {
"103": ["106"],
"104": ["106"]
},
"sku_mappings": [
{ "sku": "PR016", "combination": ["101", "102", "105"] },
{ "sku": "PR016-3m-Silver", "combination": ["101", "102", "106"] },
{ "sku": "PR016-B", "combination": ["101", "103", "105"] },
{ "sku": "PR016-W", "combination": ["101", "104", "105"] }
]
}</t>
  </si>
  <si>
    <t>ALP014</t>
  </si>
  <si>
    <t>Surface mounted LED channel, Aluminium extrusion profile, Surface LED light housing, Slim aluminium channel, Linear LED strip diffuser, Surface mount LED profile</t>
  </si>
  <si>
    <t>PR016-3m-Silver</t>
  </si>
  <si>
    <t>23.5mm (W) x 10.9mm (H) | Silver | 3m</t>
  </si>
  <si>
    <t>{"SKU": "PR016-3m-Silver", "Dimension": "23.5mm (W) x 10.9mm (H)", "Finish": "Silver", "Profile Length": "3m"}</t>
  </si>
  <si>
    <t>PR016-B</t>
  </si>
  <si>
    <t>23.5mm (W) x 10.9mm (H) | Black | 2m</t>
  </si>
  <si>
    <t>{"SKU": "PR016-B", "Dimension": "23.5mm (W) x 10.9mm (H)", "Finish": "Black", "Profile Length": "2m"}</t>
  </si>
  <si>
    <t>PR016-W</t>
  </si>
  <si>
    <t>23.5mm (W) x 10.9mm (H) | White | 2m</t>
  </si>
  <si>
    <t>{"SKU": "PR016-W", "Dimension": "23.5mm (W) x 10.9mm (H)", "Finish": "White", "Profile Length": "2m"}</t>
  </si>
  <si>
    <t>PR017-3m-Silver</t>
  </si>
  <si>
    <t>30mm (W) x 30mm (H) | Silver | 3m</t>
  </si>
  <si>
    <t>{"SKU": "PR017-3m-Silver", "Dimension": "30mm (W) x 30mm (H)", "Finish": "Silver", "Profile Length": "3m"}</t>
  </si>
  <si>
    <t>{
"Options": {
"Dimension": [
{ "name": "30mm (W) x 30mm (H)", "id": "101" }
],
"Finish": [
{ "name": "Silver", "id": "102" }
],
"Profile Length": [
{ "name": "3m", "id": "103" }
]
},
"Constraints": {},
"sku_mappings": [
{
"sku": "PR017-3m-Silver",
"combination": [ "101", "102", "103" ]
}
]
}</t>
  </si>
  <si>
    <t>ALP015-R</t>
  </si>
  <si>
    <t>No</t>
  </si>
  <si>
    <t>Aluminium square corner profile, LED corner channel, Corner LED light strip housing, Silver aluminium profile 3m, Angle LED extrusion, 30mm corner light channel</t>
  </si>
  <si>
    <t>PR018-3m-Silver</t>
  </si>
  <si>
    <t>{"SKU": "PR018-3m-Silver", "Dimension": "30mm (W) x 30mm (H)", "Finish": "Silver", "Profile Length": "3m"}</t>
  </si>
  <si>
    <t>{ "Options": { "Dimension": [ {"name": "30mm (W) x 30mm (H)", "id": "101"} ], "Finish": [ {"name": "Silver", "id": "102"} ], "Profile Length": [ {"name": "3m", "id": "103"} ] }, "Constraints": {}, "sku_mappings": [ { "sku": "PR018-3m-Silver", "combination": ["101", "102", "103"] } ] }</t>
  </si>
  <si>
    <t>ALP016-R</t>
  </si>
  <si>
    <t>Aluminium round corner profile, Curved LED corner channel, Round corner LED diffuser, Silver aluminium profile 3m, Rounded LED extrusion, 30mm corner light channel</t>
  </si>
  <si>
    <t>PR021-3m-Silver</t>
  </si>
  <si>
    <t>Aluminium Surface/Suspended Profile</t>
  </si>
  <si>
    <t>Suspended, Surfaced</t>
  </si>
  <si>
    <t>35mm (W) x 35mm (H) | Silver | 3m</t>
  </si>
  <si>
    <t>{"SKU": "PR021-3m-Silver", "Dimension": "35mm (W) x 35mm (H)", "Finish": "Silver", "Profile Length": "3m"}</t>
  </si>
  <si>
    <t>{"SKU": ["PR021-3m-Silver", "PR021-W", "PR021-B"], "Dimension": "35mm (W) x 35mm (H)", "Finish": ["Silver", "White", "Black"], "Profile Length": ["3m", "2m"]}</t>
  </si>
  <si>
    <t>{
"Options": {
"Dimension": [
{"name": "35mm (W) x 35mm (H)", "id": "101"}
],
"Finish": [
{"name": "Silver", "id": "102"},
{"name": "White", "id": "103"},
{"name": "Black", "id": "104"}
],
"Profile Length": [
{"name": "3m", "id": "105"},
{"name": "2m", "id": "106"}
]
},
"Constraints": {
"103": ["105"],
"104": ["105"]
},
"sku_mappings": [
{ "sku": "PR021-3m-Silver", "combination": ["101", "102", "105"] },
{ "sku": "PR021-W", "combination": ["101", "103", "106"] },
{ "sku": "PR021-B", "combination": ["101", "104", "106"] }
]
}</t>
  </si>
  <si>
    <t>ALP018-R3</t>
  </si>
  <si>
    <t>Aluminium surface mounted profile, Suspended LED channel, Hanging linear LED housing, Architectural linear light profile, Surface mount LED channel, 35mm square LED extrusion</t>
  </si>
  <si>
    <t>PR021-W</t>
  </si>
  <si>
    <t>Aluminium Surface/Suspended Profile | 35mm (W) x 35mm (H) | White | 2m</t>
  </si>
  <si>
    <t>{"SKU": "PR021-W", "Dimension": "35mm (W) x 35mm (H)", "Finish": "White", "Profile Length": "2m"}</t>
  </si>
  <si>
    <t>PR021-B</t>
  </si>
  <si>
    <t>Aluminium Surface/Suspended Profile | 35mm (W) x 35mm (H) | Black | 2m</t>
  </si>
  <si>
    <t>{"SKU": "PR021-B", "Dimension": "35mm (W) x 35mm (H)", "Finish": "Black", "Profile Length": "2m"}</t>
  </si>
  <si>
    <t>PR027</t>
  </si>
  <si>
    <t>Aluminium Stair Profile</t>
  </si>
  <si>
    <t>Stair</t>
  </si>
  <si>
    <t>80mm (W) x 50mm (H) | Silver | 2m</t>
  </si>
  <si>
    <t>{"SKU": "PR027", "Dimension": "80mm (W) x 50mm (H)", "Finish": "Silver", "Profile Length": "2m"}</t>
  </si>
  <si>
    <t>{"SKU": ["PR027", "PR027-3M"], "Dimension": "80mm (W) x 50mm (H)", "Finish": "Silver", "Profile Length": ["2m", "3m"]}</t>
  </si>
  <si>
    <t>{
"Options": {
"Dimension": [
{ "name": "80mm (W) x 50mm (H)", "id": "101" }
],
"Finish": [
{ "name": "Silver", "id": "102" }
],
"Profile Length": [
{ "name": "2m", "id": "103" },
{ "name": "3m", "id": "104" }
]
},
"Constraints": {},
"sku_mappings": [
{ "sku": "PR027", "combination": ["101", "102", "103"] },
{ "sku": "PR027-3M", "combination": ["101", "102", "104"] }
]
}</t>
  </si>
  <si>
    <t>ALP024</t>
  </si>
  <si>
    <t>Aluminium stair profile, LED stair tread housing, Non-slip step channel, Architectural stair lighting, Heavy-duty step profile, LED stair extrusion</t>
  </si>
  <si>
    <t>PR027-3M</t>
  </si>
  <si>
    <t>80mm (W) x 50mm (H) | Silver | 3m</t>
  </si>
  <si>
    <t>{"SKU": "PR027-3M", "Dimension": "80mm (W) x 50mm (H)", "Finish": "Silver", "Profile Length": "3m"}</t>
  </si>
  <si>
    <t>PR036</t>
  </si>
  <si>
    <t>10mm (W) x 13mm (H) | Silver | 2m</t>
  </si>
  <si>
    <t>{"SKU": "PR036", "Dimension": "10mm (W) x 13mm (H)", "Finish": "Silver", "Profile Length": "2m"}</t>
  </si>
  <si>
    <t>{ "Options": { "Dimension": [ {"name": "10mm (W) x 13mm (H)", "id": "101"} ], "Finish": [ {"name": "Silver", "id": "102"} ], "Profile Length": [ {"name": "2m", "id": "103"} ] }, "Constraints": {}, "sku_mappings": [ { "sku": "PR036", "combination": ["101", "102", "103"] } ] }</t>
  </si>
  <si>
    <t>ALP035-R</t>
  </si>
  <si>
    <t>Aluminium surfaced profile, Surface mount LED channel, LED aluminium extrusion, Linear light housing, Compact LED profile, Surface LED channel</t>
  </si>
  <si>
    <t>Aluminium Trimless Plaster Profile</t>
  </si>
  <si>
    <t>Trimless</t>
  </si>
  <si>
    <t>PR114</t>
  </si>
  <si>
    <t>36.1mm (W) x 14mm (H) | Silver | 2m</t>
  </si>
  <si>
    <t>{"SKU": "PR114", "Dimension": "36.1mm (W) x 14mm (H)", "Finish": "Silver", "Profile Length": "2m"}</t>
  </si>
  <si>
    <t>{"Options": {"Dimension": [{"name": "36.1mm (W) x 14mm (H)", "id": "101"}], "Finish": [{"name": "Silver", "id": "102"}], "Profile Length": [{"name": "2m", "id": "103"}]}, "Constraints": {}, "sku_mappings": [{"sku": "PR114", "combination": ["101", "102", "103"]}]}</t>
  </si>
  <si>
    <t>ALP068-S</t>
  </si>
  <si>
    <t>Trimless plaster profile, Plaster-in LED channel, Recessed aluminium profile, Seamless LED extrusion, Plasterboard LED channel, Drywall linear profile</t>
  </si>
  <si>
    <t>PR115</t>
  </si>
  <si>
    <t>Aluminium Trimless Recessed Plaster Profile</t>
  </si>
  <si>
    <t>61.5mm (W) x 14mm (H) | Silver | 2m</t>
  </si>
  <si>
    <t>{"SKU": "PR115", "Dimension": "61.5mm (W) x 14mm (H)", "Finish": "Silver", "Profile Length": "2m"}</t>
  </si>
  <si>
    <t>{ "Options": { "Dimension": [ {"name": "61.5mm (W) x 14mm (H)", "id": "101"} ], "Finish": [ {"name": "Silver", "id": "102"} ], "Profile Length": [ {"name": "2m", "id": "103"} ] }, "Constraints": {}, "sku_mappings": [ { "sku": "PR115", "combination": ["101", "102", "103"] } ] }</t>
  </si>
  <si>
    <t>ALP071</t>
  </si>
  <si>
    <t>Trimless recessed plaster profile, Recessed plaster-in channel, Architectural LED extrusion, Seamless drywall lighting, Flush plaster LED profile, Wide recessed channel</t>
  </si>
  <si>
    <t>PR116</t>
  </si>
  <si>
    <t>53mm (W) x 14mm (H) | Silver | 2m</t>
  </si>
  <si>
    <t>{"SKU": "PR116", "Dimension": "53mm (W) x 14mm (H)", "Finish": "Silver", "Profile Length": "2m"}</t>
  </si>
  <si>
    <t>{
"Options": {
"Dimension": [
{"name": "53mm (W) x 14mm (H)", "id": "101"}
],
"Finish": [
{"name": "Silver", "id": "102"}
],
"Profile Length": [
{"name": "2m", "id": "103"}
]
},
"Constraints": {},
"sku_mappings": [
{ "sku": "PR116", "combination": ["101", "102", "103"] }
]
}</t>
  </si>
  <si>
    <t>ALP068-R</t>
  </si>
  <si>
    <t>Plaster-in LED extrusion, Trimless aluminium profile, Drywall recessed channel, Seamless linear housing, Architectural plaster light, Recessed LED profile</t>
  </si>
  <si>
    <t>PR125</t>
  </si>
  <si>
    <t>Aluminium Bendable Profile</t>
  </si>
  <si>
    <t>Bendable</t>
  </si>
  <si>
    <t>18mm (W) x 5.6mm (H) | Silver | 2m</t>
  </si>
  <si>
    <t>{"SKU": "PR125", "Dimension": "18mm (W) x 5.6mm (H)", "Finish": "Silver", "Profile Length": "2m"}</t>
  </si>
  <si>
    <t>{ "Options": { "Dimension": [ {"name": "18mm (W) x 5.6mm (H)", "id": "101"} ], "Finish": [ {"name": "Silver", "id": "102"} ], "Profile Length": [ {"name": "2m", "id": "103"} ] }, "Constraints": {}, "sku_mappings": [ { "sku": "PR125", "combination": ["101", "102", "103"] } ] }</t>
  </si>
  <si>
    <t>ALP114</t>
  </si>
  <si>
    <t>Bendable aluminium profile, Flexible LED channel, Curved LED extrusion, Flexible linear housing, Bendable LED channel, Slim flexible profile</t>
  </si>
  <si>
    <t>PR126-3m-Silver</t>
  </si>
  <si>
    <t>25mm (W) x 25mm (H) | Silver | 3m</t>
  </si>
  <si>
    <t>{"SKU": "PR126-3m-Silver", "Dimension": "25mm (W) x 25mm (H)", "Finish": "Silver", "Profile Length": "3m"}</t>
  </si>
  <si>
    <t>{"SKU": ["PR126-3m-Silver", "PR126-3m-Black", "PR126-3m-White"], "Dimension": "25mm (W) x 25mm (H)", "Finish": ["Silver", "Black", "White"], "Profile Length": "3m"}</t>
  </si>
  <si>
    <t>{ "Options": { "Dimension": [ {"name": "25mm (W) x 25mm (H)", "id": "101"} ], "Finish": [ {"name": "Silver", "id": "102"}, {"name": "Black", "id": "103"}, {"name": "White", "id": "104"} ], "Profile Length": [ {"name": "3m", "id": "105"} ] }, "Constraints": {}, "sku_mappings": [ { "sku": "PR126-3m-Silver", "combination": ["101", "102", "105"] }, { "sku": "PR126-3m-Black", "combination": ["101", "103", "105"] }, { "sku": "PR126-3m-White", "combination": ["101", "104", "105"] } ] }</t>
  </si>
  <si>
    <t>ALP104-R</t>
  </si>
  <si>
    <t>Suspended LED profile, Surface mount aluminium channel, Square LED extrusion, Hanging linear housing, 3m aluminium profile, Architectural linear channel</t>
  </si>
  <si>
    <t>PR126-3m-Black</t>
  </si>
  <si>
    <t>25mm (W) x 25mm (H) | Black | 3m</t>
  </si>
  <si>
    <t>{"SKU": "PR126-3m-Black", "Dimension": "25mm (W) x 25mm (H)", "Finish": "Black", "Profile Length": "3m"}</t>
  </si>
  <si>
    <t>PR126-3m-White</t>
  </si>
  <si>
    <t>25mm (W) x 25mm (H) | White | 3m</t>
  </si>
  <si>
    <t>{"SKU": "PR126-3m-White", "Dimension": "25mm (W) x 25mm (H)", "Finish": "White", "Profile Length": "3m"}</t>
  </si>
  <si>
    <t>PR127-3m-Silver</t>
  </si>
  <si>
    <t>50mm (W) x 75mm (H) | Silver | 3m</t>
  </si>
  <si>
    <t>{"SKU": "PR127-3m-Silver", "Dimension": "50mm (W) x 75mm (H)", "Finish": "Silver", "Profile Length": "3m"}</t>
  </si>
  <si>
    <t>{ "Options": { "Dimension": [ {"name": "50mm (W) x 75mm (H)", "id": "101"} ], "Finish": [ {"name": "Silver", "id": "102"}, {"name": "Black", "id": "103"}, {"name": "White", "id": "104"} ], "Profile Length": [ {"name": "3m", "id": "105"} ] }, "Constraints": {}, "sku_mappings": [ { "sku": "PR127-3m-Silver", "combination": ["101", "102", "105"] }, { "sku": "PR127-3m-Black", "combination": ["101", "103", "105"] }, { "sku": "PR127-3m-White", "combination": ["101", "104", "105"] } ] }</t>
  </si>
  <si>
    <t>ALP5075-R</t>
  </si>
  <si>
    <t>Aluminium surface suspended profile, Architectural linear lighting, Suspended LED channel, Surface mount LED extrusion, High bay LED light housing, Commercial linear diffuser</t>
  </si>
  <si>
    <t>PR127-3m-Black</t>
  </si>
  <si>
    <t>50mm (W) x 75mm (H) | Black | 3m</t>
  </si>
  <si>
    <t>{"SKU": "PR127-3m-Black", "Dimension": "50mm (W) x 75mm (H)", "Finish": "Black", "Profile Length": "3m"}</t>
  </si>
  <si>
    <t>PR127-3m-White</t>
  </si>
  <si>
    <t>50mm (W) x 75mm (H) | White | 3m</t>
  </si>
  <si>
    <t>{"SKU": "PR127-3m-White", "Dimension": "50mm (W) x 75mm (H)", "Finish": "White", "Profile Length": "3m"}</t>
  </si>
  <si>
    <t>Aluminium Corner Wall Washer</t>
  </si>
  <si>
    <t>Wall Washer</t>
  </si>
  <si>
    <t>PR129</t>
  </si>
  <si>
    <t>45.7mm (W) x 50 (H) | Silver | 2m</t>
  </si>
  <si>
    <t>{"SKU": "PR129", "Dimension": "45.7mm (W) x 50 (H)", "Finish": "Silver", "Profile Length": "2m"}</t>
  </si>
  <si>
    <t>{
"Options": {
"Dimension": [
{
"name": "45.7mm (W) x 50 (H)",
"id": "101"
}
],
"Finish": [
{
"name": "Silver",
"id": "102"
}
],
"Profile Length": [
{
"name": "2m",
"id": "103"
}
]
},
"Constraints": {},
"sku_mappings": [
{
"sku": "PR129",
"combination": [
"101",
"102",
"103"
]
}
]
}</t>
  </si>
  <si>
    <t>ALP118</t>
  </si>
  <si>
    <t>Corner LED profile, Aluminium wall washer channel, Corner aluminium extrusion, Surface mount corner LED housing, Architectural wall wash lighting, Linear LED extrusion</t>
  </si>
  <si>
    <t>PR130-W</t>
  </si>
  <si>
    <t>Aluminium Trimless Deep Wall Washer Profile</t>
  </si>
  <si>
    <t>Trimless, Wall Washer</t>
  </si>
  <si>
    <t>85.5mm (W) x 56.8mm (H) | White | 2m</t>
  </si>
  <si>
    <t>{"SKU": "PR130-W", "Dimension": "85.5mm (W) x 56.8mm (H)", "Finish": "White", "Profile Length": "2m"}</t>
  </si>
  <si>
    <t>{
"Options": {
"Dimension": [
{
"name": "85.5mm (W) x 56.8mm (H)",
"id": "101"
}
],
"Finish": [
{
"name": "White",
"id": "102"
}
],
"Profile Length": [
{
"name": "2m",
"id": "103"
}
]
},
"Constraints": {},
"sku_mappings": [
{
"sku": "PR130-W",
"combination": [
"101",
"102",
"103"
]
}
]
}</t>
  </si>
  <si>
    <t>ALP127</t>
  </si>
  <si>
    <t>Trimless LED wall washer, Deep recessed aluminium channel, Plaster-in LED profile, Architectural wall wash light, Recessed linear extrusion, Flush wall washer channel</t>
  </si>
  <si>
    <t>PR131-W</t>
  </si>
  <si>
    <t>Aluminium Trimless Wall Washer Profile</t>
  </si>
  <si>
    <t>94.4mm (W) x 34mm (H) | White | 2m</t>
  </si>
  <si>
    <t>{"SKU": "PR131-W", "Dimension": "94.4mm (W) x 34mm (H)", "Finish": "White", "Profile Length": "2m"}</t>
  </si>
  <si>
    <t>{"SKU": ["PR131-W", "PR131-3m-White"], "Dimension": "94.4mm (W) x 34mm (H)", "Finish": "White", "Profile Length": ["2m", "3m"]}</t>
  </si>
  <si>
    <t>{ "Options": { "Dimension": [ {"name": "94.4mm (W) x 34mm (H)", "id": "101"} ], "Finish": [ {"name": "White", "id": "102"} ], "Profile Length": [ {"name": "2m", "id": "103"}, {"name": "3m", "id": "104"} ] }, "Constraints": {}, "sku_mappings": [ { "sku": "PR131-W", "combination": ["101", "102", "103"] }, { "sku": "PR131-3m-White", "combination": ["101", "102", "104"] } ] }</t>
  </si>
  <si>
    <t>ALP126</t>
  </si>
  <si>
    <t>Trimless LED channel, Plaster-in wall washer profile, Recessed aluminium extrusion, Linear wall washer housing, Architectural LED profile, Flush mount wall wash channel</t>
  </si>
  <si>
    <t>PR131-3m-White</t>
  </si>
  <si>
    <t>94.4mm (W) x 34mm (H) | White | 3m</t>
  </si>
  <si>
    <t>{"SKU": "PR131-3m-White", "Dimension": "94.4mm (W) x 34mm (H)", "Finish": "White", "Profile Length": "3m"}</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</si>
</sst>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color theme="1"/>
      <name val="Arial"/>
      <scheme val="minor"/>
    </font>
    <font>
      <sz val="10.0"/>
      <color rgb="FF434343"/>
      <name val="DM Sans"/>
    </font>
    <font>
      <color rgb="FF434343"/>
      <name val="DM Sans"/>
    </font>
    <font>
      <color theme="1"/>
      <name val="DM Sans"/>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C9DAF8"/>
        <bgColor rgb="FFC9DAF8"/>
      </patternFill>
    </fill>
    <fill>
      <patternFill patternType="solid">
        <fgColor rgb="FFFFFFFF"/>
        <bgColor rgb="FFFFFFFF"/>
      </patternFill>
    </fill>
    <fill>
      <patternFill patternType="solid">
        <fgColor rgb="FFD9D2E9"/>
        <bgColor rgb="FFD9D2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0" fontId="6" numFmtId="0" xfId="0" applyAlignment="1" applyBorder="1" applyFont="1">
      <alignment readingOrder="0" shrinkToFit="0" vertical="center" wrapText="1"/>
    </xf>
    <xf borderId="1" fillId="6" fontId="7" numFmtId="0" xfId="0" applyAlignment="1" applyBorder="1" applyFill="1" applyFont="1">
      <alignment shrinkToFit="0" vertical="center" wrapText="1"/>
    </xf>
    <xf borderId="1" fillId="7" fontId="7" numFmtId="0" xfId="0" applyAlignment="1" applyBorder="1" applyFill="1" applyFont="1">
      <alignment shrinkToFit="0" vertical="center" wrapText="1"/>
    </xf>
    <xf borderId="1" fillId="6" fontId="7" numFmtId="0" xfId="0" applyAlignment="1" applyBorder="1" applyFill="1" applyFont="1">
      <alignment readingOrder="0" shrinkToFit="0" vertical="center" wrapText="1"/>
    </xf>
    <xf borderId="1" fillId="6" fontId="7" numFmtId="0" xfId="0" applyAlignment="1" applyBorder="1" applyFill="1" applyFont="1">
      <alignment readingOrder="0" shrinkToFit="0" vertical="center" wrapText="1"/>
    </xf>
    <xf borderId="1" fillId="7" fontId="7" numFmtId="0" xfId="0" applyAlignment="1" applyBorder="1" applyFill="1" applyFont="1">
      <alignment readingOrder="0" shrinkToFit="0" vertical="center" wrapText="1"/>
    </xf>
    <xf borderId="1" fillId="8" fontId="8" numFmtId="0" xfId="0" applyAlignment="1" applyBorder="1" applyFill="1" applyFont="1">
      <alignment shrinkToFit="0" vertical="bottom" wrapText="1"/>
    </xf>
    <xf borderId="1" fillId="0" fontId="5" numFmtId="0" xfId="0" applyAlignment="1" applyBorder="1" applyFont="1">
      <alignment shrinkToFit="0" vertical="center" wrapText="1"/>
    </xf>
    <xf borderId="1" fillId="8" fontId="9" numFmtId="0" xfId="0" applyAlignment="1" applyBorder="1" applyFill="1" applyFont="1">
      <alignment shrinkToFit="0"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0" fontId="6" numFmtId="0" xfId="0" applyAlignment="1" applyBorder="1" applyFont="1">
      <alignment readingOrder="0" shrinkToFit="0" vertical="center" wrapText="1"/>
    </xf>
    <xf borderId="1" fillId="6" fontId="7" numFmtId="0" xfId="0" applyAlignment="1" applyBorder="1" applyFill="1" applyFont="1">
      <alignment readingOrder="0" shrinkToFit="0" vertical="center" wrapText="1"/>
    </xf>
    <xf borderId="1" fillId="7" fontId="7" numFmtId="0" xfId="0" applyAlignment="1" applyBorder="1" applyFill="1" applyFont="1">
      <alignment readingOrder="0" shrinkToFit="0" vertical="center" wrapText="1"/>
    </xf>
    <xf borderId="1" fillId="0" fontId="6" numFmtId="0" xfId="0" applyBorder="1" applyFont="1"/>
    <xf borderId="1" fillId="6" fontId="7" numFmtId="0" xfId="0" applyAlignment="1" applyBorder="1" applyFill="1" applyFont="1">
      <alignment shrinkToFit="0" vertical="center" wrapText="1"/>
    </xf>
    <xf borderId="1" fillId="7" fontId="7" numFmtId="0" xfId="0" applyAlignment="1" applyBorder="1" applyFill="1" applyFont="1">
      <alignment shrinkToFit="0" vertical="center" wrapText="1"/>
    </xf>
    <xf borderId="1" fillId="7" fontId="7" numFmtId="0" xfId="0" applyAlignment="1" applyBorder="1" applyFill="1" applyFont="1">
      <alignment readingOrder="0" shrinkToFit="0" vertical="center" wrapText="1"/>
    </xf>
    <xf borderId="1" fillId="8" fontId="8" numFmtId="0" xfId="0" applyAlignment="1" applyBorder="1" applyFill="1" applyFont="1">
      <alignment shrinkToFit="0" vertical="bottom" wrapText="1"/>
    </xf>
    <xf borderId="1" fillId="0" fontId="6" numFmtId="0" xfId="0" applyAlignment="1" applyBorder="1" applyFont="1">
      <alignment readingOrder="0"/>
    </xf>
    <xf borderId="1" fillId="9" fontId="5" numFmtId="0" xfId="0" applyAlignment="1" applyBorder="1" applyFill="1" applyFont="1">
      <alignment readingOrder="0" shrinkToFit="0" vertical="center" wrapText="1"/>
    </xf>
    <xf borderId="1" fillId="9" fontId="5" numFmtId="0" xfId="0" applyAlignment="1" applyBorder="1" applyFill="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LEDLuz-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A57"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LEDLuz-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5.13"/>
    <col customWidth="1" min="2" max="2" width="36.38"/>
    <col customWidth="1" min="3" max="3" width="11.75"/>
    <col customWidth="1" min="4" max="4" width="22.38"/>
    <col customWidth="1" min="5" max="5" width="10.88"/>
    <col customWidth="1" min="6" max="9" width="64.25"/>
    <col customWidth="1" min="10" max="11" width="28.75"/>
    <col customWidth="1" min="12" max="12" width="23.88"/>
    <col customWidth="1" min="13" max="13" width="43.25"/>
    <col customWidth="1" min="14" max="15" width="34.75"/>
    <col customWidth="1" min="16" max="24" width="50.13"/>
    <col customWidth="1" min="25" max="25" width="29.38"/>
    <col customWidth="1" min="26" max="27" width="12.63"/>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c r="A2" s="10" t="s">
        <v>30</v>
      </c>
      <c r="B2" s="10" t="s">
        <v>31</v>
      </c>
      <c r="C2" s="11" t="s">
        <v>32</v>
      </c>
      <c r="D2" s="10" t="s">
        <v>33</v>
      </c>
      <c r="E2" s="11" t="s">
        <v>34</v>
      </c>
      <c r="F2" s="12"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3"/>
      <c r="H2" s="12"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2" s="11"/>
      <c r="J2" s="11"/>
      <c r="K2" s="11"/>
      <c r="L2" s="11" t="s">
        <v>30</v>
      </c>
      <c r="M2" s="11" t="s">
        <v>35</v>
      </c>
      <c r="N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""&amp;M2)"),"Dimension | Finish | Profile Length")</f>
        <v>Dimension | Finish | Profile Length</v>
      </c>
      <c r="O2" s="15" t="s">
        <v>36</v>
      </c>
      <c r="P2" s="14" t="str">
        <f>IFERROR(__xludf.DUMMYFUNCTION("AI(""Using the labels""&amp;N2&amp;"" and values ""&amp;M2&amp;"" separated by character '|' and Using ""&amp;L2&amp;"" and key as 'SKU', Create a JSON object"")"),"{""SKU"": ""PROM"", ""Dimension"": ""7.8mm (W) x 9mm (H)"", ""Finish"": ""Silver"", ""Profile Length"": ""2m""}")</f>
        <v>{"SKU": "PROM", "Dimension": "7.8mm (W) x 9mm (H)", "Finish": "Silver", "Profile Length": "2m"}</v>
      </c>
      <c r="Q2" s="15" t="s">
        <v>37</v>
      </c>
      <c r="R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Q2:Q5)"),"{""SKU"": [""PROM"", ""PROM-3m-silver"", ""PROM-B"", ""PROM-W""], ""Dimension"": ""7.8mm (W) x 9mm (H)"", ""Finish"": [""Silver"", ""Black"", ""White""], ""Profile Length"": [""2m"", ""3m""]}")</f>
        <v>{"SKU": ["PROM", "PROM-3m-silver", "PROM-B", "PROM-W"], "Dimension": "7.8mm (W) x 9mm (H)", "Finish": ["Silver", "Black", "White"], "Profile Length": ["2m", "3m"]}</v>
      </c>
      <c r="S2" s="17" t="s">
        <v>38</v>
      </c>
      <c r="T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Q2:Q5)"),"{
""Options"": {
""Dimension"": [
{""name"": ""7.8mm (W) x 9mm (H)"", ""id"": ""101""}
],
""Finish"": [
{""name"": ""Silver"", ""id"": ""102""},
{""name"": ""Black"", ""id"": ""103""},
{""name"": ""White"", ""id"": ""104""}
],
""Profile Length"": [
{""nam"&amp;"e"": ""2m"", ""id"": ""105""},
{""name"": ""3m"", ""id"": ""106""}
]
},
""Constraints"": {
""103"": [""106""],
""104"": [""106""]
},
""sku_mappings"": [
{ ""sku"": ""PROM"", ""combination"": [""101"", ""102"", ""105""] },
{ ""sku"": ""PROM-3m-silver"", """&amp;"combination"": [""101"", ""102"", ""106""] },
{ ""sku"": ""PROM-B"", ""combination"": [""101"", ""103"", ""105""] },
{ ""sku"": ""PROM-W"", ""combination"": [""101"", ""104"", ""105""] }
]
}")</f>
        <v>{
"Options": {
"Dimension": [
{"name": "7.8mm (W) x 9mm (H)", "id": "101"}
],
"Finish": [
{"name": "Silver", "id": "102"},
{"name": "Black", "id": "103"},
{"name": "White", "id": "104"}
],
"Profile Length": [
{"name": "2m", "id": "105"},
{"name": "3m", "id": "106"}
]
},
"Constraints": {
"103": ["106"],
"104": ["106"]
},
"sku_mappings": [
{ "sku": "PROM", "combination": ["101", "102", "105"] },
{ "sku": "PROM-3m-silver", "combination": ["101", "102", "106"] },
{ "sku": "PROM-B", "combination": ["101", "103", "105"] },
{ "sku": "PROM-W", "combination": ["101", "104", "105"] }
]
}</v>
      </c>
      <c r="U2" s="18" t="s">
        <v>39</v>
      </c>
      <c r="V2" s="19" t="str">
        <f>IFERROR(__xludf.DUMMYFUNCTION("AI(""Extract options object from the json"", U2)"),"{""Dimension"": [{""name"": ""7.8mm (W) x 9mm (H)"", ""id"": ""101""}], ""Finish"": [{""name"": ""Silver"", ""id"": ""102""}, {""name"": ""Black"", ""id"": ""103""}, {""name"": ""White"", ""id"": ""104""}], ""Profile Length"": [{""name"": ""2m"", ""id"": "&amp;"""105""}, {""name"": ""3m"", ""id"": ""106""}]}")</f>
        <v>{"Dimension": [{"name": "7.8mm (W) x 9mm (H)", "id": "101"}], "Finish": [{"name": "Silver", "id": "102"}, {"name": "Black", "id": "103"}, {"name": "White", "id": "104"}], "Profile Length": [{"name": "2m", "id": "105"}, {"name": "3m", "id": "106"}]}</v>
      </c>
      <c r="W2" s="19" t="str">
        <f>IFERROR(__xludf.DUMMYFUNCTION("AI(""Extract constraints object from the json"", U2)"),"{ ""103"": [""106""], ""104"": [""106""] }")</f>
        <v>{ "103": ["106"], "104": ["106"] }</v>
      </c>
      <c r="X2" s="19" t="str">
        <f>IFERROR(__xludf.DUMMYFUNCTION("AI(""Extract sku_mappings object from the json"", U2)"),"[ { ""sku"": ""PROM"", ""combination"": [""101"", ""102"", ""105""] }, { ""sku"": ""PROM-3m-silver"", ""combination"": [""101"", ""102"", ""106""] }, { ""sku"": ""PROM-B"", ""combination"": [""101"", ""103"", ""105""] }, { ""sku"": ""PROM-W"", ""combinati"&amp;"on"": [""101"", ""104"", ""105""] } ]")</f>
        <v>[ { "sku": "PROM", "combination": ["101", "102", "105"] }, { "sku": "PROM-3m-silver", "combination": ["101", "102", "106"] }, { "sku": "PROM-B", "combination": ["101", "103", "105"] }, { "sku": "PROM-W", "combination": ["101", "104", "105"] } ]</v>
      </c>
      <c r="Y2" s="17" t="s">
        <v>40</v>
      </c>
      <c r="Z2" s="17" t="s">
        <v>41</v>
      </c>
      <c r="AA2" s="17" t="s">
        <v>42</v>
      </c>
      <c r="AB2" s="20"/>
      <c r="AC2" s="21" t="str">
        <f>IFERROR(__xludf.DUMMYFUNCTION("AI(""Generate 6 powerful unique keywords for the product in this row separated by comma"")"),"Mini surfaced profile, Aluminium LED channel, Compact linear profile, Surface mount light channel, Slim LED extrusion, Architectural mini profile")</f>
        <v>Mini surfaced profile, Aluminium LED channel, Compact linear profile, Surface mount light channel, Slim LED extrusion, Architectural mini profile</v>
      </c>
      <c r="AD2" s="20" t="s">
        <v>43</v>
      </c>
    </row>
    <row r="3">
      <c r="A3" s="10"/>
      <c r="B3" s="22"/>
      <c r="C3" s="22"/>
      <c r="D3" s="22"/>
      <c r="E3" s="22"/>
      <c r="F3" s="23"/>
      <c r="G3" s="24"/>
      <c r="H3" s="23"/>
      <c r="I3" s="22"/>
      <c r="J3" s="22"/>
      <c r="K3" s="22"/>
      <c r="L3" s="11" t="s">
        <v>44</v>
      </c>
      <c r="M3" s="11" t="s">
        <v>45</v>
      </c>
      <c r="N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""&amp;M3)"),"Dimension | Finish | Profile Length")</f>
        <v>Dimension | Finish | Profile Length</v>
      </c>
      <c r="O3" s="15" t="s">
        <v>36</v>
      </c>
      <c r="P3" s="14" t="str">
        <f>IFERROR(__xludf.DUMMYFUNCTION("AI(""Using the labels""&amp;N3&amp;"" and values ""&amp;M3&amp;"" separated by character '|' and Using ""&amp;L3&amp;"" and key as 'SKU', Create a JSON object"")"),"{""SKU"": ""PROM-3m-silver"", ""Dimension"": ""7.8mm (W) x 9mm (H)"", ""Finish"": ""Silver"", ""Profile Length"": ""3m""}")</f>
        <v>{"SKU": "PROM-3m-silver", "Dimension": "7.8mm (W) x 9mm (H)", "Finish": "Silver", "Profile Length": "3m"}</v>
      </c>
      <c r="Q3" s="15" t="s">
        <v>46</v>
      </c>
      <c r="R3" s="25"/>
      <c r="S3" s="25"/>
      <c r="T3" s="25"/>
      <c r="U3" s="26"/>
      <c r="V3" s="25"/>
      <c r="W3" s="25"/>
      <c r="X3" s="25"/>
      <c r="Y3" s="17" t="s">
        <v>40</v>
      </c>
      <c r="Z3" s="17" t="s">
        <v>41</v>
      </c>
      <c r="AA3" s="17" t="s">
        <v>42</v>
      </c>
      <c r="AB3" s="20"/>
      <c r="AC3" s="20"/>
      <c r="AD3" s="20"/>
    </row>
    <row r="4">
      <c r="A4" s="10"/>
      <c r="B4" s="22"/>
      <c r="C4" s="22"/>
      <c r="D4" s="22"/>
      <c r="E4" s="22"/>
      <c r="F4" s="23"/>
      <c r="G4" s="24"/>
      <c r="H4" s="23"/>
      <c r="I4" s="22"/>
      <c r="J4" s="22"/>
      <c r="K4" s="22"/>
      <c r="L4" s="11" t="s">
        <v>47</v>
      </c>
      <c r="M4" s="11" t="s">
        <v>48</v>
      </c>
      <c r="N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""&amp;M4)"),"Dimension | Finish | Profile Length")</f>
        <v>Dimension | Finish | Profile Length</v>
      </c>
      <c r="O4" s="15" t="s">
        <v>36</v>
      </c>
      <c r="P4" s="14" t="str">
        <f>IFERROR(__xludf.DUMMYFUNCTION("AI(""Using the labels""&amp;N4&amp;"" and values ""&amp;M4&amp;"" separated by character '|' and Using ""&amp;L4&amp;"" and key as 'SKU', Create a JSON object"")"),"{""SKU"": ""PROM-B"", ""Dimension"": ""7.8mm (W) x 9mm (H)"", ""Finish"": ""Black"", ""Profile Length"": ""2m""}")</f>
        <v>{"SKU": "PROM-B", "Dimension": "7.8mm (W) x 9mm (H)", "Finish": "Black", "Profile Length": "2m"}</v>
      </c>
      <c r="Q4" s="15" t="s">
        <v>49</v>
      </c>
      <c r="R4" s="25"/>
      <c r="S4" s="25"/>
      <c r="T4" s="25"/>
      <c r="U4" s="26"/>
      <c r="V4" s="25"/>
      <c r="W4" s="25"/>
      <c r="X4" s="25"/>
      <c r="Y4" s="17" t="s">
        <v>40</v>
      </c>
      <c r="Z4" s="17" t="s">
        <v>41</v>
      </c>
      <c r="AA4" s="17" t="s">
        <v>42</v>
      </c>
      <c r="AB4" s="20"/>
      <c r="AC4" s="20"/>
      <c r="AD4" s="20"/>
    </row>
    <row r="5">
      <c r="A5" s="10"/>
      <c r="B5" s="11"/>
      <c r="C5" s="11"/>
      <c r="D5" s="10"/>
      <c r="E5" s="11"/>
      <c r="F5" s="12"/>
      <c r="G5" s="13"/>
      <c r="H5" s="12"/>
      <c r="I5" s="11"/>
      <c r="J5" s="22"/>
      <c r="K5" s="22"/>
      <c r="L5" s="11" t="s">
        <v>50</v>
      </c>
      <c r="M5" s="11" t="s">
        <v>51</v>
      </c>
      <c r="N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""&amp;M5)"),"Dimension | Finish | Profile Length")</f>
        <v>Dimension | Finish | Profile Length</v>
      </c>
      <c r="O5" s="15" t="s">
        <v>36</v>
      </c>
      <c r="P5" s="14" t="str">
        <f>IFERROR(__xludf.DUMMYFUNCTION("AI(""Using the labels""&amp;N5&amp;"" and values ""&amp;M5&amp;"" separated by character '|' and Using ""&amp;L5&amp;"" and key as 'SKU', Create a JSON object"")"),"{""SKU"": ""PROM-W"", ""Dimension"": ""7.8mm (W) x 9mm (H)"", ""Finish"": ""White"", ""Profile Length"": ""2m""}")</f>
        <v>{"SKU": "PROM-W", "Dimension": "7.8mm (W) x 9mm (H)", "Finish": "White", "Profile Length": "2m"}</v>
      </c>
      <c r="Q5" s="15" t="s">
        <v>52</v>
      </c>
      <c r="R5" s="27"/>
      <c r="S5" s="28"/>
      <c r="T5" s="27"/>
      <c r="U5" s="29"/>
      <c r="V5" s="17"/>
      <c r="W5" s="17"/>
      <c r="X5" s="17"/>
      <c r="Y5" s="17" t="s">
        <v>40</v>
      </c>
      <c r="Z5" s="17" t="s">
        <v>41</v>
      </c>
      <c r="AA5" s="17" t="s">
        <v>42</v>
      </c>
      <c r="AB5" s="20"/>
      <c r="AC5" s="20"/>
      <c r="AD5" s="20"/>
    </row>
    <row r="6">
      <c r="A6" s="10" t="s">
        <v>53</v>
      </c>
      <c r="B6" s="11" t="s">
        <v>54</v>
      </c>
      <c r="C6" s="11" t="s">
        <v>32</v>
      </c>
      <c r="D6" s="11" t="s">
        <v>55</v>
      </c>
      <c r="E6" s="11" t="s">
        <v>34</v>
      </c>
      <c r="F6" s="23"/>
      <c r="G6" s="24"/>
      <c r="H6" s="23"/>
      <c r="I6" s="22"/>
      <c r="J6" s="22"/>
      <c r="K6" s="22"/>
      <c r="L6" s="11" t="s">
        <v>53</v>
      </c>
      <c r="M6" s="11" t="s">
        <v>56</v>
      </c>
      <c r="N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""&amp;M6)"),"Dimension | Finish | Profile Length")</f>
        <v>Dimension | Finish | Profile Length</v>
      </c>
      <c r="O6" s="15" t="s">
        <v>36</v>
      </c>
      <c r="P6" s="14" t="str">
        <f>IFERROR(__xludf.DUMMYFUNCTION("AI(""Using the labels""&amp;N6&amp;"" and values ""&amp;M6&amp;"" separated by character '|' and Using ""&amp;L6&amp;"" and key as 'SKU', Create a JSON object"")"),"{""SKU"": ""PR001"", ""Dimension"": ""23.1mm (W) x 8.5mm (H)"", ""Finish"": ""Silver"", ""Profile Length"": ""2m""}")</f>
        <v>{"SKU": "PR001", "Dimension": "23.1mm (W) x 8.5mm (H)", "Finish": "Silver", "Profile Length": "2m"}</v>
      </c>
      <c r="Q6" s="15" t="s">
        <v>57</v>
      </c>
      <c r="R6"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Q6:Q9)"),"{""SKU"": [""PR001"", ""PR001-3m-Silver"", ""PR001-B"", ""PR001-W""], ""Dimension"": ""23.1mm (W) x 8.5mm (H)"", ""Finish"": [""Silver"", ""Black"", ""White""], ""Profile Length"": [""2m"", ""3m""]}")</f>
        <v>{"SKU": ["PR001", "PR001-3m-Silver", "PR001-B", "PR001-W"], "Dimension": "23.1mm (W) x 8.5mm (H)", "Finish": ["Silver", "Black", "White"], "Profile Length": ["2m", "3m"]}</v>
      </c>
      <c r="S6" s="17" t="s">
        <v>58</v>
      </c>
      <c r="T6"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Q6:Q9)"),"{ ""Options"": { ""Dimension"": [ {""name"": ""23.1mm (W) x 8.5mm (H)"", ""id"": ""101""} ], ""Finish"": [ {""name"": ""Silver"", ""id"": ""102""}, {""name"": ""Black"", ""id"": ""103""}, {""name"": ""White"", ""id"": ""104""} ], ""Profile Length"": [ {"""&amp;"name"": ""2m"", ""id"": ""105""}, {""name"": ""3m"", ""id"": ""106""} ] }, ""Constraints"": { ""103"": [""106""], ""104"": [""106""] }, ""sku_mappings"": [ { ""sku"": ""PR001"", ""combination"": [""101"", ""102"", ""105""] }, { ""sku"": ""PR001-3m-Silver"&amp;""", ""combination"": [""101"", ""102"", ""106""] }, { ""sku"": ""PR001-B"", ""combination"": [""101"", ""103"", ""105""] }, { ""sku"": ""PR001-W"", ""combination"": [""101"", ""104"", ""105""] } ] }")</f>
        <v>{ "Options": { "Dimension": [ {"name": "23.1mm (W) x 8.5mm (H)", "id": "101"} ], "Finish": [ {"name": "Silver", "id": "102"}, {"name": "Black", "id": "103"}, {"name": "White", "id": "104"} ], "Profile Length": [ {"name": "2m", "id": "105"}, {"name": "3m", "id": "106"} ] }, "Constraints": { "103": ["106"], "104": ["106"] }, "sku_mappings": [ { "sku": "PR001", "combination": ["101", "102", "105"] }, { "sku": "PR001-3m-Silver", "combination": ["101", "102", "106"] }, { "sku": "PR001-B", "combination": ["101", "103", "105"] }, { "sku": "PR001-W", "combination": ["101", "104", "105"] } ] }</v>
      </c>
      <c r="U6" s="30" t="s">
        <v>59</v>
      </c>
      <c r="V6" s="31" t="str">
        <f>IFERROR(__xludf.DUMMYFUNCTION("AI(""Extract options object from the json"", U6)"),"{""Dimension"": [{""name"": ""23.1mm (W) x 8.5mm (H)"", ""id"": ""101""}], ""Finish"": [{""name"": ""Silver"", ""id"": ""102""}, {""name"": ""Black"", ""id"": ""103""}, {""name"": ""White"", ""id"": ""104""}], ""Profile Length"": [{""name"": ""2m"", ""id"&amp;""": ""105""}, {""name"": ""3m"", ""id"": ""106""}]}")</f>
        <v>{"Dimension": [{"name": "23.1mm (W) x 8.5mm (H)", "id": "101"}], "Finish": [{"name": "Silver", "id": "102"}, {"name": "Black", "id": "103"}, {"name": "White", "id": "104"}], "Profile Length": [{"name": "2m", "id": "105"}, {"name": "3m", "id": "106"}]}</v>
      </c>
      <c r="W6" s="31" t="str">
        <f>IFERROR(__xludf.DUMMYFUNCTION("AI(""Extract constraints object from the json"", U6)"),"{ ""103"": [""106""], ""104"": [""106""] }")</f>
        <v>{ "103": ["106"], "104": ["106"] }</v>
      </c>
      <c r="X6" s="31" t="str">
        <f>IFERROR(__xludf.DUMMYFUNCTION("AI(""Extract sku_mappings object from the json"", U6)"),"[{""sku"": ""PR001"", ""combination"": [""101"", ""102"", ""105""]}, {""sku"": ""PR001-3m-Silver"", ""combination"": [""101"", ""102"", ""106""]}, {""sku"": ""PR001-B"", ""combination"": [""101"", ""103"", ""105""]}, {""sku"": ""PR001-W"", ""combination"""&amp;": [""101"", ""104"", ""105""]}]")</f>
        <v>[{"sku": "PR001", "combination": ["101", "102", "105"]}, {"sku": "PR001-3m-Silver", "combination": ["101", "102", "106"]}, {"sku": "PR001-B", "combination": ["101", "103", "105"]}, {"sku": "PR001-W", "combination": ["101", "104", "105"]}]</v>
      </c>
      <c r="Y6" s="17" t="s">
        <v>40</v>
      </c>
      <c r="Z6" s="17" t="s">
        <v>60</v>
      </c>
      <c r="AA6" s="17" t="s">
        <v>42</v>
      </c>
      <c r="AB6" s="20"/>
      <c r="AC6" s="21" t="str">
        <f>IFERROR(__xludf.DUMMYFUNCTION("AI(""Generate 6 powerful unique keywords for the product in this row"")"),"Recessed LED Profile, Aluminium Light Channel, Flush Mount LED Extrusion, Architectural Linear Lighting, LED Strip Diffuser Channel, Recessed Aluminium Housing")</f>
        <v>Recessed LED Profile, Aluminium Light Channel, Flush Mount LED Extrusion, Architectural Linear Lighting, LED Strip Diffuser Channel, Recessed Aluminium Housing</v>
      </c>
      <c r="AD6" s="20" t="s">
        <v>61</v>
      </c>
    </row>
    <row r="7">
      <c r="A7" s="10"/>
      <c r="B7" s="22"/>
      <c r="C7" s="22"/>
      <c r="D7" s="22"/>
      <c r="E7" s="22"/>
      <c r="F7" s="23"/>
      <c r="G7" s="24"/>
      <c r="H7" s="23"/>
      <c r="I7" s="22"/>
      <c r="J7" s="22"/>
      <c r="K7" s="22"/>
      <c r="L7" s="11" t="s">
        <v>62</v>
      </c>
      <c r="M7" s="11" t="s">
        <v>63</v>
      </c>
      <c r="N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""&amp;M7)"),"Dimension | Finish | Profile Length")</f>
        <v>Dimension | Finish | Profile Length</v>
      </c>
      <c r="O7" s="15" t="s">
        <v>36</v>
      </c>
      <c r="P7" s="14" t="str">
        <f>IFERROR(__xludf.DUMMYFUNCTION("AI(""Using the labels""&amp;N7&amp;"" and values ""&amp;M7&amp;"" separated by character '|' and Using ""&amp;L7&amp;"" and key as 'SKU', Create a JSON object"")"),"{""SKU"": ""PR001-3m-Silver"", ""Dimension"": ""23.1mm (W) x 8.5mm (H)"", ""Finish"": ""Silver"", ""Profile Length"": ""3m""}")</f>
        <v>{"SKU": "PR001-3m-Silver", "Dimension": "23.1mm (W) x 8.5mm (H)", "Finish": "Silver", "Profile Length": "3m"}</v>
      </c>
      <c r="Q7" s="15" t="s">
        <v>64</v>
      </c>
      <c r="R7" s="25"/>
      <c r="S7" s="25"/>
      <c r="T7" s="25"/>
      <c r="U7" s="26"/>
      <c r="V7" s="25"/>
      <c r="W7" s="25"/>
      <c r="X7" s="25"/>
      <c r="Y7" s="17" t="s">
        <v>40</v>
      </c>
      <c r="Z7" s="17" t="s">
        <v>60</v>
      </c>
      <c r="AA7" s="17" t="s">
        <v>42</v>
      </c>
      <c r="AB7" s="20"/>
      <c r="AC7" s="20"/>
      <c r="AD7" s="20"/>
    </row>
    <row r="8">
      <c r="A8" s="10"/>
      <c r="B8" s="11"/>
      <c r="C8" s="22"/>
      <c r="D8" s="22"/>
      <c r="E8" s="22"/>
      <c r="F8" s="23"/>
      <c r="G8" s="24"/>
      <c r="H8" s="23"/>
      <c r="I8" s="22"/>
      <c r="J8" s="22"/>
      <c r="K8" s="22"/>
      <c r="L8" s="32" t="s">
        <v>65</v>
      </c>
      <c r="M8" s="11" t="s">
        <v>66</v>
      </c>
      <c r="N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""&amp;M8)"),"Dimension | Finish | Profile Length")</f>
        <v>Dimension | Finish | Profile Length</v>
      </c>
      <c r="O8" s="15" t="s">
        <v>36</v>
      </c>
      <c r="P8" s="14" t="str">
        <f>IFERROR(__xludf.DUMMYFUNCTION("AI(""Using the labels""&amp;N8&amp;"" and values ""&amp;M8&amp;"" separated by character '|' and Using ""&amp;L8&amp;"" and key as 'SKU', Create a JSON object"")"),"{""SKU"": ""PR001-B"", ""Dimension"": ""23.1mm (W) x 8.5mm (H)"", ""Finish"": ""Black"", ""Profile Length"": ""2m""}")</f>
        <v>{"SKU": "PR001-B", "Dimension": "23.1mm (W) x 8.5mm (H)", "Finish": "Black", "Profile Length": "2m"}</v>
      </c>
      <c r="Q8" s="15" t="s">
        <v>67</v>
      </c>
      <c r="R8" s="25"/>
      <c r="S8" s="25"/>
      <c r="T8" s="25"/>
      <c r="U8" s="26"/>
      <c r="V8" s="25"/>
      <c r="W8" s="25"/>
      <c r="X8" s="25"/>
      <c r="Y8" s="17" t="s">
        <v>40</v>
      </c>
      <c r="Z8" s="17" t="s">
        <v>60</v>
      </c>
      <c r="AA8" s="17" t="s">
        <v>42</v>
      </c>
      <c r="AB8" s="20"/>
      <c r="AC8" s="20"/>
      <c r="AD8" s="20"/>
    </row>
    <row r="9">
      <c r="A9" s="10"/>
      <c r="B9" s="22"/>
      <c r="C9" s="22"/>
      <c r="D9" s="22"/>
      <c r="E9" s="22"/>
      <c r="F9" s="23"/>
      <c r="G9" s="24"/>
      <c r="H9" s="23"/>
      <c r="I9" s="22"/>
      <c r="J9" s="22"/>
      <c r="K9" s="22"/>
      <c r="L9" s="11" t="s">
        <v>68</v>
      </c>
      <c r="M9" s="11" t="s">
        <v>69</v>
      </c>
      <c r="N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""&amp;M9)"),"Dimension | Finish | Profile Length")</f>
        <v>Dimension | Finish | Profile Length</v>
      </c>
      <c r="O9" s="15" t="s">
        <v>36</v>
      </c>
      <c r="P9" s="14" t="str">
        <f>IFERROR(__xludf.DUMMYFUNCTION("AI(""Using the labels""&amp;N9&amp;"" and values ""&amp;M9&amp;"" separated by character '|' and Using ""&amp;L9&amp;"" and key as 'SKU', Create a JSON object"")"),"{""SKU"": ""PR001-W"", ""Dimension"": ""23.1mm (W) x 8.5mm (H)"", ""Finish"": ""White"", ""Profile Length"": ""2m""}")</f>
        <v>{"SKU": "PR001-W", "Dimension": "23.1mm (W) x 8.5mm (H)", "Finish": "White", "Profile Length": "2m"}</v>
      </c>
      <c r="Q9" s="15" t="s">
        <v>70</v>
      </c>
      <c r="R9" s="25"/>
      <c r="S9" s="25"/>
      <c r="T9" s="25"/>
      <c r="U9" s="26"/>
      <c r="V9" s="25"/>
      <c r="W9" s="25"/>
      <c r="X9" s="25"/>
      <c r="Y9" s="17" t="s">
        <v>40</v>
      </c>
      <c r="Z9" s="17" t="s">
        <v>60</v>
      </c>
      <c r="AA9" s="17" t="s">
        <v>42</v>
      </c>
      <c r="AB9" s="20"/>
      <c r="AC9" s="20"/>
      <c r="AD9" s="20"/>
    </row>
    <row r="10">
      <c r="A10" s="10" t="s">
        <v>71</v>
      </c>
      <c r="B10" s="11" t="s">
        <v>72</v>
      </c>
      <c r="C10" s="11" t="s">
        <v>32</v>
      </c>
      <c r="D10" s="11" t="s">
        <v>73</v>
      </c>
      <c r="E10" s="11" t="s">
        <v>34</v>
      </c>
      <c r="F10" s="23"/>
      <c r="G10" s="24"/>
      <c r="H10" s="23"/>
      <c r="I10" s="22"/>
      <c r="J10" s="22"/>
      <c r="K10" s="22"/>
      <c r="L10" s="11" t="s">
        <v>71</v>
      </c>
      <c r="M10" s="11" t="s">
        <v>74</v>
      </c>
      <c r="N1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""&amp;M10)"),"Dimension | Finish | Profile Length")</f>
        <v>Dimension | Finish | Profile Length</v>
      </c>
      <c r="O10" s="15" t="s">
        <v>36</v>
      </c>
      <c r="P10" s="14" t="str">
        <f>IFERROR(__xludf.DUMMYFUNCTION("AI(""Using the labels""&amp;N10&amp;"" and values ""&amp;M10&amp;"" separated by character '|' and Using ""&amp;L10&amp;"" and key as 'SKU', Create a JSON object"")"),"{""SKU"": ""PR002"", ""Dimension"": ""17.1mm (W) x 8mm (H)"", ""Finish"": ""Silver"", ""Profile Length"": ""2m""}")</f>
        <v>{"SKU": "PR002", "Dimension": "17.1mm (W) x 8mm (H)", "Finish": "Silver", "Profile Length": "2m"}</v>
      </c>
      <c r="Q10" s="15" t="s">
        <v>75</v>
      </c>
      <c r="R1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Q10:Q13)"),"{""SKU"": [""PR002"", ""PR002-3m-Silver"", ""PR002-B"", ""PR002-W""], ""Dimension"": ""17.1mm (W) x 8mm (H)"", ""Finish"": [""Silver"", ""Black"", ""White""], ""Profile Length"": [""2m"", ""3m""]}")</f>
        <v>{"SKU": ["PR002", "PR002-3m-Silver", "PR002-B", "PR002-W"], "Dimension": "17.1mm (W) x 8mm (H)", "Finish": ["Silver", "Black", "White"], "Profile Length": ["2m", "3m"]}</v>
      </c>
      <c r="S10" s="17" t="s">
        <v>76</v>
      </c>
      <c r="T1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Q10:Q13)"),"{
""Options"": {
""Dimension"": [
{
""name"": ""17.1mm (W) x 8mm (H)"",
""id"": ""101""
}
],
""Finish"": [
{
""name"": ""Silver"",
""id"": ""102""
},
{
""name"": ""Black"",
""id"": ""103""
},
{
""name"": ""White"",
""id"": ""104""
}
],
""Profile Length"":"&amp;" [
{
""name"": ""2m"",
""id"": ""105""
},
{
""name"": ""3m"",
""id"": ""106""
}
]
},
""Constraints"": {
""103"": [
""106""
],
""104"": [
""106""
]
},
""sku_mappings"": [
{
""sku"": ""PR002"",
""combination"": [
""101"",
""102"",
""105""
]
},
{
""sku"": """&amp;"PR002-3m-Silver"",
""combination"": [
""101"",
""102"",
""106""
]
},
{
""sku"": ""PR002-B"",
""combination"": [
""101"",
""103"",
""105""
]
},
{
""sku"": ""PR002-W"",
""combination"": [
""101"",
""104"",
""105""
]
}
]
}")</f>
        <v>{
"Options": {
"Dimension": [
{
"name": "17.1mm (W) x 8mm (H)",
"id": "101"
}
],
"Finish": [
{
"name": "Silver",
"id": "102"
},
{
"name": "Black",
"id": "103"
},
{
"name": "White",
"id": "104"
}
],
"Profile Length": [
{
"name": "2m",
"id": "105"
},
{
"name": "3m",
"id": "106"
}
]
},
"Constraints": {
"103": [
"106"
],
"104": [
"106"
]
},
"sku_mappings": [
{
"sku": "PR002",
"combination": [
"101",
"102",
"105"
]
},
{
"sku": "PR002-3m-Silver",
"combination": [
"101",
"102",
"106"
]
},
{
"sku": "PR002-B",
"combination": [
"101",
"103",
"105"
]
},
{
"sku": "PR002-W",
"combination": [
"101",
"104",
"105"
]
}
]
}</v>
      </c>
      <c r="U10" s="30" t="s">
        <v>77</v>
      </c>
      <c r="V10" s="31" t="str">
        <f>IFERROR(__xludf.DUMMYFUNCTION("AI(""Extract options object from the json"", U10)"),"{""Dimension"": [{""name"": ""17.1mm (W) x 8mm (H)"", ""id"": ""101""}], ""Finish"": [{""name"": ""Silver"", ""id"": ""102""}, {""name"": ""Black"", ""id"": ""103""}, {""name"": ""White"", ""id"": ""104""}], ""Profile Length"": [{""name"": ""2m"", ""id"":"&amp;" ""105""}, {""name"": ""3m"", ""id"": ""106""}]}")</f>
        <v>{"Dimension": [{"name": "17.1mm (W) x 8mm (H)", "id": "101"}], "Finish": [{"name": "Silver", "id": "102"}, {"name": "Black", "id": "103"}, {"name": "White", "id": "104"}], "Profile Length": [{"name": "2m", "id": "105"}, {"name": "3m", "id": "106"}]}</v>
      </c>
      <c r="W10" s="31" t="str">
        <f>IFERROR(__xludf.DUMMYFUNCTION("AI(""Extract constraints object from the json"", U10)"),"{""103"": [""106""], ""104"": [""106""]}")</f>
        <v>{"103": ["106"], "104": ["106"]}</v>
      </c>
      <c r="X10" s="31" t="str">
        <f>IFERROR(__xludf.DUMMYFUNCTION("AI(""Extract sku_mappings object from the json"", U10)"),"[{""sku"": ""PR002"", ""combination"": [""101"", ""102"", ""105""]}, {""sku"": ""PR002-3m-Silver"", ""combination"": [""101"", ""102"", ""106""]}, {""sku"": ""PR002-B"", ""combination"": [""101"", ""103"", ""105""]}, {""sku"": ""PR002-W"", ""combination"""&amp;": [""101"", ""104"", ""105""]}]")</f>
        <v>[{"sku": "PR002", "combination": ["101", "102", "105"]}, {"sku": "PR002-3m-Silver", "combination": ["101", "102", "106"]}, {"sku": "PR002-B", "combination": ["101", "103", "105"]}, {"sku": "PR002-W", "combination": ["101", "104", "105"]}]</v>
      </c>
      <c r="Y10" s="17" t="s">
        <v>40</v>
      </c>
      <c r="Z10" s="17" t="s">
        <v>78</v>
      </c>
      <c r="AA10" s="17" t="s">
        <v>42</v>
      </c>
      <c r="AB10" s="20"/>
      <c r="AC10" s="21" t="str">
        <f>IFERROR(__xludf.DUMMYFUNCTION("AI(""Generate 6 powerful unique keywords for the product in this row"")"),"Surface Mount LED Channel, Aluminium Extrusion Profile, Linear Light Housing, LED Strip Diffuser Channel, Surface Mounted LED Housing, Architectural Linear Lighting")</f>
        <v>Surface Mount LED Channel, Aluminium Extrusion Profile, Linear Light Housing, LED Strip Diffuser Channel, Surface Mounted LED Housing, Architectural Linear Lighting</v>
      </c>
      <c r="AD10" s="20" t="s">
        <v>79</v>
      </c>
    </row>
    <row r="11">
      <c r="A11" s="10"/>
      <c r="B11" s="11"/>
      <c r="C11" s="11"/>
      <c r="D11" s="10"/>
      <c r="E11" s="11"/>
      <c r="F11" s="12"/>
      <c r="G11" s="13"/>
      <c r="H11" s="12"/>
      <c r="I11" s="11"/>
      <c r="J11" s="22"/>
      <c r="K11" s="22"/>
      <c r="L11" s="11" t="s">
        <v>80</v>
      </c>
      <c r="M11" s="11" t="s">
        <v>81</v>
      </c>
      <c r="N1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""&amp;M11)"),"Dimension | Finish | Profile Length")</f>
        <v>Dimension | Finish | Profile Length</v>
      </c>
      <c r="O11" s="15" t="s">
        <v>36</v>
      </c>
      <c r="P11" s="14" t="str">
        <f>IFERROR(__xludf.DUMMYFUNCTION("AI(""Using the labels""&amp;N11&amp;"" and values ""&amp;M11&amp;"" separated by character '|' and Using ""&amp;L11&amp;"" and key as 'SKU', Create a JSON object"")"),"{""SKU"": ""PR002-3m-Silver"", ""Dimension"": ""17.1mm (W) x 8mm (H)"", ""Finish"": ""Silver"", ""Profile Length"": ""3m""}")</f>
        <v>{"SKU": "PR002-3m-Silver", "Dimension": "17.1mm (W) x 8mm (H)", "Finish": "Silver", "Profile Length": "3m"}</v>
      </c>
      <c r="Q11" s="15" t="s">
        <v>82</v>
      </c>
      <c r="R11" s="27"/>
      <c r="S11" s="28"/>
      <c r="T11" s="27"/>
      <c r="U11" s="29"/>
      <c r="V11" s="17"/>
      <c r="W11" s="17"/>
      <c r="X11" s="17"/>
      <c r="Y11" s="17" t="s">
        <v>40</v>
      </c>
      <c r="Z11" s="17" t="s">
        <v>78</v>
      </c>
      <c r="AA11" s="17" t="s">
        <v>42</v>
      </c>
      <c r="AB11" s="20"/>
      <c r="AC11" s="20"/>
      <c r="AD11" s="20"/>
    </row>
    <row r="12">
      <c r="A12" s="27"/>
      <c r="B12" s="11"/>
      <c r="C12" s="22"/>
      <c r="D12" s="22"/>
      <c r="E12" s="22"/>
      <c r="F12" s="23"/>
      <c r="G12" s="24"/>
      <c r="H12" s="23"/>
      <c r="I12" s="22"/>
      <c r="J12" s="22"/>
      <c r="K12" s="22"/>
      <c r="L12" s="11" t="s">
        <v>83</v>
      </c>
      <c r="M12" s="11" t="s">
        <v>84</v>
      </c>
      <c r="N1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""&amp;M12)"),"Dimension | Finish | Profile Length")</f>
        <v>Dimension | Finish | Profile Length</v>
      </c>
      <c r="O12" s="15" t="s">
        <v>36</v>
      </c>
      <c r="P12" s="14" t="str">
        <f>IFERROR(__xludf.DUMMYFUNCTION("AI(""Using the labels""&amp;N12&amp;"" and values ""&amp;M12&amp;"" separated by character '|' and Using ""&amp;L12&amp;"" and key as 'SKU', Create a JSON object"")"),"{""SKU"": ""PR002-B"", ""Dimension"": ""17.1mm (W) x 8mm (H)"", ""Finish"": ""Black"", ""Profile Length"": ""2m""}")</f>
        <v>{"SKU": "PR002-B", "Dimension": "17.1mm (W) x 8mm (H)", "Finish": "Black", "Profile Length": "2m"}</v>
      </c>
      <c r="Q12" s="15" t="s">
        <v>85</v>
      </c>
      <c r="R12" s="25"/>
      <c r="S12" s="25"/>
      <c r="T12" s="25"/>
      <c r="U12" s="26"/>
      <c r="V12" s="25"/>
      <c r="W12" s="25"/>
      <c r="X12" s="25"/>
      <c r="Y12" s="17" t="s">
        <v>40</v>
      </c>
      <c r="Z12" s="17" t="s">
        <v>78</v>
      </c>
      <c r="AA12" s="17" t="s">
        <v>42</v>
      </c>
      <c r="AB12" s="20"/>
      <c r="AC12" s="20"/>
      <c r="AD12" s="20"/>
    </row>
    <row r="13">
      <c r="A13" s="10"/>
      <c r="B13" s="22"/>
      <c r="C13" s="22"/>
      <c r="D13" s="22"/>
      <c r="E13" s="22"/>
      <c r="F13" s="23"/>
      <c r="G13" s="24"/>
      <c r="H13" s="23"/>
      <c r="I13" s="22"/>
      <c r="J13" s="22"/>
      <c r="K13" s="22"/>
      <c r="L13" s="11" t="s">
        <v>86</v>
      </c>
      <c r="M13" s="11" t="s">
        <v>87</v>
      </c>
      <c r="N1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""&amp;M13)"),"Dimension | Finish | Profile Length")</f>
        <v>Dimension | Finish | Profile Length</v>
      </c>
      <c r="O13" s="15" t="s">
        <v>36</v>
      </c>
      <c r="P13" s="14" t="str">
        <f>IFERROR(__xludf.DUMMYFUNCTION("AI(""Using the labels""&amp;N13&amp;"" and values ""&amp;M13&amp;"" separated by character '|' and Using ""&amp;L13&amp;"" and key as 'SKU', Create a JSON object"")"),"{""SKU"": ""PR002-W"", ""Dimension"": ""17.1mm (W) x 8mm (H)"", ""Finish"": ""White"", ""Profile Length"": ""2m""}")</f>
        <v>{"SKU": "PR002-W", "Dimension": "17.1mm (W) x 8mm (H)", "Finish": "White", "Profile Length": "2m"}</v>
      </c>
      <c r="Q13" s="15" t="s">
        <v>88</v>
      </c>
      <c r="R13" s="25"/>
      <c r="S13" s="25"/>
      <c r="T13" s="25"/>
      <c r="U13" s="26"/>
      <c r="V13" s="25"/>
      <c r="W13" s="25"/>
      <c r="X13" s="25"/>
      <c r="Y13" s="17" t="s">
        <v>40</v>
      </c>
      <c r="Z13" s="17" t="s">
        <v>78</v>
      </c>
      <c r="AA13" s="17" t="s">
        <v>42</v>
      </c>
      <c r="AB13" s="20"/>
      <c r="AC13" s="20"/>
      <c r="AD13" s="20"/>
    </row>
    <row r="14">
      <c r="A14" s="10" t="s">
        <v>89</v>
      </c>
      <c r="B14" s="11" t="s">
        <v>54</v>
      </c>
      <c r="C14" s="11" t="s">
        <v>32</v>
      </c>
      <c r="D14" s="11" t="s">
        <v>90</v>
      </c>
      <c r="E14" s="11" t="s">
        <v>34</v>
      </c>
      <c r="F14" s="23"/>
      <c r="G14" s="24"/>
      <c r="H14" s="23"/>
      <c r="I14" s="22"/>
      <c r="J14" s="22"/>
      <c r="K14" s="22"/>
      <c r="L14" s="11" t="s">
        <v>89</v>
      </c>
      <c r="M14" s="11" t="s">
        <v>91</v>
      </c>
      <c r="N1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""&amp;M14)"),"Dimension | Finish | Profile Length")</f>
        <v>Dimension | Finish | Profile Length</v>
      </c>
      <c r="O14" s="15" t="s">
        <v>36</v>
      </c>
      <c r="P14" s="14" t="str">
        <f>IFERROR(__xludf.DUMMYFUNCTION("AI(""Using the labels""&amp;N14&amp;"" and values ""&amp;M14&amp;"" separated by character '|' and Using ""&amp;L14&amp;"" and key as 'SKU', Create a JSON object"")"),"{""SKU"": ""PR005"", ""Dimension"": ""23.2mm (W) x 15.3mm (H)"", ""Finish"": ""Silver"", ""Profile Length"": ""2m""}")</f>
        <v>{"SKU": "PR005", "Dimension": "23.2mm (W) x 15.3mm (H)", "Finish": "Silver", "Profile Length": "2m"}</v>
      </c>
      <c r="Q14" s="15" t="s">
        <v>92</v>
      </c>
      <c r="R1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Q14:Q17)"),"{""SKU"": [""PR005"", ""PR005-3m-Silver"", ""PR005-B"", ""PR005-W""], ""Dimension"": ""23.2mm (W) x 15.3mm (H)"", ""Finish"": [""Silver"", ""Black"", ""White""], ""Profile Length"": [""2m"", ""3m""]}")</f>
        <v>{"SKU": ["PR005", "PR005-3m-Silver", "PR005-B", "PR005-W"], "Dimension": "23.2mm (W) x 15.3mm (H)", "Finish": ["Silver", "Black", "White"], "Profile Length": ["2m", "3m"]}</v>
      </c>
      <c r="S14" s="17" t="s">
        <v>93</v>
      </c>
      <c r="T14"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Q14:Q17)"),"{ ""Options"": { ""Dimension"": [ {""name"": ""23.2mm (W) x 15.3mm (H)"", ""id"": ""101""} ], ""Finish"": [ {""name"": ""Silver"", ""id"": ""102""}, {""name"": ""Black"", ""id"": ""103""}, {""name"": ""White"", ""id"": ""104""} ], ""Profile Length"": [ {"&amp;"""name"": ""2m"", ""id"": ""105""}, {""name"": ""3m"", ""id"": ""106""} ] }, ""Constraints"": { ""103"": [""106""], ""104"": [""106""] }, ""sku_mappings"": [ { ""sku"": ""PR005"", ""combination"": [""101"", ""102"", ""105""] }, { ""sku"": ""PR005-3m-Silve"&amp;"r"", ""combination"": [""101"", ""102"", ""106""] }, { ""sku"": ""PR005-B"", ""combination"": [""101"", ""103"", ""105""] }, { ""sku"": ""PR005-W"", ""combination"": [""101"", ""104"", ""105""] } ] }")</f>
        <v>{ "Options": { "Dimension": [ {"name": "23.2mm (W) x 15.3mm (H)", "id": "101"} ], "Finish": [ {"name": "Silver", "id": "102"}, {"name": "Black", "id": "103"}, {"name": "White", "id": "104"} ], "Profile Length": [ {"name": "2m", "id": "105"}, {"name": "3m", "id": "106"} ] }, "Constraints": { "103": ["106"], "104": ["106"] }, "sku_mappings": [ { "sku": "PR005", "combination": ["101", "102", "105"] }, { "sku": "PR005-3m-Silver", "combination": ["101", "102", "106"] }, { "sku": "PR005-B", "combination": ["101", "103", "105"] }, { "sku": "PR005-W", "combination": ["101", "104", "105"] } ] }</v>
      </c>
      <c r="U14" s="30" t="s">
        <v>94</v>
      </c>
      <c r="V14" s="31" t="str">
        <f>IFERROR(__xludf.DUMMYFUNCTION("AI(""Extract options object from the json"", U14)"),"{ ""Dimension"": [ {""name"": ""23.2mm (W) x 15.3mm (H)"", ""id"": ""101""} ], ""Finish"": [ {""name"": ""Silver"", ""id"": ""102""}, {""name"": ""Black"", ""id"": ""103""}, {""name"": ""White"", ""id"": ""104""} ], ""Profile Length"": [ {""name"": ""2m"""&amp;", ""id"": ""105""}, {""name"": ""3m"", ""id"": ""106""} ] }")</f>
        <v>{ "Dimension": [ {"name": "23.2mm (W) x 15.3mm (H)", "id": "101"} ], "Finish": [ {"name": "Silver", "id": "102"}, {"name": "Black", "id": "103"}, {"name": "White", "id": "104"} ], "Profile Length": [ {"name": "2m", "id": "105"}, {"name": "3m", "id": "106"} ] }</v>
      </c>
      <c r="W14" s="31" t="str">
        <f>IFERROR(__xludf.DUMMYFUNCTION("AI(""Extract constraints object from the json"", U14)"),"{""103"": [""106""], ""104"": [""106""]}")</f>
        <v>{"103": ["106"], "104": ["106"]}</v>
      </c>
      <c r="X14" s="31" t="str">
        <f>IFERROR(__xludf.DUMMYFUNCTION("AI(""Extract sku_mappings object from the json"", U14)"),"[ { ""sku"": ""PR005"", ""combination"": [""101"", ""102"", ""105""] }, { ""sku"": ""PR005-3m-Silver"", ""combination"": [""101"", ""102"", ""106""] }, { ""sku"": ""PR005-B"", ""combination"": [""101"", ""103"", ""105""] }, { ""sku"": ""PR005-W"", ""combi"&amp;"nation"": [""101"", ""104"", ""105""] } ]")</f>
        <v>[ { "sku": "PR005", "combination": ["101", "102", "105"] }, { "sku": "PR005-3m-Silver", "combination": ["101", "102", "106"] }, { "sku": "PR005-B", "combination": ["101", "103", "105"] }, { "sku": "PR005-W", "combination": ["101", "104", "105"] } ]</v>
      </c>
      <c r="Y14" s="17" t="s">
        <v>40</v>
      </c>
      <c r="Z14" s="17" t="s">
        <v>95</v>
      </c>
      <c r="AA14" s="17" t="s">
        <v>42</v>
      </c>
      <c r="AB14" s="20"/>
      <c r="AC14" s="21" t="str">
        <f>IFERROR(__xludf.DUMMYFUNCTION("AI(""Generate 6 powerful unique keywords for the product in this row separated by comma"")"),"Deep recessed LED channel, Aluminium extrusion profile, Architectural linear housing, Flush mount LED channel, Deep LED light diffuser, Ceiling recessed extrusion")</f>
        <v>Deep recessed LED channel, Aluminium extrusion profile, Architectural linear housing, Flush mount LED channel, Deep LED light diffuser, Ceiling recessed extrusion</v>
      </c>
      <c r="AD14" s="20" t="s">
        <v>96</v>
      </c>
    </row>
    <row r="15">
      <c r="A15" s="10"/>
      <c r="B15" s="11"/>
      <c r="C15" s="22"/>
      <c r="D15" s="22"/>
      <c r="E15" s="22"/>
      <c r="F15" s="23"/>
      <c r="G15" s="24"/>
      <c r="H15" s="23"/>
      <c r="I15" s="22"/>
      <c r="J15" s="22"/>
      <c r="K15" s="22"/>
      <c r="L15" s="11" t="s">
        <v>97</v>
      </c>
      <c r="M15" s="11" t="s">
        <v>98</v>
      </c>
      <c r="N1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""&amp;M15)"),"Dimension | Finish | Profile Length")</f>
        <v>Dimension | Finish | Profile Length</v>
      </c>
      <c r="O15" s="15" t="s">
        <v>36</v>
      </c>
      <c r="P15" s="14" t="str">
        <f>IFERROR(__xludf.DUMMYFUNCTION("AI(""Using the labels""&amp;N15&amp;"" and values ""&amp;M15&amp;"" separated by character '|' and Using ""&amp;L15&amp;"" and key as 'SKU', Create a JSON object"")"),"{""SKU"": ""PR005-3m-Silver"", ""Dimension"": ""23.2mm (W) x 15.3mm (H)"", ""Finish"": ""Silver"", ""Profile Length"": ""3m""}")</f>
        <v>{"SKU": "PR005-3m-Silver", "Dimension": "23.2mm (W) x 15.3mm (H)", "Finish": "Silver", "Profile Length": "3m"}</v>
      </c>
      <c r="Q15" s="15" t="s">
        <v>99</v>
      </c>
      <c r="R15" s="25"/>
      <c r="S15" s="25"/>
      <c r="T15" s="25"/>
      <c r="U15" s="26"/>
      <c r="V15" s="25"/>
      <c r="W15" s="25"/>
      <c r="X15" s="25"/>
      <c r="Y15" s="17" t="s">
        <v>40</v>
      </c>
      <c r="Z15" s="17" t="s">
        <v>95</v>
      </c>
      <c r="AA15" s="17" t="s">
        <v>42</v>
      </c>
      <c r="AB15" s="20"/>
      <c r="AC15" s="20"/>
      <c r="AD15" s="20"/>
    </row>
    <row r="16">
      <c r="A16" s="10"/>
      <c r="B16" s="22"/>
      <c r="C16" s="22"/>
      <c r="D16" s="22"/>
      <c r="E16" s="22"/>
      <c r="F16" s="23"/>
      <c r="G16" s="24"/>
      <c r="H16" s="23"/>
      <c r="I16" s="22"/>
      <c r="J16" s="22"/>
      <c r="K16" s="22"/>
      <c r="L16" s="11" t="s">
        <v>100</v>
      </c>
      <c r="M16" s="11" t="s">
        <v>101</v>
      </c>
      <c r="N1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""&amp;M16)"),"Dimension | Finish | Profile Length")</f>
        <v>Dimension | Finish | Profile Length</v>
      </c>
      <c r="O16" s="15" t="s">
        <v>36</v>
      </c>
      <c r="P16" s="14" t="str">
        <f>IFERROR(__xludf.DUMMYFUNCTION("AI(""Using the labels""&amp;N16&amp;"" and values ""&amp;M16&amp;"" separated by character '|' and Using ""&amp;L16&amp;"" and key as 'SKU', Create a JSON object"")"),"{""SKU"": ""PR005-B"", ""Dimension"": ""23.2mm (W) x 15.3mm (H)"", ""Finish"": ""Black"", ""Profile Length"": ""2m""}")</f>
        <v>{"SKU": "PR005-B", "Dimension": "23.2mm (W) x 15.3mm (H)", "Finish": "Black", "Profile Length": "2m"}</v>
      </c>
      <c r="Q16" s="15" t="s">
        <v>102</v>
      </c>
      <c r="R16" s="25"/>
      <c r="S16" s="25"/>
      <c r="T16" s="25"/>
      <c r="U16" s="26"/>
      <c r="V16" s="25"/>
      <c r="W16" s="25"/>
      <c r="X16" s="25"/>
      <c r="Y16" s="17" t="s">
        <v>40</v>
      </c>
      <c r="Z16" s="17" t="s">
        <v>95</v>
      </c>
      <c r="AA16" s="17" t="s">
        <v>42</v>
      </c>
      <c r="AB16" s="20"/>
      <c r="AC16" s="20"/>
      <c r="AD16" s="20"/>
    </row>
    <row r="17">
      <c r="A17" s="10"/>
      <c r="B17" s="22"/>
      <c r="C17" s="22"/>
      <c r="D17" s="22"/>
      <c r="E17" s="22"/>
      <c r="F17" s="23"/>
      <c r="G17" s="24"/>
      <c r="H17" s="23"/>
      <c r="I17" s="22"/>
      <c r="J17" s="22"/>
      <c r="K17" s="22"/>
      <c r="L17" s="11" t="s">
        <v>103</v>
      </c>
      <c r="M17" s="11" t="s">
        <v>104</v>
      </c>
      <c r="N1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""&amp;M17)"),"Dimension | Finish | Profile Length")</f>
        <v>Dimension | Finish | Profile Length</v>
      </c>
      <c r="O17" s="15" t="s">
        <v>36</v>
      </c>
      <c r="P17" s="14" t="str">
        <f>IFERROR(__xludf.DUMMYFUNCTION("AI(""Using the labels""&amp;N17&amp;"" and values ""&amp;M17&amp;"" separated by character '|' and Using ""&amp;L17&amp;"" and key as 'SKU', Create a JSON object"")"),"{""SKU"": ""PR005-W"", ""Dimension"": ""23.2mm (W) x 15.3mm (H)"", ""Finish"": ""White"", ""Profile Length"": ""2m""}")</f>
        <v>{"SKU": "PR005-W", "Dimension": "23.2mm (W) x 15.3mm (H)", "Finish": "White", "Profile Length": "2m"}</v>
      </c>
      <c r="Q17" s="15" t="s">
        <v>105</v>
      </c>
      <c r="R17" s="25"/>
      <c r="S17" s="25"/>
      <c r="T17" s="25"/>
      <c r="U17" s="26"/>
      <c r="V17" s="25"/>
      <c r="W17" s="25"/>
      <c r="X17" s="25"/>
      <c r="Y17" s="17" t="s">
        <v>40</v>
      </c>
      <c r="Z17" s="17" t="s">
        <v>95</v>
      </c>
      <c r="AA17" s="17" t="s">
        <v>42</v>
      </c>
      <c r="AB17" s="20"/>
      <c r="AC17" s="20"/>
      <c r="AD17" s="20"/>
    </row>
    <row r="18">
      <c r="A18" s="10" t="s">
        <v>106</v>
      </c>
      <c r="B18" s="11" t="s">
        <v>72</v>
      </c>
      <c r="C18" s="11" t="s">
        <v>32</v>
      </c>
      <c r="D18" s="11" t="s">
        <v>107</v>
      </c>
      <c r="E18" s="11" t="s">
        <v>34</v>
      </c>
      <c r="F18" s="23"/>
      <c r="G18" s="24"/>
      <c r="H18" s="23"/>
      <c r="I18" s="22"/>
      <c r="J18" s="22"/>
      <c r="K18" s="22"/>
      <c r="L18" s="11" t="s">
        <v>106</v>
      </c>
      <c r="M18" s="11" t="s">
        <v>108</v>
      </c>
      <c r="N1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""&amp;M18)"),"Dimension | Finish | Profile Length")</f>
        <v>Dimension | Finish | Profile Length</v>
      </c>
      <c r="O18" s="15" t="s">
        <v>36</v>
      </c>
      <c r="P18" s="14" t="str">
        <f>IFERROR(__xludf.DUMMYFUNCTION("AI(""Using the labels""&amp;N18&amp;"" and values ""&amp;M18&amp;"" separated by character '|' and Using ""&amp;L18&amp;"" and key as 'SKU', Create a JSON object"")"),"{""SKU"": ""PR006"", ""Dimension"": ""17.1mm (W) x 15.3mm (H)"", ""Finish"": ""Silver"", ""Profile Length"": ""2m""}")</f>
        <v>{"SKU": "PR006", "Dimension": "17.1mm (W) x 15.3mm (H)", "Finish": "Silver", "Profile Length": "2m"}</v>
      </c>
      <c r="Q18" s="15" t="s">
        <v>109</v>
      </c>
      <c r="R18"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Q18:Q21)"),"{""SKU"": [""PR006"", ""PR006-3m-Silver"", ""PR006-B"", ""PR006-W""], ""Dimension"": ""17.1mm (W) x 15.3mm (H)"", ""Finish"": [""Silver"", ""Black"", ""White""], ""Profile Length"": [""2m"", ""3m""]}")</f>
        <v>{"SKU": ["PR006", "PR006-3m-Silver", "PR006-B", "PR006-W"], "Dimension": "17.1mm (W) x 15.3mm (H)", "Finish": ["Silver", "Black", "White"], "Profile Length": ["2m", "3m"]}</v>
      </c>
      <c r="S18" s="17" t="s">
        <v>110</v>
      </c>
      <c r="T18"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Q18:Q21)"),"{
""Options"": {
""Dimension"": [
{""name"": ""17.1mm (W) x 15.3mm (H)"", ""id"": ""101""}
],
""Finish"": [
{""name"": ""Silver"", ""id"": ""102""},
{""name"": ""Black"", ""id"": ""103""},
{""name"": ""White"", ""id"": ""104""}
],
""Profile Length"": [
{"&amp;"""name"": ""2m"", ""id"": ""105""},
{""name"": ""3m"", ""id"": ""106""}
]
},
""Constraints"": {
""103"": [""106""],
""104"": [""106""]
},
""sku_mappings"": [
{ ""sku"": ""PR006"", ""combination"": [""101"", ""102"", ""105""] },
{ ""sku"": ""PR006-3m-Silve"&amp;"r"", ""combination"": [""101"", ""102"", ""106""] },
{ ""sku"": ""PR006-B"", ""combination"": [""101"", ""103"", ""105""] },
{ ""sku"": ""PR006-W"", ""combination"": [""101"", ""104"", ""105""] }
]
}")</f>
        <v>{
"Options": {
"Dimension": [
{"name": "17.1mm (W) x 15.3mm (H)", "id": "101"}
],
"Finish": [
{"name": "Silver", "id": "102"},
{"name": "Black", "id": "103"},
{"name": "White", "id": "104"}
],
"Profile Length": [
{"name": "2m", "id": "105"},
{"name": "3m", "id": "106"}
]
},
"Constraints": {
"103": ["106"],
"104": ["106"]
},
"sku_mappings": [
{ "sku": "PR006", "combination": ["101", "102", "105"] },
{ "sku": "PR006-3m-Silver", "combination": ["101", "102", "106"] },
{ "sku": "PR006-B", "combination": ["101", "103", "105"] },
{ "sku": "PR006-W", "combination": ["101", "104", "105"] }
]
}</v>
      </c>
      <c r="U18" s="30" t="s">
        <v>111</v>
      </c>
      <c r="V18" s="31" t="str">
        <f>IFERROR(__xludf.DUMMYFUNCTION("AI(""Extract options object from the json"", U18)"),"{""Dimension"": [{""name"": ""17.1mm (W) x 15.3mm (H)"", ""id"": ""101""}], ""Finish"": [{""name"": ""Silver"", ""id"": ""102""}, {""name"": ""Black"", ""id"": ""103""}, {""name"": ""White"", ""id"": ""104""}], ""Profile Length"": [{""name"": ""2m"", ""id"&amp;""": ""105""}, {""name"": ""3m"", ""id"": ""106""}]}")</f>
        <v>{"Dimension": [{"name": "17.1mm (W) x 15.3mm (H)", "id": "101"}], "Finish": [{"name": "Silver", "id": "102"}, {"name": "Black", "id": "103"}, {"name": "White", "id": "104"}], "Profile Length": [{"name": "2m", "id": "105"}, {"name": "3m", "id": "106"}]}</v>
      </c>
      <c r="W18" s="31" t="str">
        <f>IFERROR(__xludf.DUMMYFUNCTION("AI(""Extract constraints object from the json"", U18)"),"{ ""103"": [""106""], ""104"": [""106""] }")</f>
        <v>{ "103": ["106"], "104": ["106"] }</v>
      </c>
      <c r="X18" s="31" t="str">
        <f>IFERROR(__xludf.DUMMYFUNCTION("AI(""Extract sku_mappings object from the json"", U18)"),"[
{ ""sku"": ""PR006"", ""combination"": [""101"", ""102"", ""105""] },
{ ""sku"": ""PR006-3m-Silver"", ""combination"": [""101"", ""102"", ""106""] },
{ ""sku"": ""PR006-B"", ""combination"": [""101"", ""103"", ""105""] },
{ ""sku"": ""PR006-W"", ""combi"&amp;"nation"": [""101"", ""104"", ""105""] }
]")</f>
        <v>[
{ "sku": "PR006", "combination": ["101", "102", "105"] },
{ "sku": "PR006-3m-Silver", "combination": ["101", "102", "106"] },
{ "sku": "PR006-B", "combination": ["101", "103", "105"] },
{ "sku": "PR006-W", "combination": ["101", "104", "105"] }
]</v>
      </c>
      <c r="Y18" s="17" t="s">
        <v>40</v>
      </c>
      <c r="Z18" s="17" t="s">
        <v>112</v>
      </c>
      <c r="AA18" s="17" t="s">
        <v>42</v>
      </c>
      <c r="AB18" s="20"/>
      <c r="AC18" s="21" t="str">
        <f>IFERROR(__xludf.DUMMYFUNCTION("AI(""Generate 6 powerful unique keywords for the product in this row separated by comma"")"),"Deep surfaced LED profile, Aluminium surface mount extrusion, Architectural linear lighting, Deep LED strip channel, Surface mounted light diffuser, Aluminium linear housing")</f>
        <v>Deep surfaced LED profile, Aluminium surface mount extrusion, Architectural linear lighting, Deep LED strip channel, Surface mounted light diffuser, Aluminium linear housing</v>
      </c>
      <c r="AD18" s="20" t="s">
        <v>113</v>
      </c>
    </row>
    <row r="19">
      <c r="A19" s="10"/>
      <c r="B19" s="22"/>
      <c r="C19" s="22"/>
      <c r="D19" s="22"/>
      <c r="E19" s="22"/>
      <c r="F19" s="23"/>
      <c r="G19" s="24"/>
      <c r="H19" s="23"/>
      <c r="I19" s="22"/>
      <c r="J19" s="22"/>
      <c r="K19" s="22"/>
      <c r="L19" s="11" t="s">
        <v>114</v>
      </c>
      <c r="M19" s="11" t="s">
        <v>115</v>
      </c>
      <c r="N1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""&amp;M19)"),"Dimension | Finish | Profile Length")</f>
        <v>Dimension | Finish | Profile Length</v>
      </c>
      <c r="O19" s="15" t="s">
        <v>36</v>
      </c>
      <c r="P19" s="14" t="str">
        <f>IFERROR(__xludf.DUMMYFUNCTION("AI(""Using the labels""&amp;N19&amp;"" and values ""&amp;M19&amp;"" separated by character '|' and Using ""&amp;L19&amp;"" and key as 'SKU', Create a JSON object"")"),"{""SKU"": ""PR006-3m-Silver"", ""Dimension"": ""17.1mm (W) x 15.3mm (H)"", ""Finish"": ""Silver"", ""Profile Length"": ""3m""}")</f>
        <v>{"SKU": "PR006-3m-Silver", "Dimension": "17.1mm (W) x 15.3mm (H)", "Finish": "Silver", "Profile Length": "3m"}</v>
      </c>
      <c r="Q19" s="15" t="s">
        <v>116</v>
      </c>
      <c r="R19" s="25"/>
      <c r="S19" s="25"/>
      <c r="T19" s="25"/>
      <c r="U19" s="26"/>
      <c r="V19" s="25"/>
      <c r="W19" s="25"/>
      <c r="X19" s="25"/>
      <c r="Y19" s="17" t="s">
        <v>40</v>
      </c>
      <c r="Z19" s="17" t="s">
        <v>112</v>
      </c>
      <c r="AA19" s="17" t="s">
        <v>42</v>
      </c>
      <c r="AB19" s="20"/>
      <c r="AC19" s="20"/>
      <c r="AD19" s="20"/>
    </row>
    <row r="20">
      <c r="A20" s="10"/>
      <c r="B20" s="22"/>
      <c r="C20" s="22"/>
      <c r="D20" s="22"/>
      <c r="E20" s="22"/>
      <c r="F20" s="23"/>
      <c r="G20" s="24"/>
      <c r="H20" s="23"/>
      <c r="I20" s="22"/>
      <c r="J20" s="22"/>
      <c r="K20" s="22"/>
      <c r="L20" s="11" t="s">
        <v>117</v>
      </c>
      <c r="M20" s="11" t="s">
        <v>118</v>
      </c>
      <c r="N2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""&amp;M20)"),"Dimension | Finish | Profile Length")</f>
        <v>Dimension | Finish | Profile Length</v>
      </c>
      <c r="O20" s="15" t="s">
        <v>36</v>
      </c>
      <c r="P20" s="14" t="str">
        <f>IFERROR(__xludf.DUMMYFUNCTION("AI(""Using the labels""&amp;N20&amp;"" and values ""&amp;M20&amp;"" separated by character '|' and Using ""&amp;L20&amp;"" and key as 'SKU', Create a JSON object"")"),"{""SKU"": ""PR006-B"", ""Dimension"": ""17.1mm (W) x 15.3mm (H)"", ""Finish"": ""Black"", ""Profile Length"": ""2m""}")</f>
        <v>{"SKU": "PR006-B", "Dimension": "17.1mm (W) x 15.3mm (H)", "Finish": "Black", "Profile Length": "2m"}</v>
      </c>
      <c r="Q20" s="15" t="s">
        <v>119</v>
      </c>
      <c r="R20" s="25"/>
      <c r="S20" s="25"/>
      <c r="T20" s="25"/>
      <c r="U20" s="26"/>
      <c r="V20" s="25"/>
      <c r="W20" s="25"/>
      <c r="X20" s="25"/>
      <c r="Y20" s="17" t="s">
        <v>40</v>
      </c>
      <c r="Z20" s="17" t="s">
        <v>112</v>
      </c>
      <c r="AA20" s="17" t="s">
        <v>42</v>
      </c>
      <c r="AB20" s="20"/>
      <c r="AC20" s="20"/>
      <c r="AD20" s="20"/>
    </row>
    <row r="21">
      <c r="A21" s="10"/>
      <c r="B21" s="11"/>
      <c r="C21" s="11"/>
      <c r="D21" s="10"/>
      <c r="E21" s="11"/>
      <c r="F21" s="12"/>
      <c r="G21" s="13"/>
      <c r="H21" s="12"/>
      <c r="I21" s="11"/>
      <c r="J21" s="22"/>
      <c r="K21" s="22"/>
      <c r="L21" s="11" t="s">
        <v>120</v>
      </c>
      <c r="M21" s="11" t="s">
        <v>121</v>
      </c>
      <c r="N2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""&amp;M21)"),"Dimension | Finish | Profile Length")</f>
        <v>Dimension | Finish | Profile Length</v>
      </c>
      <c r="O21" s="15" t="s">
        <v>36</v>
      </c>
      <c r="P21" s="14" t="str">
        <f>IFERROR(__xludf.DUMMYFUNCTION("AI(""Using the labels""&amp;N21&amp;"" and values ""&amp;M21&amp;"" separated by character '|' and Using ""&amp;L21&amp;"" and key as 'SKU', Create a JSON object"")"),"{""SKU"": ""PR006-W"", ""Dimension"": ""17.1mm (W) x 15.3mm (H)"", ""Finish"": ""White"", ""Profile Length"": ""2m""}")</f>
        <v>{"SKU": "PR006-W", "Dimension": "17.1mm (W) x 15.3mm (H)", "Finish": "White", "Profile Length": "2m"}</v>
      </c>
      <c r="Q21" s="15" t="s">
        <v>122</v>
      </c>
      <c r="R21" s="27"/>
      <c r="S21" s="28"/>
      <c r="T21" s="27"/>
      <c r="U21" s="29"/>
      <c r="V21" s="17"/>
      <c r="W21" s="17"/>
      <c r="X21" s="17"/>
      <c r="Y21" s="17" t="s">
        <v>40</v>
      </c>
      <c r="Z21" s="17" t="s">
        <v>112</v>
      </c>
      <c r="AA21" s="17" t="s">
        <v>42</v>
      </c>
      <c r="AB21" s="20"/>
      <c r="AC21" s="20"/>
      <c r="AD21" s="20"/>
    </row>
    <row r="22">
      <c r="A22" s="10" t="s">
        <v>123</v>
      </c>
      <c r="B22" s="11" t="s">
        <v>124</v>
      </c>
      <c r="C22" s="11" t="s">
        <v>32</v>
      </c>
      <c r="D22" s="11" t="s">
        <v>125</v>
      </c>
      <c r="E22" s="11" t="s">
        <v>34</v>
      </c>
      <c r="F22" s="23"/>
      <c r="G22" s="24"/>
      <c r="H22" s="23"/>
      <c r="I22" s="22"/>
      <c r="J22" s="22"/>
      <c r="K22" s="22"/>
      <c r="L22" s="11" t="s">
        <v>123</v>
      </c>
      <c r="M22" s="11" t="s">
        <v>126</v>
      </c>
      <c r="N2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""&amp;M22)"),"Dimension | Finish | Profile Length")</f>
        <v>Dimension | Finish | Profile Length</v>
      </c>
      <c r="O22" s="15" t="s">
        <v>36</v>
      </c>
      <c r="P22" s="14" t="str">
        <f>IFERROR(__xludf.DUMMYFUNCTION("AI(""Using the labels""&amp;N22&amp;"" and values ""&amp;M22&amp;"" separated by character '|' and Using ""&amp;L22&amp;"" and key as 'SKU', Create a JSON object"")"),"{""SKU"": ""PR007"", ""Dimension"": ""16mm (W) x 16mm (H)"", ""Finish"": ""Silver"", ""Profile Length"": ""2m""}")</f>
        <v>{"SKU": "PR007", "Dimension": "16mm (W) x 16mm (H)", "Finish": "Silver", "Profile Length": "2m"}</v>
      </c>
      <c r="Q22" s="15" t="s">
        <v>127</v>
      </c>
      <c r="R2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Q22)"),"{""SKU"": ""PR007"", ""Dimension"": ""16mm (W) x 16mm (H)"", ""Finish"": ""Silver"", ""Profile Length"": ""2m""}")</f>
        <v>{"SKU": "PR007", "Dimension": "16mm (W) x 16mm (H)", "Finish": "Silver", "Profile Length": "2m"}</v>
      </c>
      <c r="S22" s="17" t="s">
        <v>127</v>
      </c>
      <c r="T2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Q22)"),"{
""Options"": {
""Dimension"": [
{""name"": ""16mm (W) x 16mm (H)"", ""id"": ""101""}
],
""Finish"": [
{""name"": ""Silver"", ""id"": ""102""}
],
""Profile Length"": [
{""name"": ""2m"", ""id"": ""103""}
]
},
""Constraints"": {},
""sku_mappings"": [
{ """&amp;"sku"": ""PR007"", ""combination"": [""101"", ""102"", ""103""] }
]
}")</f>
        <v>{
"Options": {
"Dimension": [
{"name": "16mm (W) x 16mm (H)", "id": "101"}
],
"Finish": [
{"name": "Silver", "id": "102"}
],
"Profile Length": [
{"name": "2m", "id": "103"}
]
},
"Constraints": {},
"sku_mappings": [
{ "sku": "PR007", "combination": ["101", "102", "103"] }
]
}</v>
      </c>
      <c r="U22" s="30" t="s">
        <v>128</v>
      </c>
      <c r="V22" s="31" t="str">
        <f>IFERROR(__xludf.DUMMYFUNCTION("AI(""Extract options object from the json"", U22)"),"{""Dimension"": [{""name"": ""16mm (W) x 16mm (H)"", ""id"": ""101""}], ""Finish"": [{""name"": ""Silver"", ""id"": ""102""}], ""Profile Length"": [{""name"": ""2m"", ""id"": ""103""}]}")</f>
        <v>{"Dimension": [{"name": "16mm (W) x 16mm (H)", "id": "101"}], "Finish": [{"name": "Silver", "id": "102"}], "Profile Length": [{"name": "2m", "id": "103"}]}</v>
      </c>
      <c r="W22" s="31" t="str">
        <f>IFERROR(__xludf.DUMMYFUNCTION("AI(""Extract constraints object from the json"", U22)"),"{}")</f>
        <v>{}</v>
      </c>
      <c r="X22" s="31" t="str">
        <f>IFERROR(__xludf.DUMMYFUNCTION("AI(""Extract sku_mappings object from the json"", U22)"),"[ { ""sku"": ""PR007"", ""combination"": [""101"", ""102"", ""103""] } ]")</f>
        <v>[ { "sku": "PR007", "combination": ["101", "102", "103"] } ]</v>
      </c>
      <c r="Y22" s="17" t="s">
        <v>40</v>
      </c>
      <c r="Z22" s="17" t="s">
        <v>129</v>
      </c>
      <c r="AA22" s="17" t="s">
        <v>42</v>
      </c>
      <c r="AB22" s="20"/>
      <c r="AC22" s="21" t="str">
        <f>IFERROR(__xludf.DUMMYFUNCTION("AI(""Generate 6 powerful unique keywords for the product in this row separated by comma"")"),"Square corner LED channel, Aluminium extrusion profile, Corner LED light housing, 16mm square aluminum profile, LED strip corner channel, Silver aluminum LED profile")</f>
        <v>Square corner LED channel, Aluminium extrusion profile, Corner LED light housing, 16mm square aluminum profile, LED strip corner channel, Silver aluminum LED profile</v>
      </c>
      <c r="AD22" s="20" t="s">
        <v>130</v>
      </c>
    </row>
    <row r="23">
      <c r="A23" s="10" t="s">
        <v>131</v>
      </c>
      <c r="B23" s="11" t="s">
        <v>132</v>
      </c>
      <c r="C23" s="11" t="s">
        <v>32</v>
      </c>
      <c r="D23" s="10" t="s">
        <v>125</v>
      </c>
      <c r="E23" s="11" t="s">
        <v>34</v>
      </c>
      <c r="F23" s="12"/>
      <c r="G23" s="13"/>
      <c r="H23" s="12"/>
      <c r="I23" s="11"/>
      <c r="J23" s="22"/>
      <c r="K23" s="22"/>
      <c r="L23" s="11" t="s">
        <v>131</v>
      </c>
      <c r="M23" s="11" t="s">
        <v>126</v>
      </c>
      <c r="N2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""&amp;M23)"),"Dimension | Finish | Profile Length")</f>
        <v>Dimension | Finish | Profile Length</v>
      </c>
      <c r="O23" s="15" t="s">
        <v>36</v>
      </c>
      <c r="P23" s="14" t="str">
        <f>IFERROR(__xludf.DUMMYFUNCTION("AI(""Using the labels""&amp;N23&amp;"" and values ""&amp;M23&amp;"" separated by character '|' and Using ""&amp;L23&amp;"" and key as 'SKU', Create a JSON object"")"),"{""SKU"": ""PR008"", ""Dimension"": ""16mm (W) x 16mm (H)"", ""Finish"": ""Silver"", ""Profile Length"": ""2m""}")</f>
        <v>{"SKU": "PR008", "Dimension": "16mm (W) x 16mm (H)", "Finish": "Silver", "Profile Length": "2m"}</v>
      </c>
      <c r="Q23" s="15" t="s">
        <v>133</v>
      </c>
      <c r="R2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Q23:Q26)"),"{""SKU"": [""PR008"", ""PR008-3m-Silver"", ""PR008-B"", ""PR008-W""], ""Dimension"": ""16mm (W) x 16mm (H)"", ""Finish"": [""Silver"", ""Black"", ""White""], ""Profile Length"": ""2m""}")</f>
        <v>{"SKU": ["PR008", "PR008-3m-Silver", "PR008-B", "PR008-W"], "Dimension": "16mm (W) x 16mm (H)", "Finish": ["Silver", "Black", "White"], "Profile Length": "2m"}</v>
      </c>
      <c r="S23" s="17" t="s">
        <v>134</v>
      </c>
      <c r="T2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Q23:Q26)"),"{ ""Options"": { ""Dimension"": [ {""name"": ""16mm (W) x 16mm (H)"", ""id"": ""101""} ], ""Finish"": [ {""name"": ""Silver"", ""id"": ""102""}, {""name"": ""Black"", ""id"": ""103""}, {""name"": ""White"", ""id"": ""104""} ], ""Profile Length"": [ {""nam"&amp;"e"": ""2m"", ""id"": ""105""} ] }, ""Constraints"": {}, ""sku_mappings"": [ { ""sku"": ""PR008"", ""combination"": [""101"", ""102"", ""105""] }, { ""sku"": ""PR008-3m-Silver"", ""combination"": [""101"", ""102"", ""105""] }, { ""sku"": ""PR008-B"", ""com"&amp;"bination"": [""101"", ""103"", ""105""] }, { ""sku"": ""PR008-W"", ""combination"": [""101"", ""104"", ""105""] } ] }")</f>
        <v>{ "Options": { "Dimension": [ {"name": "16mm (W) x 16mm (H)", "id": "101"} ], "Finish": [ {"name": "Silver", "id": "102"}, {"name": "Black", "id": "103"}, {"name": "White", "id": "104"} ], "Profile Length": [ {"name": "2m", "id": "105"} ] }, "Constraints": {}, "sku_mappings": [ { "sku": "PR008", "combination": ["101", "102", "105"] }, { "sku": "PR008-3m-Silver", "combination": ["101", "102", "105"] }, { "sku": "PR008-B", "combination": ["101", "103", "105"] }, { "sku": "PR008-W", "combination": ["101", "104", "105"] } ] }</v>
      </c>
      <c r="U23" s="30" t="s">
        <v>135</v>
      </c>
      <c r="V23" s="19" t="str">
        <f>IFERROR(__xludf.DUMMYFUNCTION("AI(""Extract options object from the json"", U23)"),"{""Dimension"": [{""name"": ""16mm (W) x 16mm (H)"", ""id"": ""101""}], ""Finish"": [{""name"": ""Silver"", ""id"": ""102""}, {""name"": ""Black"", ""id"": ""103""}, {""name"": ""White"", ""id"": ""104""}], ""Profile Length"": [{""name"": ""2m"", ""id"": "&amp;"""105""}]}")</f>
        <v>{"Dimension": [{"name": "16mm (W) x 16mm (H)", "id": "101"}], "Finish": [{"name": "Silver", "id": "102"}, {"name": "Black", "id": "103"}, {"name": "White", "id": "104"}], "Profile Length": [{"name": "2m", "id": "105"}]}</v>
      </c>
      <c r="W23" s="19" t="str">
        <f>IFERROR(__xludf.DUMMYFUNCTION("AI(""Extract constraints object from the json"", U23)"),"{}")</f>
        <v>{}</v>
      </c>
      <c r="X23" s="19" t="str">
        <f>IFERROR(__xludf.DUMMYFUNCTION("AI(""Extract sku_mappings object from the json"", U23)"),"[ { ""sku"": ""PR008"", ""combination"": [""101"", ""102"", ""105""] }, { ""sku"": ""PR008-3m-Silver"", ""combination"": [""101"", ""102"", ""105""] }, { ""sku"": ""PR008-B"", ""combination"": [""101"", ""103"", ""105""] }, { ""sku"": ""PR008-W"", ""combi"&amp;"nation"": [""101"", ""104"", ""105""] } ]")</f>
        <v>[ { "sku": "PR008", "combination": ["101", "102", "105"] }, { "sku": "PR008-3m-Silver", "combination": ["101", "102", "105"] }, { "sku": "PR008-B", "combination": ["101", "103", "105"] }, { "sku": "PR008-W", "combination": ["101", "104", "105"] } ]</v>
      </c>
      <c r="Y23" s="17" t="s">
        <v>40</v>
      </c>
      <c r="Z23" s="17" t="s">
        <v>136</v>
      </c>
      <c r="AA23" s="17" t="s">
        <v>42</v>
      </c>
      <c r="AB23" s="20"/>
      <c r="AC23" s="21" t="str">
        <f>IFERROR(__xludf.DUMMYFUNCTION("AI(""Generate 6 powerful unique keywords for the product in this row separated by comma"")"),"Round corner LED channel, Aluminium extrusion profile, Curved corner LED housing, 16mm round aluminum profile, LED strip corner channel, Round profile LED light diffuser")</f>
        <v>Round corner LED channel, Aluminium extrusion profile, Curved corner LED housing, 16mm round aluminum profile, LED strip corner channel, Round profile LED light diffuser</v>
      </c>
      <c r="AD23" s="20" t="s">
        <v>137</v>
      </c>
    </row>
    <row r="24">
      <c r="A24" s="10"/>
      <c r="B24" s="22"/>
      <c r="C24" s="22"/>
      <c r="D24" s="22"/>
      <c r="E24" s="22"/>
      <c r="F24" s="23"/>
      <c r="G24" s="24"/>
      <c r="H24" s="23"/>
      <c r="I24" s="22"/>
      <c r="J24" s="22"/>
      <c r="K24" s="22"/>
      <c r="L24" s="11" t="s">
        <v>138</v>
      </c>
      <c r="M24" s="11" t="s">
        <v>126</v>
      </c>
      <c r="N2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""&amp;M24)"),"Dimension | Finish | Profile Length")</f>
        <v>Dimension | Finish | Profile Length</v>
      </c>
      <c r="O24" s="15" t="s">
        <v>36</v>
      </c>
      <c r="P24" s="14" t="str">
        <f>IFERROR(__xludf.DUMMYFUNCTION("AI(""Using the labels""&amp;N24&amp;"" and values ""&amp;M24&amp;"" separated by character '|' and Using ""&amp;L24&amp;"" and key as 'SKU', Create a JSON object"")"),"{""SKU"": ""PR008-3m-Silver"", ""Dimension"": ""16mm (W) x 16mm (H)"", ""Finish"": ""Silver"", ""Profile Length"": ""2m""}")</f>
        <v>{"SKU": "PR008-3m-Silver", "Dimension": "16mm (W) x 16mm (H)", "Finish": "Silver", "Profile Length": "2m"}</v>
      </c>
      <c r="Q24" s="15" t="s">
        <v>139</v>
      </c>
      <c r="R24" s="25"/>
      <c r="S24" s="25"/>
      <c r="T24" s="25"/>
      <c r="U24" s="26"/>
      <c r="V24" s="25"/>
      <c r="W24" s="25"/>
      <c r="X24" s="25"/>
      <c r="Y24" s="17" t="s">
        <v>40</v>
      </c>
      <c r="Z24" s="17" t="s">
        <v>136</v>
      </c>
      <c r="AA24" s="17" t="s">
        <v>42</v>
      </c>
      <c r="AB24" s="20"/>
      <c r="AC24" s="20"/>
      <c r="AD24" s="20"/>
    </row>
    <row r="25">
      <c r="A25" s="10"/>
      <c r="B25" s="22"/>
      <c r="C25" s="22"/>
      <c r="D25" s="22"/>
      <c r="E25" s="22"/>
      <c r="F25" s="23"/>
      <c r="G25" s="24"/>
      <c r="H25" s="23"/>
      <c r="I25" s="22"/>
      <c r="J25" s="22"/>
      <c r="K25" s="22"/>
      <c r="L25" s="11" t="s">
        <v>140</v>
      </c>
      <c r="M25" s="11" t="s">
        <v>141</v>
      </c>
      <c r="N2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""&amp;M25)"),"Dimension | Finish | Profile Length")</f>
        <v>Dimension | Finish | Profile Length</v>
      </c>
      <c r="O25" s="15" t="s">
        <v>36</v>
      </c>
      <c r="P25" s="14" t="str">
        <f>IFERROR(__xludf.DUMMYFUNCTION("AI(""Using the labels""&amp;N25&amp;"" and values ""&amp;M25&amp;"" separated by character '|' and Using ""&amp;L25&amp;"" and key as 'SKU', Create a JSON object"")"),"{""SKU"": ""PR008-B"", ""Dimension"": ""16mm (W) x 16mm (H)"", ""Finish"": ""Black"", ""Profile Length"": ""2m""}")</f>
        <v>{"SKU": "PR008-B", "Dimension": "16mm (W) x 16mm (H)", "Finish": "Black", "Profile Length": "2m"}</v>
      </c>
      <c r="Q25" s="15" t="s">
        <v>142</v>
      </c>
      <c r="R25" s="25"/>
      <c r="S25" s="25"/>
      <c r="T25" s="25"/>
      <c r="U25" s="26"/>
      <c r="V25" s="25"/>
      <c r="W25" s="25"/>
      <c r="X25" s="25"/>
      <c r="Y25" s="17" t="s">
        <v>40</v>
      </c>
      <c r="Z25" s="17" t="s">
        <v>136</v>
      </c>
      <c r="AA25" s="17" t="s">
        <v>42</v>
      </c>
      <c r="AB25" s="20"/>
      <c r="AC25" s="20"/>
      <c r="AD25" s="20"/>
    </row>
    <row r="26">
      <c r="A26" s="10"/>
      <c r="B26" s="11"/>
      <c r="C26" s="22"/>
      <c r="D26" s="22"/>
      <c r="E26" s="22"/>
      <c r="F26" s="23"/>
      <c r="G26" s="24"/>
      <c r="H26" s="23"/>
      <c r="I26" s="22"/>
      <c r="J26" s="22"/>
      <c r="K26" s="22"/>
      <c r="L26" s="11" t="s">
        <v>143</v>
      </c>
      <c r="M26" s="11" t="s">
        <v>144</v>
      </c>
      <c r="N2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""&amp;M26)"),"Dimension | Finish | Profile Length")</f>
        <v>Dimension | Finish | Profile Length</v>
      </c>
      <c r="O26" s="15" t="s">
        <v>36</v>
      </c>
      <c r="P26" s="14" t="str">
        <f>IFERROR(__xludf.DUMMYFUNCTION("AI(""Using the labels""&amp;N26&amp;"" and values ""&amp;M26&amp;"" separated by character '|' and Using ""&amp;L26&amp;"" and key as 'SKU', Create a JSON object"")"),"{""SKU"": ""PR008-W"", ""Dimension"": ""16mm (W) x 16mm (H)"", ""Finish"": ""White"", ""Profile Length"": ""2m""}")</f>
        <v>{"SKU": "PR008-W", "Dimension": "16mm (W) x 16mm (H)", "Finish": "White", "Profile Length": "2m"}</v>
      </c>
      <c r="Q26" s="15" t="s">
        <v>145</v>
      </c>
      <c r="R26" s="25"/>
      <c r="S26" s="25"/>
      <c r="T26" s="25"/>
      <c r="U26" s="26"/>
      <c r="V26" s="25"/>
      <c r="W26" s="25"/>
      <c r="X26" s="25"/>
      <c r="Y26" s="17" t="s">
        <v>40</v>
      </c>
      <c r="Z26" s="17" t="s">
        <v>136</v>
      </c>
      <c r="AA26" s="17" t="s">
        <v>42</v>
      </c>
      <c r="AB26" s="20"/>
      <c r="AC26" s="20"/>
      <c r="AD26" s="20"/>
    </row>
    <row r="27">
      <c r="A27" s="10" t="s">
        <v>146</v>
      </c>
      <c r="B27" s="11" t="s">
        <v>147</v>
      </c>
      <c r="C27" s="11" t="s">
        <v>32</v>
      </c>
      <c r="D27" s="10" t="s">
        <v>125</v>
      </c>
      <c r="E27" s="11" t="s">
        <v>34</v>
      </c>
      <c r="F27" s="12"/>
      <c r="G27" s="13"/>
      <c r="H27" s="12"/>
      <c r="I27" s="11"/>
      <c r="J27" s="22"/>
      <c r="K27" s="22"/>
      <c r="L27" s="11" t="s">
        <v>146</v>
      </c>
      <c r="M27" s="11" t="s">
        <v>148</v>
      </c>
      <c r="N2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""&amp;M27)"),"Dimension | Finish | Profile Length")</f>
        <v>Dimension | Finish | Profile Length</v>
      </c>
      <c r="O27" s="15" t="s">
        <v>36</v>
      </c>
      <c r="P27" s="14" t="str">
        <f>IFERROR(__xludf.DUMMYFUNCTION("AI(""Using the labels""&amp;N27&amp;"" and values ""&amp;M27&amp;"" separated by character '|' and Using ""&amp;L27&amp;"" and key as 'SKU', Create a JSON object"")"),"{""SKU"": ""PR009"", ""Dimension"": ""18.4mm (W) x 18.4mm (H)"", ""Finish"": ""Silver"", ""Profile Length"": ""2m""}")</f>
        <v>{"SKU": "PR009", "Dimension": "18.4mm (W) x 18.4mm (H)", "Finish": "Silver", "Profile Length": "2m"}</v>
      </c>
      <c r="Q27" s="15" t="s">
        <v>149</v>
      </c>
      <c r="R27"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Q27)"),"{""SKU"": ""PR009"", ""Dimension"": ""18.4mm (W) x 18.4mm (H)"", ""Finish"": ""Silver"", ""Profile Length"": ""2m""}")</f>
        <v>{"SKU": "PR009", "Dimension": "18.4mm (W) x 18.4mm (H)", "Finish": "Silver", "Profile Length": "2m"}</v>
      </c>
      <c r="S27" s="17" t="s">
        <v>149</v>
      </c>
      <c r="T27"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Q27)"),"{
""Options"": {
""Dimension"": [
{ ""name"": ""18.4mm (W) x 18.4mm (H)"", ""id"": ""101"" }
],
""Finish"": [
{ ""name"": ""Silver"", ""id"": ""102"" }
],
""Profile Length"": [
{ ""name"": ""2m"", ""id"": ""103"" }
]
},
""Constraints"": {},
""sku_mappings"&amp;""": [
{ ""sku"": ""PR009"", ""combination"": [""101"", ""102"", ""103""] }
]
}")</f>
        <v>{
"Options": {
"Dimension": [
{ "name": "18.4mm (W) x 18.4mm (H)", "id": "101" }
],
"Finish": [
{ "name": "Silver", "id": "102" }
],
"Profile Length": [
{ "name": "2m", "id": "103" }
]
},
"Constraints": {},
"sku_mappings": [
{ "sku": "PR009", "combination": ["101", "102", "103"] }
]
}</v>
      </c>
      <c r="U27" s="30" t="s">
        <v>150</v>
      </c>
      <c r="V27" s="19" t="str">
        <f>IFERROR(__xludf.DUMMYFUNCTION("AI(""Extract options object from the json"", U27)"),"{""Dimension"": [{""name"": ""18.4mm (W) x 18.4mm (H)"", ""id"": ""101""}], ""Finish"": [{""name"": ""Silver"", ""id"": ""102""}], ""Profile Length"": [{""name"": ""2m"", ""id"": ""103""}]}")</f>
        <v>{"Dimension": [{"name": "18.4mm (W) x 18.4mm (H)", "id": "101"}], "Finish": [{"name": "Silver", "id": "102"}], "Profile Length": [{"name": "2m", "id": "103"}]}</v>
      </c>
      <c r="W27" s="19" t="str">
        <f>IFERROR(__xludf.DUMMYFUNCTION("AI(""Extract constraints object from the json"", U27)"),"{}")</f>
        <v>{}</v>
      </c>
      <c r="X27" s="19" t="str">
        <f>IFERROR(__xludf.DUMMYFUNCTION("AI(""Extract sku_mappings object from the json"", U27)"),"[ { ""sku"": ""PR009"", ""combination"": [""101"", ""102"", ""103""] } ]")</f>
        <v>[ { "sku": "PR009", "combination": ["101", "102", "103"] } ]</v>
      </c>
      <c r="Y27" s="17" t="s">
        <v>40</v>
      </c>
      <c r="Z27" s="17" t="s">
        <v>151</v>
      </c>
      <c r="AA27" s="17" t="s">
        <v>42</v>
      </c>
      <c r="AB27" s="20"/>
      <c r="AC27" s="21" t="str">
        <f>IFERROR(__xludf.DUMMYFUNCTION("AI(""Generate 6 powerful unique keywords for the product in this row separated by comma"")"),"Aluminium flat corner profile, Corner LED channel, Silver aluminum extrusion, 90 degree LED profile, Corner mounted light channel, Linear corner diffuser")</f>
        <v>Aluminium flat corner profile, Corner LED channel, Silver aluminum extrusion, 90 degree LED profile, Corner mounted light channel, Linear corner diffuser</v>
      </c>
      <c r="AD27" s="20" t="s">
        <v>152</v>
      </c>
    </row>
    <row r="28">
      <c r="A28" s="10" t="s">
        <v>153</v>
      </c>
      <c r="B28" s="11" t="s">
        <v>72</v>
      </c>
      <c r="C28" s="11" t="s">
        <v>32</v>
      </c>
      <c r="D28" s="10" t="s">
        <v>73</v>
      </c>
      <c r="E28" s="11" t="s">
        <v>34</v>
      </c>
      <c r="F28" s="12"/>
      <c r="G28" s="13"/>
      <c r="H28" s="12"/>
      <c r="I28" s="11"/>
      <c r="J28" s="22"/>
      <c r="K28" s="22"/>
      <c r="L28" s="11" t="s">
        <v>153</v>
      </c>
      <c r="M28" s="11" t="s">
        <v>154</v>
      </c>
      <c r="N2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""&amp;M28)"),"Dimension | Finish | Profile Length")</f>
        <v>Dimension | Finish | Profile Length</v>
      </c>
      <c r="O28" s="15" t="s">
        <v>36</v>
      </c>
      <c r="P28" s="14" t="str">
        <f>IFERROR(__xludf.DUMMYFUNCTION("AI(""Using the labels""&amp;N28&amp;"" and values ""&amp;M28&amp;"" separated by character '|' and Using ""&amp;L28&amp;"" and key as 'SKU', Create a JSON object"")"),"{""SKU"": ""PR016"", ""Dimension"": ""23.5mm (W) x 10.9mm (H)"", ""Finish"": ""Silver"", ""Profile Length"": ""2m""}")</f>
        <v>{"SKU": "PR016", "Dimension": "23.5mm (W) x 10.9mm (H)", "Finish": "Silver", "Profile Length": "2m"}</v>
      </c>
      <c r="Q28" s="15" t="s">
        <v>155</v>
      </c>
      <c r="R28"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Q28:Q31)"),"{""SKU"": [""PR016"", ""PR016-3m-Silver"", ""PR016-B"", ""PR016-W""], ""Dimension"": ""23.5mm (W) x 10.9mm (H)"", ""Finish"": [""Silver"", ""Black"", ""White""], ""Profile Length"": [""2m"", ""3m""]}")</f>
        <v>{"SKU": ["PR016", "PR016-3m-Silver", "PR016-B", "PR016-W"], "Dimension": "23.5mm (W) x 10.9mm (H)", "Finish": ["Silver", "Black", "White"], "Profile Length": ["2m", "3m"]}</v>
      </c>
      <c r="S28" s="17" t="s">
        <v>156</v>
      </c>
      <c r="T28"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Q28:Q31)"),"{
""Options"": {
""Dimension"": [
{""name"": ""23.5mm (W) x 10.9mm (H)"", ""id"": ""101""}
],
""Finish"": [
{""name"": ""Silver"", ""id"": ""102""},
{""name"": ""Black"", ""id"": ""103""},
{""name"": ""White"", ""id"": ""104""}
],
""Profile Length"": [
{"&amp;"""name"": ""2m"", ""id"": ""105""},
{""name"": ""3m"", ""id"": ""106""}
]
},
""Constraints"": {
""103"": [""106""],
""104"": [""106""]
},
""sku_mappings"": [
{ ""sku"": ""PR016"", ""combination"": [""101"", ""102"", ""105""] },
{ ""sku"": ""PR016-3m-Silve"&amp;"r"", ""combination"": [""101"", ""102"", ""106""] },
{ ""sku"": ""PR016-B"", ""combination"": [""101"", ""103"", ""105""] },
{ ""sku"": ""PR016-W"", ""combination"": [""101"", ""104"", ""105""] }
]
}")</f>
        <v>{
"Options": {
"Dimension": [
{"name": "23.5mm (W) x 10.9mm (H)", "id": "101"}
],
"Finish": [
{"name": "Silver", "id": "102"},
{"name": "Black", "id": "103"},
{"name": "White", "id": "104"}
],
"Profile Length": [
{"name": "2m", "id": "105"},
{"name": "3m", "id": "106"}
]
},
"Constraints": {
"103": ["106"],
"104": ["106"]
},
"sku_mappings": [
{ "sku": "PR016", "combination": ["101", "102", "105"] },
{ "sku": "PR016-3m-Silver", "combination": ["101", "102", "106"] },
{ "sku": "PR016-B", "combination": ["101", "103", "105"] },
{ "sku": "PR016-W", "combination": ["101", "104", "105"] }
]
}</v>
      </c>
      <c r="U28" s="30" t="s">
        <v>157</v>
      </c>
      <c r="V28" s="19" t="str">
        <f>IFERROR(__xludf.DUMMYFUNCTION("AI(""Extract options object from the json"", U28)"),"{""Dimension"": [{""name"": ""23.5mm (W) x 10.9mm (H)"", ""id"": ""101""}], ""Finish"": [{""name"": ""Silver"", ""id"": ""102""}, {""name"": ""Black"", ""id"": ""103""}, {""name"": ""White"", ""id"": ""104""}], ""Profile Length"": [{""name"": ""2m"", ""id"&amp;""": ""105""}, {""name"": ""3m"", ""id"": ""106""}]}")</f>
        <v>{"Dimension": [{"name": "23.5mm (W) x 10.9mm (H)", "id": "101"}], "Finish": [{"name": "Silver", "id": "102"}, {"name": "Black", "id": "103"}, {"name": "White", "id": "104"}], "Profile Length": [{"name": "2m", "id": "105"}, {"name": "3m", "id": "106"}]}</v>
      </c>
      <c r="W28" s="19" t="str">
        <f>IFERROR(__xludf.DUMMYFUNCTION("AI(""Extract constraints object from the json"", U28)"),"{ ""103"": [""106""], ""104"": [""106""] }")</f>
        <v>{ "103": ["106"], "104": ["106"] }</v>
      </c>
      <c r="X28" s="19" t="str">
        <f>IFERROR(__xludf.DUMMYFUNCTION("AI(""Extract sku_mappings object from the json"", U28)"),"[
{ ""sku"": ""PR016"", ""combination"": [""101"", ""102"", ""105""] },
{ ""sku"": ""PR016-3m-Silver"", ""combination"": [""101"", ""102"", ""106""] },
{ ""sku"": ""PR016-B"", ""combination"": [""101"", ""103"", ""105""] },
{ ""sku"": ""PR016-W"", ""combi"&amp;"nation"": [""101"", ""104"", ""105""] }
]")</f>
        <v>[
{ "sku": "PR016", "combination": ["101", "102", "105"] },
{ "sku": "PR016-3m-Silver", "combination": ["101", "102", "106"] },
{ "sku": "PR016-B", "combination": ["101", "103", "105"] },
{ "sku": "PR016-W", "combination": ["101", "104", "105"] }
]</v>
      </c>
      <c r="Y28" s="17" t="s">
        <v>40</v>
      </c>
      <c r="Z28" s="17" t="s">
        <v>158</v>
      </c>
      <c r="AA28" s="17" t="s">
        <v>42</v>
      </c>
      <c r="AB28" s="20"/>
      <c r="AC28" s="21" t="str">
        <f>IFERROR(__xludf.DUMMYFUNCTION("AI(""Generate 6 powerful unique keywords for the product in this row separated by comma"")"),"Surface mounted LED channel, Aluminium extrusion profile, Surface LED light housing, Slim aluminium channel, Linear LED strip diffuser, Surface mount LED profile")</f>
        <v>Surface mounted LED channel, Aluminium extrusion profile, Surface LED light housing, Slim aluminium channel, Linear LED strip diffuser, Surface mount LED profile</v>
      </c>
      <c r="AD28" s="20" t="s">
        <v>159</v>
      </c>
    </row>
    <row r="29">
      <c r="A29" s="10"/>
      <c r="B29" s="22"/>
      <c r="C29" s="22"/>
      <c r="D29" s="22"/>
      <c r="E29" s="22"/>
      <c r="F29" s="23"/>
      <c r="G29" s="24"/>
      <c r="H29" s="23"/>
      <c r="I29" s="22"/>
      <c r="J29" s="22"/>
      <c r="K29" s="22"/>
      <c r="L29" s="11" t="s">
        <v>160</v>
      </c>
      <c r="M29" s="11" t="s">
        <v>161</v>
      </c>
      <c r="N2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""&amp;M29)"),"Dimension | Finish | Profile Length")</f>
        <v>Dimension | Finish | Profile Length</v>
      </c>
      <c r="O29" s="15" t="s">
        <v>36</v>
      </c>
      <c r="P29" s="14" t="str">
        <f>IFERROR(__xludf.DUMMYFUNCTION("AI(""Using the labels""&amp;N29&amp;"" and values ""&amp;M29&amp;"" separated by character '|' and Using ""&amp;L29&amp;"" and key as 'SKU', Create a JSON object"")"),"{""SKU"": ""PR016-3m-Silver"", ""Dimension"": ""23.5mm (W) x 10.9mm (H)"", ""Finish"": ""Silver"", ""Profile Length"": ""3m""}")</f>
        <v>{"SKU": "PR016-3m-Silver", "Dimension": "23.5mm (W) x 10.9mm (H)", "Finish": "Silver", "Profile Length": "3m"}</v>
      </c>
      <c r="Q29" s="15" t="s">
        <v>162</v>
      </c>
      <c r="R29" s="25"/>
      <c r="S29" s="25"/>
      <c r="T29" s="25"/>
      <c r="U29" s="26"/>
      <c r="V29" s="25"/>
      <c r="W29" s="25"/>
      <c r="X29" s="25"/>
      <c r="Y29" s="17" t="s">
        <v>40</v>
      </c>
      <c r="Z29" s="17" t="s">
        <v>158</v>
      </c>
      <c r="AA29" s="17" t="s">
        <v>42</v>
      </c>
      <c r="AB29" s="20"/>
      <c r="AC29" s="20"/>
      <c r="AD29" s="20"/>
    </row>
    <row r="30">
      <c r="A30" s="10"/>
      <c r="B30" s="22"/>
      <c r="C30" s="22"/>
      <c r="D30" s="22"/>
      <c r="E30" s="22"/>
      <c r="F30" s="23"/>
      <c r="G30" s="24"/>
      <c r="H30" s="23"/>
      <c r="I30" s="22"/>
      <c r="J30" s="22"/>
      <c r="K30" s="22"/>
      <c r="L30" s="11" t="s">
        <v>163</v>
      </c>
      <c r="M30" s="11" t="s">
        <v>164</v>
      </c>
      <c r="N3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""&amp;M30)"),"Dimension | Finish | Profile Length")</f>
        <v>Dimension | Finish | Profile Length</v>
      </c>
      <c r="O30" s="15" t="s">
        <v>36</v>
      </c>
      <c r="P30" s="14" t="str">
        <f>IFERROR(__xludf.DUMMYFUNCTION("AI(""Using the labels""&amp;N30&amp;"" and values ""&amp;M30&amp;"" separated by character '|' and Using ""&amp;L30&amp;"" and key as 'SKU', Create a JSON object"")"),"{""SKU"": ""PR016-B"", ""Dimension"": ""23.5mm (W) x 10.9mm (H)"", ""Finish"": ""Black"", ""Profile Length"": ""2m""}")</f>
        <v>{"SKU": "PR016-B", "Dimension": "23.5mm (W) x 10.9mm (H)", "Finish": "Black", "Profile Length": "2m"}</v>
      </c>
      <c r="Q30" s="15" t="s">
        <v>165</v>
      </c>
      <c r="R30" s="25"/>
      <c r="S30" s="25"/>
      <c r="T30" s="25"/>
      <c r="U30" s="26"/>
      <c r="V30" s="25"/>
      <c r="W30" s="25"/>
      <c r="X30" s="25"/>
      <c r="Y30" s="17" t="s">
        <v>40</v>
      </c>
      <c r="Z30" s="17" t="s">
        <v>158</v>
      </c>
      <c r="AA30" s="17" t="s">
        <v>42</v>
      </c>
      <c r="AB30" s="20"/>
      <c r="AC30" s="20"/>
      <c r="AD30" s="20"/>
    </row>
    <row r="31">
      <c r="A31" s="10"/>
      <c r="B31" s="11"/>
      <c r="C31" s="22"/>
      <c r="D31" s="22"/>
      <c r="E31" s="22"/>
      <c r="F31" s="23"/>
      <c r="G31" s="24"/>
      <c r="H31" s="23"/>
      <c r="I31" s="22"/>
      <c r="J31" s="22"/>
      <c r="K31" s="22"/>
      <c r="L31" s="11" t="s">
        <v>166</v>
      </c>
      <c r="M31" s="11" t="s">
        <v>167</v>
      </c>
      <c r="N3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""&amp;M31)"),"Dimension | Finish | Profile Length")</f>
        <v>Dimension | Finish | Profile Length</v>
      </c>
      <c r="O31" s="15" t="s">
        <v>36</v>
      </c>
      <c r="P31" s="14" t="str">
        <f>IFERROR(__xludf.DUMMYFUNCTION("AI(""Using the labels""&amp;N31&amp;"" and values ""&amp;M31&amp;"" separated by character '|' and Using ""&amp;L31&amp;"" and key as 'SKU', Create a JSON object"")"),"{""SKU"": ""PR016-W"", ""Dimension"": ""23.5mm (W) x 10.9mm (H)"", ""Finish"": ""White"", ""Profile Length"": ""2m""}")</f>
        <v>{"SKU": "PR016-W", "Dimension": "23.5mm (W) x 10.9mm (H)", "Finish": "White", "Profile Length": "2m"}</v>
      </c>
      <c r="Q31" s="15" t="s">
        <v>168</v>
      </c>
      <c r="R31" s="25"/>
      <c r="S31" s="25"/>
      <c r="T31" s="25"/>
      <c r="U31" s="26"/>
      <c r="V31" s="25"/>
      <c r="W31" s="25"/>
      <c r="X31" s="25"/>
      <c r="Y31" s="17" t="s">
        <v>40</v>
      </c>
      <c r="Z31" s="17" t="s">
        <v>158</v>
      </c>
      <c r="AA31" s="17" t="s">
        <v>42</v>
      </c>
      <c r="AB31" s="20"/>
      <c r="AC31" s="20"/>
      <c r="AD31" s="20"/>
    </row>
    <row r="32">
      <c r="A32" s="10" t="s">
        <v>169</v>
      </c>
      <c r="B32" s="11" t="s">
        <v>124</v>
      </c>
      <c r="C32" s="11" t="s">
        <v>32</v>
      </c>
      <c r="D32" s="11" t="s">
        <v>125</v>
      </c>
      <c r="E32" s="11" t="s">
        <v>34</v>
      </c>
      <c r="F32" s="23"/>
      <c r="G32" s="24"/>
      <c r="H32" s="12"/>
      <c r="I32" s="22"/>
      <c r="J32" s="22"/>
      <c r="K32" s="22"/>
      <c r="L32" s="11" t="s">
        <v>169</v>
      </c>
      <c r="M32" s="11" t="s">
        <v>170</v>
      </c>
      <c r="N3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""&amp;M32)"),"Dimension | Finish | Profile Length")</f>
        <v>Dimension | Finish | Profile Length</v>
      </c>
      <c r="O32" s="15" t="s">
        <v>36</v>
      </c>
      <c r="P32" s="14" t="str">
        <f>IFERROR(__xludf.DUMMYFUNCTION("AI(""Using the labels""&amp;N32&amp;"" and values ""&amp;M32&amp;"" separated by character '|' and Using ""&amp;L32&amp;"" and key as 'SKU', Create a JSON object"")"),"{""SKU"": ""PR017-3m-Silver"", ""Dimension"": ""30mm (W) x 30mm (H)"", ""Finish"": ""Silver"", ""Profile Length"": ""3m""}")</f>
        <v>{"SKU": "PR017-3m-Silver", "Dimension": "30mm (W) x 30mm (H)", "Finish": "Silver", "Profile Length": "3m"}</v>
      </c>
      <c r="Q32" s="15" t="s">
        <v>171</v>
      </c>
      <c r="R3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Q32)"),"{""SKU"": ""PR017-3m-Silver"", ""Dimension"": ""30mm (W) x 30mm (H)"", ""Finish"": ""Silver"", ""Profile Length"": ""3m""}")</f>
        <v>{"SKU": "PR017-3m-Silver", "Dimension": "30mm (W) x 30mm (H)", "Finish": "Silver", "Profile Length": "3m"}</v>
      </c>
      <c r="S32" s="17" t="s">
        <v>171</v>
      </c>
      <c r="T3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Q32)"),"{
""Options"": {
""Dimension"": [
{ ""name"": ""30mm (W) x 30mm (H)"", ""id"": ""101"" }
],
""Finish"": [
{ ""name"": ""Silver"", ""id"": ""102"" }
],
""Profile Length"": [
{ ""name"": ""3m"", ""id"": ""103"" }
]
},
""Constraints"": {},
""sku_mappings"": "&amp;"[
{
""sku"": ""PR017-3m-Silver"",
""combination"": [ ""101"", ""102"", ""103"" ]
}
]
}")</f>
        <v>{
"Options": {
"Dimension": [
{ "name": "30mm (W) x 30mm (H)", "id": "101" }
],
"Finish": [
{ "name": "Silver", "id": "102" }
],
"Profile Length": [
{ "name": "3m", "id": "103" }
]
},
"Constraints": {},
"sku_mappings": [
{
"sku": "PR017-3m-Silver",
"combination": [ "101", "102", "103" ]
}
]
}</v>
      </c>
      <c r="U32" s="30" t="s">
        <v>172</v>
      </c>
      <c r="V32" s="31" t="str">
        <f>IFERROR(__xludf.DUMMYFUNCTION("AI(""Extract options object from the json"", U32)"),"{""Dimension"": [{""name"": ""30mm (W) x 30mm (H)"", ""id"": ""101""}], ""Finish"": [{""name"": ""Silver"", ""id"": ""102""}], ""Profile Length"": [{""name"": ""3m"", ""id"": ""103""}]}")</f>
        <v>{"Dimension": [{"name": "30mm (W) x 30mm (H)", "id": "101"}], "Finish": [{"name": "Silver", "id": "102"}], "Profile Length": [{"name": "3m", "id": "103"}]}</v>
      </c>
      <c r="W32" s="31" t="str">
        <f>IFERROR(__xludf.DUMMYFUNCTION("AI(""Extract constraints object from the json"", U32)"),"{}")</f>
        <v>{}</v>
      </c>
      <c r="X32" s="31" t="str">
        <f>IFERROR(__xludf.DUMMYFUNCTION("AI(""Extract sku_mappings object from the json"", U32)"),"[ { ""sku"": ""PR017-3m-Silver"", ""combination"": [""101"", ""102"", ""103""] } ]")</f>
        <v>[ { "sku": "PR017-3m-Silver", "combination": ["101", "102", "103"] } ]</v>
      </c>
      <c r="Y32" s="17" t="s">
        <v>40</v>
      </c>
      <c r="Z32" s="17" t="s">
        <v>173</v>
      </c>
      <c r="AA32" s="17" t="s">
        <v>174</v>
      </c>
      <c r="AB32" s="20"/>
      <c r="AC32" s="21" t="str">
        <f>IFERROR(__xludf.DUMMYFUNCTION("AI(""Generate 6 powerful unique keywords for the product in this row separated by comma"")"),"Aluminium square corner profile, LED corner channel, Corner LED light strip housing, Silver aluminium profile 3m, Angle LED extrusion, 30mm corner light channel")</f>
        <v>Aluminium square corner profile, LED corner channel, Corner LED light strip housing, Silver aluminium profile 3m, Angle LED extrusion, 30mm corner light channel</v>
      </c>
      <c r="AD32" s="20" t="s">
        <v>175</v>
      </c>
    </row>
    <row r="33">
      <c r="A33" s="10" t="s">
        <v>176</v>
      </c>
      <c r="B33" s="11" t="s">
        <v>132</v>
      </c>
      <c r="C33" s="11" t="s">
        <v>32</v>
      </c>
      <c r="D33" s="11" t="s">
        <v>125</v>
      </c>
      <c r="E33" s="11" t="s">
        <v>34</v>
      </c>
      <c r="F33" s="23"/>
      <c r="G33" s="24"/>
      <c r="H33" s="12"/>
      <c r="I33" s="22"/>
      <c r="J33" s="22"/>
      <c r="K33" s="22"/>
      <c r="L33" s="11" t="s">
        <v>176</v>
      </c>
      <c r="M33" s="11" t="s">
        <v>170</v>
      </c>
      <c r="N3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""&amp;M33)"),"Dimension | Finish | Profile Length")</f>
        <v>Dimension | Finish | Profile Length</v>
      </c>
      <c r="O33" s="15" t="s">
        <v>36</v>
      </c>
      <c r="P33" s="14" t="str">
        <f>IFERROR(__xludf.DUMMYFUNCTION("AI(""Using the labels""&amp;N33&amp;"" and values ""&amp;M33&amp;"" separated by character '|' and Using ""&amp;L33&amp;"" and key as 'SKU', Create a JSON object"")"),"{""SKU"": ""PR018-3m-Silver"", ""Dimension"": ""30mm (W) x 30mm (H)"", ""Finish"": ""Silver"", ""Profile Length"": ""3m""}")</f>
        <v>{"SKU": "PR018-3m-Silver", "Dimension": "30mm (W) x 30mm (H)", "Finish": "Silver", "Profile Length": "3m"}</v>
      </c>
      <c r="Q33" s="15" t="s">
        <v>177</v>
      </c>
      <c r="R3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Q33)"),"{""SKU"": ""PR018-3m-Silver"", ""Dimension"": ""30mm (W) x 30mm (H)"", ""Finish"": ""Silver"", ""Profile Length"": ""3m""}")</f>
        <v>{"SKU": "PR018-3m-Silver", "Dimension": "30mm (W) x 30mm (H)", "Finish": "Silver", "Profile Length": "3m"}</v>
      </c>
      <c r="S33" s="17" t="s">
        <v>177</v>
      </c>
      <c r="T3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Q33)"),"{ ""Options"": { ""Dimension"": [ {""name"": ""30mm (W) x 30mm (H)"", ""id"": ""101""} ], ""Finish"": [ {""name"": ""Silver"", ""id"": ""102""} ], ""Profile Length"": [ {""name"": ""3m"", ""id"": ""103""} ] }, ""Constraints"": {}, ""sku_mappings"": [ { """&amp;"sku"": ""PR018-3m-Silver"", ""combination"": [""101"", ""102"", ""103""] } ] }")</f>
        <v>{ "Options": { "Dimension": [ {"name": "30mm (W) x 30mm (H)", "id": "101"} ], "Finish": [ {"name": "Silver", "id": "102"} ], "Profile Length": [ {"name": "3m", "id": "103"} ] }, "Constraints": {}, "sku_mappings": [ { "sku": "PR018-3m-Silver", "combination": ["101", "102", "103"] } ] }</v>
      </c>
      <c r="U33" s="30" t="s">
        <v>178</v>
      </c>
      <c r="V33" s="31" t="str">
        <f>IFERROR(__xludf.DUMMYFUNCTION("AI(""Extract options object from the json"", U33)"),"{""Dimension"": [{""name"": ""30mm (W) x 30mm (H)"", ""id"": ""101""}], ""Finish"": [{""name"": ""Silver"", ""id"": ""102""}], ""Profile Length"": [{""name"": ""3m"", ""id"": ""103""}]}")</f>
        <v>{"Dimension": [{"name": "30mm (W) x 30mm (H)", "id": "101"}], "Finish": [{"name": "Silver", "id": "102"}], "Profile Length": [{"name": "3m", "id": "103"}]}</v>
      </c>
      <c r="W33" s="31" t="str">
        <f>IFERROR(__xludf.DUMMYFUNCTION("AI(""Extract constraints object from the json"", U33)"),"{}")</f>
        <v>{}</v>
      </c>
      <c r="X33" s="31" t="str">
        <f>IFERROR(__xludf.DUMMYFUNCTION("AI(""Extract sku_mappings object from the json"", U33)"),"[ { ""sku"": ""PR018-3m-Silver"", ""combination"": [""101"", ""102"", ""103""] } ]")</f>
        <v>[ { "sku": "PR018-3m-Silver", "combination": ["101", "102", "103"] } ]</v>
      </c>
      <c r="Y33" s="17" t="s">
        <v>40</v>
      </c>
      <c r="Z33" s="17" t="s">
        <v>179</v>
      </c>
      <c r="AA33" s="17" t="s">
        <v>174</v>
      </c>
      <c r="AB33" s="20"/>
      <c r="AC33" s="21" t="str">
        <f>IFERROR(__xludf.DUMMYFUNCTION("AI(""Generate 6 powerful unique keywords for the product in this row separated by comma"")"),"Aluminium round corner profile, Curved LED corner channel, Round corner LED diffuser, Silver aluminium profile 3m, Rounded LED extrusion, 30mm corner light channel")</f>
        <v>Aluminium round corner profile, Curved LED corner channel, Round corner LED diffuser, Silver aluminium profile 3m, Rounded LED extrusion, 30mm corner light channel</v>
      </c>
      <c r="AD33" s="20" t="s">
        <v>180</v>
      </c>
    </row>
    <row r="34">
      <c r="A34" s="10" t="s">
        <v>181</v>
      </c>
      <c r="B34" s="11" t="s">
        <v>182</v>
      </c>
      <c r="C34" s="11" t="s">
        <v>32</v>
      </c>
      <c r="D34" s="11" t="s">
        <v>183</v>
      </c>
      <c r="E34" s="11" t="s">
        <v>34</v>
      </c>
      <c r="F34" s="23"/>
      <c r="G34" s="24"/>
      <c r="H34" s="12"/>
      <c r="I34" s="22"/>
      <c r="J34" s="22"/>
      <c r="K34" s="11"/>
      <c r="L34" s="11" t="s">
        <v>181</v>
      </c>
      <c r="M34" s="11" t="s">
        <v>184</v>
      </c>
      <c r="N3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""&amp;M34)"),"Dimension | Finish | Profile Length")</f>
        <v>Dimension | Finish | Profile Length</v>
      </c>
      <c r="O34" s="15" t="s">
        <v>36</v>
      </c>
      <c r="P34" s="14" t="str">
        <f>IFERROR(__xludf.DUMMYFUNCTION("AI(""Using the labels""&amp;N34&amp;"" and values ""&amp;M34&amp;"" separated by character '|' and Using ""&amp;L34&amp;"" and key as 'SKU', Create a JSON object"")"),"{""SKU"": ""PR021-3m-Silver"", ""Dimension"": ""35mm (W) x 35mm (H)"", ""Finish"": ""Silver"", ""Profile Length"": ""3m""}")</f>
        <v>{"SKU": "PR021-3m-Silver", "Dimension": "35mm (W) x 35mm (H)", "Finish": "Silver", "Profile Length": "3m"}</v>
      </c>
      <c r="Q34" s="15" t="s">
        <v>185</v>
      </c>
      <c r="R3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Q34:Q36)"),"{""SKU"": [""PR021-3m-Silver"", ""PR021-W"", ""PR021-B""], ""Dimension"": ""35mm (W) x 35mm (H)"", ""Finish"": [""Silver"", ""White"", ""Black""], ""Profile Length"": [""3m"", ""2m""]}")</f>
        <v>{"SKU": ["PR021-3m-Silver", "PR021-W", "PR021-B"], "Dimension": "35mm (W) x 35mm (H)", "Finish": ["Silver", "White", "Black"], "Profile Length": ["3m", "2m"]}</v>
      </c>
      <c r="S34" s="17" t="s">
        <v>186</v>
      </c>
      <c r="T34"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Q34:Q36)"),"{
""Options"": {
""Dimension"": [
{""name"": ""35mm (W) x 35mm (H)"", ""id"": ""101""}
],
""Finish"": [
{""name"": ""Silver"", ""id"": ""102""},
{""name"": ""White"", ""id"": ""103""},
{""name"": ""Black"", ""id"": ""104""}
],
""Profile Length"": [
{""nam"&amp;"e"": ""3m"", ""id"": ""105""},
{""name"": ""2m"", ""id"": ""106""}
]
},
""Constraints"": {
""103"": [""105""],
""104"": [""105""]
},
""sku_mappings"": [
{ ""sku"": ""PR021-3m-Silver"", ""combination"": [""101"", ""102"", ""105""] },
{ ""sku"": ""PR021-W"""&amp;", ""combination"": [""101"", ""103"", ""106""] },
{ ""sku"": ""PR021-B"", ""combination"": [""101"", ""104"", ""106""] }
]
}")</f>
        <v>{
"Options": {
"Dimension": [
{"name": "35mm (W) x 35mm (H)", "id": "101"}
],
"Finish": [
{"name": "Silver", "id": "102"},
{"name": "White", "id": "103"},
{"name": "Black", "id": "104"}
],
"Profile Length": [
{"name": "3m", "id": "105"},
{"name": "2m", "id": "106"}
]
},
"Constraints": {
"103": ["105"],
"104": ["105"]
},
"sku_mappings": [
{ "sku": "PR021-3m-Silver", "combination": ["101", "102", "105"] },
{ "sku": "PR021-W", "combination": ["101", "103", "106"] },
{ "sku": "PR021-B", "combination": ["101", "104", "106"] }
]
}</v>
      </c>
      <c r="U34" s="30" t="s">
        <v>187</v>
      </c>
      <c r="V34" s="31" t="str">
        <f>IFERROR(__xludf.DUMMYFUNCTION("AI(""Extract options object from the json"", U34)"),"{""Dimension"": [{""name"": ""35mm (W) x 35mm (H)"", ""id"": ""101""}], ""Finish"": [{""name"": ""Silver"", ""id"": ""102""}, {""name"": ""White"", ""id"": ""103""}, {""name"": ""Black"", ""id"": ""104""}], ""Profile Length"": [{""name"": ""3m"", ""id"": "&amp;"""105""}, {""name"": ""2m"", ""id"": ""106""}]}")</f>
        <v>{"Dimension": [{"name": "35mm (W) x 35mm (H)", "id": "101"}], "Finish": [{"name": "Silver", "id": "102"}, {"name": "White", "id": "103"}, {"name": "Black", "id": "104"}], "Profile Length": [{"name": "3m", "id": "105"}, {"name": "2m", "id": "106"}]}</v>
      </c>
      <c r="W34" s="31" t="str">
        <f>IFERROR(__xludf.DUMMYFUNCTION("AI(""Extract constraints object from the json"", U34)"),"{ ""103"": [""105""], ""104"": [""105""] }")</f>
        <v>{ "103": ["105"], "104": ["105"] }</v>
      </c>
      <c r="X34" s="31" t="str">
        <f>IFERROR(__xludf.DUMMYFUNCTION("AI(""Extract sku_mappings object from the json"", U34)"),"[ { ""sku"": ""PR021-3m-Silver"", ""combination"": [""101"", ""102"", ""105""] }, { ""sku"": ""PR021-W"", ""combination"": [""101"", ""103"", ""106""] }, { ""sku"": ""PR021-B"", ""combination"": [""101"", ""104"", ""106""] } ]")</f>
        <v>[ { "sku": "PR021-3m-Silver", "combination": ["101", "102", "105"] }, { "sku": "PR021-W", "combination": ["101", "103", "106"] }, { "sku": "PR021-B", "combination": ["101", "104", "106"] } ]</v>
      </c>
      <c r="Y34" s="17" t="s">
        <v>40</v>
      </c>
      <c r="Z34" s="17" t="s">
        <v>188</v>
      </c>
      <c r="AA34" s="17" t="s">
        <v>42</v>
      </c>
      <c r="AB34" s="20"/>
      <c r="AC34" s="21" t="str">
        <f>IFERROR(__xludf.DUMMYFUNCTION("AI(""Generate 6 powerful unique keywords for the product in this row separated by comma"")"),"Aluminium surface mounted profile, Suspended LED channel, Hanging linear LED housing, Architectural linear light profile, Surface mount LED channel, 35mm square LED extrusion")</f>
        <v>Aluminium surface mounted profile, Suspended LED channel, Hanging linear LED housing, Architectural linear light profile, Surface mount LED channel, 35mm square LED extrusion</v>
      </c>
      <c r="AD34" s="20" t="s">
        <v>189</v>
      </c>
    </row>
    <row r="35">
      <c r="A35" s="10"/>
      <c r="B35" s="22"/>
      <c r="C35" s="22"/>
      <c r="D35" s="22"/>
      <c r="E35" s="22"/>
      <c r="F35" s="23"/>
      <c r="G35" s="24"/>
      <c r="H35" s="23"/>
      <c r="I35" s="22"/>
      <c r="J35" s="22"/>
      <c r="K35" s="11"/>
      <c r="L35" s="11" t="s">
        <v>190</v>
      </c>
      <c r="M35" s="11" t="s">
        <v>191</v>
      </c>
      <c r="N3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""&amp;M35)"),"Dimension | Finish | Profile Length")</f>
        <v>Dimension | Finish | Profile Length</v>
      </c>
      <c r="O35" s="15" t="s">
        <v>36</v>
      </c>
      <c r="P35" s="14" t="str">
        <f>IFERROR(__xludf.DUMMYFUNCTION("AI(""Using the labels""&amp;N35&amp;"" and values ""&amp;M35&amp;"" separated by character '|' and Using ""&amp;L35&amp;"" and key as 'SKU', Create a JSON object"")"),"{""SKU"": ""PR021-W"", ""Dimension"": ""35mm (W) x 35mm (H)"", ""Finish"": ""White"", ""Profile Length"": ""2m""}")</f>
        <v>{"SKU": "PR021-W", "Dimension": "35mm (W) x 35mm (H)", "Finish": "White", "Profile Length": "2m"}</v>
      </c>
      <c r="Q35" s="15" t="s">
        <v>192</v>
      </c>
      <c r="R35" s="25"/>
      <c r="S35" s="25"/>
      <c r="T35" s="25"/>
      <c r="U35" s="26"/>
      <c r="V35" s="25"/>
      <c r="W35" s="25"/>
      <c r="X35" s="25"/>
      <c r="Y35" s="17" t="s">
        <v>40</v>
      </c>
      <c r="Z35" s="17" t="s">
        <v>188</v>
      </c>
      <c r="AA35" s="17" t="s">
        <v>42</v>
      </c>
      <c r="AB35" s="20"/>
      <c r="AC35" s="20"/>
      <c r="AD35" s="20"/>
    </row>
    <row r="36">
      <c r="A36" s="10"/>
      <c r="B36" s="22"/>
      <c r="C36" s="22"/>
      <c r="D36" s="22"/>
      <c r="E36" s="22"/>
      <c r="F36" s="23"/>
      <c r="G36" s="24"/>
      <c r="H36" s="23"/>
      <c r="I36" s="22"/>
      <c r="J36" s="22"/>
      <c r="K36" s="11"/>
      <c r="L36" s="11" t="s">
        <v>193</v>
      </c>
      <c r="M36" s="11" t="s">
        <v>194</v>
      </c>
      <c r="N3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""&amp;M36)"),"Dimension | Finish | Profile Length")</f>
        <v>Dimension | Finish | Profile Length</v>
      </c>
      <c r="O36" s="15" t="s">
        <v>36</v>
      </c>
      <c r="P36" s="14" t="str">
        <f>IFERROR(__xludf.DUMMYFUNCTION("AI(""Using the labels""&amp;N36&amp;"" and values ""&amp;M36&amp;"" separated by character '|' and Using ""&amp;L36&amp;"" and key as 'SKU', Create a JSON object"")"),"{""SKU"": ""PR021-B"", ""Dimension"": ""35mm (W) x 35mm (H)"", ""Finish"": ""Black"", ""Profile Length"": ""2m""}")</f>
        <v>{"SKU": "PR021-B", "Dimension": "35mm (W) x 35mm (H)", "Finish": "Black", "Profile Length": "2m"}</v>
      </c>
      <c r="Q36" s="15" t="s">
        <v>195</v>
      </c>
      <c r="R36" s="25"/>
      <c r="S36" s="25"/>
      <c r="T36" s="25"/>
      <c r="U36" s="26"/>
      <c r="V36" s="25"/>
      <c r="W36" s="25"/>
      <c r="X36" s="25"/>
      <c r="Y36" s="17" t="s">
        <v>40</v>
      </c>
      <c r="Z36" s="17" t="s">
        <v>188</v>
      </c>
      <c r="AA36" s="17" t="s">
        <v>42</v>
      </c>
      <c r="AB36" s="20"/>
      <c r="AC36" s="20"/>
      <c r="AD36" s="20"/>
    </row>
    <row r="37">
      <c r="A37" s="10" t="s">
        <v>196</v>
      </c>
      <c r="B37" s="11" t="s">
        <v>197</v>
      </c>
      <c r="C37" s="11" t="s">
        <v>32</v>
      </c>
      <c r="D37" s="10" t="s">
        <v>198</v>
      </c>
      <c r="E37" s="11" t="s">
        <v>34</v>
      </c>
      <c r="F37" s="12"/>
      <c r="G37" s="13"/>
      <c r="H37" s="12"/>
      <c r="I37" s="11"/>
      <c r="J37" s="22"/>
      <c r="K37" s="22"/>
      <c r="L37" s="11" t="s">
        <v>196</v>
      </c>
      <c r="M37" s="11" t="s">
        <v>199</v>
      </c>
      <c r="N3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""&amp;M37)"),"Dimension | Finish | Profile Length")</f>
        <v>Dimension | Finish | Profile Length</v>
      </c>
      <c r="O37" s="15" t="s">
        <v>36</v>
      </c>
      <c r="P37" s="14" t="str">
        <f>IFERROR(__xludf.DUMMYFUNCTION("AI(""Using the labels""&amp;N37&amp;"" and values ""&amp;M37&amp;"" separated by character '|' and Using ""&amp;L37&amp;"" and key as 'SKU', Create a JSON object"")"),"{""SKU"": ""PR027"", ""Dimension"": ""80mm (W) x 50mm (H)"", ""Finish"": ""Silver"", ""Profile Length"": ""2m""}")</f>
        <v>{"SKU": "PR027", "Dimension": "80mm (W) x 50mm (H)", "Finish": "Silver", "Profile Length": "2m"}</v>
      </c>
      <c r="Q37" s="15" t="s">
        <v>200</v>
      </c>
      <c r="R37"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Q37:Q38)"),"{""SKU"": [""PR027"", ""PR027-3M""], ""Dimension"": ""80mm (W) x 50mm (H)"", ""Finish"": ""Silver"", ""Profile Length"": [""2m"", ""3m""]}")</f>
        <v>{"SKU": ["PR027", "PR027-3M"], "Dimension": "80mm (W) x 50mm (H)", "Finish": "Silver", "Profile Length": ["2m", "3m"]}</v>
      </c>
      <c r="S37" s="17" t="s">
        <v>201</v>
      </c>
      <c r="T37"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Q37:Q38)"),"{
""Options"": {
""Dimension"": [
{ ""name"": ""80mm (W) x 50mm (H)"", ""id"": ""101"" }
],
""Finish"": [
{ ""name"": ""Silver"", ""id"": ""102"" }
],
""Profile Length"": [
{ ""name"": ""2m"", ""id"": ""103"" },
{ ""name"": ""3m"", ""id"": ""104"" }
]
},
"&amp;"""Constraints"": {},
""sku_mappings"": [
{ ""sku"": ""PR027"", ""combination"": [""101"", ""102"", ""103""] },
{ ""sku"": ""PR027-3M"", ""combination"": [""101"", ""102"", ""104""] }
]
}")</f>
        <v>{
"Options": {
"Dimension": [
{ "name": "80mm (W) x 50mm (H)", "id": "101" }
],
"Finish": [
{ "name": "Silver", "id": "102" }
],
"Profile Length": [
{ "name": "2m", "id": "103" },
{ "name": "3m", "id": "104" }
]
},
"Constraints": {},
"sku_mappings": [
{ "sku": "PR027", "combination": ["101", "102", "103"] },
{ "sku": "PR027-3M", "combination": ["101", "102", "104"] }
]
}</v>
      </c>
      <c r="U37" s="30" t="s">
        <v>202</v>
      </c>
      <c r="V37" s="19" t="str">
        <f>IFERROR(__xludf.DUMMYFUNCTION("AI(""Extract options object from the json"", U37)"),"{""Dimension"": [{""name"": ""80mm (W) x 50mm (H)"", ""id"": ""101""}], ""Finish"": [{""name"": ""Silver"", ""id"": ""102""}], ""Profile Length"": [{""name"": ""2m"", ""id"": ""103""}, {""name"": ""3m"", ""id"": ""104""}]}")</f>
        <v>{"Dimension": [{"name": "80mm (W) x 50mm (H)", "id": "101"}], "Finish": [{"name": "Silver", "id": "102"}], "Profile Length": [{"name": "2m", "id": "103"}, {"name": "3m", "id": "104"}]}</v>
      </c>
      <c r="W37" s="19" t="str">
        <f>IFERROR(__xludf.DUMMYFUNCTION("AI(""Extract constraints object from the json"", U37)"),"{}")</f>
        <v>{}</v>
      </c>
      <c r="X37" s="19" t="str">
        <f>IFERROR(__xludf.DUMMYFUNCTION("AI(""Extract sku_mappings object from the json"", U37)"),"[ { ""sku"": ""PR027"", ""combination"": [""101"", ""102"", ""103""] }, { ""sku"": ""PR027-3M"", ""combination"": [""101"", ""102"", ""104""] } ]")</f>
        <v>[ { "sku": "PR027", "combination": ["101", "102", "103"] }, { "sku": "PR027-3M", "combination": ["101", "102", "104"] } ]</v>
      </c>
      <c r="Y37" s="17" t="s">
        <v>40</v>
      </c>
      <c r="Z37" s="17" t="s">
        <v>203</v>
      </c>
      <c r="AA37" s="17" t="s">
        <v>174</v>
      </c>
      <c r="AB37" s="20"/>
      <c r="AC37" s="21" t="str">
        <f>IFERROR(__xludf.DUMMYFUNCTION("AI(""Generate 6 powerful unique keywords for the product in this row separated by comma"")"),"Aluminium stair profile, LED stair tread housing, Non-slip step channel, Architectural stair lighting, Heavy-duty step profile, LED stair extrusion")</f>
        <v>Aluminium stair profile, LED stair tread housing, Non-slip step channel, Architectural stair lighting, Heavy-duty step profile, LED stair extrusion</v>
      </c>
      <c r="AD37" s="20" t="s">
        <v>204</v>
      </c>
    </row>
    <row r="38">
      <c r="A38" s="10"/>
      <c r="B38" s="11"/>
      <c r="C38" s="11"/>
      <c r="D38" s="10"/>
      <c r="E38" s="11"/>
      <c r="F38" s="12"/>
      <c r="G38" s="13"/>
      <c r="H38" s="27"/>
      <c r="I38" s="11"/>
      <c r="J38" s="22"/>
      <c r="K38" s="22"/>
      <c r="L38" s="11" t="s">
        <v>205</v>
      </c>
      <c r="M38" s="11" t="s">
        <v>206</v>
      </c>
      <c r="N3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""&amp;M38)"),"Dimension | Finish | Profile Length")</f>
        <v>Dimension | Finish | Profile Length</v>
      </c>
      <c r="O38" s="15" t="s">
        <v>36</v>
      </c>
      <c r="P38" s="14" t="str">
        <f>IFERROR(__xludf.DUMMYFUNCTION("AI(""Using the labels""&amp;N38&amp;"" and values ""&amp;M38&amp;"" separated by character '|' and Using ""&amp;L38&amp;"" and key as 'SKU', Create a JSON object"")"),"{""SKU"": ""PR027-3M"", ""Dimension"": ""80mm (W) x 50mm (H)"", ""Finish"": ""Silver"", ""Profile Length"": ""3m""}")</f>
        <v>{"SKU": "PR027-3M", "Dimension": "80mm (W) x 50mm (H)", "Finish": "Silver", "Profile Length": "3m"}</v>
      </c>
      <c r="Q38" s="15" t="s">
        <v>207</v>
      </c>
      <c r="R38" s="25"/>
      <c r="S38" s="25"/>
      <c r="T38" s="27"/>
      <c r="U38" s="29"/>
      <c r="V38" s="17"/>
      <c r="W38" s="17"/>
      <c r="X38" s="17"/>
      <c r="Y38" s="17" t="s">
        <v>40</v>
      </c>
      <c r="Z38" s="17" t="s">
        <v>203</v>
      </c>
      <c r="AA38" s="17" t="s">
        <v>174</v>
      </c>
      <c r="AB38" s="20"/>
      <c r="AC38" s="20"/>
      <c r="AD38" s="20"/>
    </row>
    <row r="39">
      <c r="A39" s="10" t="s">
        <v>208</v>
      </c>
      <c r="B39" s="11" t="s">
        <v>72</v>
      </c>
      <c r="C39" s="11" t="s">
        <v>32</v>
      </c>
      <c r="D39" s="11" t="s">
        <v>73</v>
      </c>
      <c r="E39" s="11" t="s">
        <v>34</v>
      </c>
      <c r="F39" s="23"/>
      <c r="G39" s="24"/>
      <c r="H39" s="12"/>
      <c r="I39" s="22"/>
      <c r="J39" s="22"/>
      <c r="K39" s="22"/>
      <c r="L39" s="11" t="s">
        <v>208</v>
      </c>
      <c r="M39" s="11" t="s">
        <v>209</v>
      </c>
      <c r="N3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""&amp;M39)"),"Dimension | Finish | Profile Length")</f>
        <v>Dimension | Finish | Profile Length</v>
      </c>
      <c r="O39" s="15" t="s">
        <v>36</v>
      </c>
      <c r="P39" s="14" t="str">
        <f>IFERROR(__xludf.DUMMYFUNCTION("AI(""Using the labels""&amp;N39&amp;"" and values ""&amp;M39&amp;"" separated by character '|' and Using ""&amp;L39&amp;"" and key as 'SKU', Create a JSON object"")"),"{""SKU"": ""PR036"", ""Dimension"": ""10mm (W) x 13mm (H)"", ""Finish"": ""Silver"", ""Profile Length"": ""2m""}")</f>
        <v>{"SKU": "PR036", "Dimension": "10mm (W) x 13mm (H)", "Finish": "Silver", "Profile Length": "2m"}</v>
      </c>
      <c r="Q39" s="15" t="s">
        <v>210</v>
      </c>
      <c r="R39"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Q39)"),"{""SKU"": ""PR036"", ""Dimension"": ""10mm (W) x 13mm (H)"", ""Finish"": ""Silver"", ""Profile Length"": ""2m""}")</f>
        <v>{"SKU": "PR036", "Dimension": "10mm (W) x 13mm (H)", "Finish": "Silver", "Profile Length": "2m"}</v>
      </c>
      <c r="S39" s="17" t="s">
        <v>210</v>
      </c>
      <c r="T39"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Q39)"),"{ ""Options"": { ""Dimension"": [ {""name"": ""10mm (W) x 13mm (H)"", ""id"": ""101""} ], ""Finish"": [ {""name"": ""Silver"", ""id"": ""102""} ], ""Profile Length"": [ {""name"": ""2m"", ""id"": ""103""} ] }, ""Constraints"": {}, ""sku_mappings"": [ { """&amp;"sku"": ""PR036"", ""combination"": [""101"", ""102"", ""103""] } ] }")</f>
        <v>{ "Options": { "Dimension": [ {"name": "10mm (W) x 13mm (H)", "id": "101"} ], "Finish": [ {"name": "Silver", "id": "102"} ], "Profile Length": [ {"name": "2m", "id": "103"} ] }, "Constraints": {}, "sku_mappings": [ { "sku": "PR036", "combination": ["101", "102", "103"] } ] }</v>
      </c>
      <c r="U39" s="30" t="s">
        <v>211</v>
      </c>
      <c r="V39" s="31" t="str">
        <f>IFERROR(__xludf.DUMMYFUNCTION("AI(""Extract options object from the json"", U39)"),"{""Dimension"": [{""name"": ""10mm (W) x 13mm (H)"", ""id"": ""101""}], ""Finish"": [{""name"": ""Silver"", ""id"": ""102""}], ""Profile Length"": [{""name"": ""2m"", ""id"": ""103""}]}")</f>
        <v>{"Dimension": [{"name": "10mm (W) x 13mm (H)", "id": "101"}], "Finish": [{"name": "Silver", "id": "102"}], "Profile Length": [{"name": "2m", "id": "103"}]}</v>
      </c>
      <c r="W39" s="31" t="str">
        <f>IFERROR(__xludf.DUMMYFUNCTION("AI(""Extract constraints object from the json"", U39)"),"{}")</f>
        <v>{}</v>
      </c>
      <c r="X39" s="31" t="str">
        <f>IFERROR(__xludf.DUMMYFUNCTION("AI(""Extract sku_mappings object from the json"", U39)"),"[ { ""sku"": ""PR036"", ""combination"": [""101"", ""102"", ""103""] } ]")</f>
        <v>[ { "sku": "PR036", "combination": ["101", "102", "103"] } ]</v>
      </c>
      <c r="Y39" s="17" t="s">
        <v>40</v>
      </c>
      <c r="Z39" s="17" t="s">
        <v>212</v>
      </c>
      <c r="AA39" s="17" t="s">
        <v>174</v>
      </c>
      <c r="AB39" s="20"/>
      <c r="AC39" s="21" t="str">
        <f>IFERROR(__xludf.DUMMYFUNCTION("AI(""Generate 6 powerful unique keywords for the product in this row separated by comma"")"),"Aluminium surfaced profile, Surface mount LED channel, LED aluminium extrusion, Linear light housing, Compact LED profile, Surface LED channel")</f>
        <v>Aluminium surfaced profile, Surface mount LED channel, LED aluminium extrusion, Linear light housing, Compact LED profile, Surface LED channel</v>
      </c>
      <c r="AD39" s="20" t="s">
        <v>213</v>
      </c>
    </row>
    <row r="40">
      <c r="A40" s="10"/>
      <c r="B40" s="11" t="s">
        <v>214</v>
      </c>
      <c r="C40" s="11" t="s">
        <v>32</v>
      </c>
      <c r="D40" s="10" t="s">
        <v>215</v>
      </c>
      <c r="E40" s="11" t="s">
        <v>34</v>
      </c>
      <c r="F40" s="12"/>
      <c r="G40" s="13"/>
      <c r="H40" s="12"/>
      <c r="I40" s="11"/>
      <c r="J40" s="22"/>
      <c r="K40" s="22"/>
      <c r="L40" s="11" t="s">
        <v>216</v>
      </c>
      <c r="M40" s="11" t="s">
        <v>217</v>
      </c>
      <c r="N4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""&amp;M40)"),"Dimension | Finish | Profile Length")</f>
        <v>Dimension | Finish | Profile Length</v>
      </c>
      <c r="O40" s="15" t="s">
        <v>36</v>
      </c>
      <c r="P40" s="14" t="str">
        <f>IFERROR(__xludf.DUMMYFUNCTION("AI(""Using the labels""&amp;N40&amp;"" and values ""&amp;M40&amp;"" separated by character '|' and Using ""&amp;L40&amp;"" and key as 'SKU', Create a JSON object"")"),"{""SKU"": ""PR114"", ""Dimension"": ""36.1mm (W) x 14mm (H)"", ""Finish"": ""Silver"", ""Profile Length"": ""2m""}")</f>
        <v>{"SKU": "PR114", "Dimension": "36.1mm (W) x 14mm (H)", "Finish": "Silver", "Profile Length": "2m"}</v>
      </c>
      <c r="Q40" s="15" t="s">
        <v>218</v>
      </c>
      <c r="R4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Q40)"),"{""SKU"": ""PR114"", ""Dimension"": ""36.1mm (W) x 14mm (H)"", ""Finish"": ""Silver"", ""Profile Length"": ""2m""}")</f>
        <v>{"SKU": "PR114", "Dimension": "36.1mm (W) x 14mm (H)", "Finish": "Silver", "Profile Length": "2m"}</v>
      </c>
      <c r="S40" s="17" t="s">
        <v>218</v>
      </c>
      <c r="T4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Q40)"),"{""Options"": {""Dimension"": [{""name"": ""36.1mm (W) x 14mm (H)"", ""id"": ""101""}], ""Finish"": [{""name"": ""Silver"", ""id"": ""102""}], ""Profile Length"": [{""name"": ""2m"", ""id"": ""103""}]}, ""Constraints"": {}, ""sku_mappings"": [{""sku"": """&amp;"PR114"", ""combination"": [""101"", ""102"", ""103""]}]}")</f>
        <v>{"Options": {"Dimension": [{"name": "36.1mm (W) x 14mm (H)", "id": "101"}], "Finish": [{"name": "Silver", "id": "102"}], "Profile Length": [{"name": "2m", "id": "103"}]}, "Constraints": {}, "sku_mappings": [{"sku": "PR114", "combination": ["101", "102", "103"]}]}</v>
      </c>
      <c r="U40" s="30" t="s">
        <v>219</v>
      </c>
      <c r="V40" s="19" t="str">
        <f>IFERROR(__xludf.DUMMYFUNCTION("AI(""Extract options object from the json"", U40)"),"{""Dimension"": [{""name"": ""36.1mm (W) x 14mm (H)"", ""id"": ""101""}], ""Finish"": [{""name"": ""Silver"", ""id"": ""102""}], ""Profile Length"": [{""name"": ""2m"", ""id"": ""103""}]}")</f>
        <v>{"Dimension": [{"name": "36.1mm (W) x 14mm (H)", "id": "101"}], "Finish": [{"name": "Silver", "id": "102"}], "Profile Length": [{"name": "2m", "id": "103"}]}</v>
      </c>
      <c r="W40" s="19" t="str">
        <f>IFERROR(__xludf.DUMMYFUNCTION("AI(""Extract constraints object from the json"", U40)"),"{}")</f>
        <v>{}</v>
      </c>
      <c r="X40" s="19" t="str">
        <f>IFERROR(__xludf.DUMMYFUNCTION("AI(""Extract sku_mappings object from the json"", U40)"),"[{""sku"": ""PR114"", ""combination"": [""101"", ""102"", ""103""]}]")</f>
        <v>[{"sku": "PR114", "combination": ["101", "102", "103"]}]</v>
      </c>
      <c r="Y40" s="17" t="s">
        <v>40</v>
      </c>
      <c r="Z40" s="17" t="s">
        <v>220</v>
      </c>
      <c r="AA40" s="17" t="s">
        <v>174</v>
      </c>
      <c r="AB40" s="20"/>
      <c r="AC40" s="21" t="str">
        <f>IFERROR(__xludf.DUMMYFUNCTION("AI(""Generate 6 powerful unique keywords for the product in this row separated by comma"")"),"Trimless plaster profile, Plaster-in LED channel, Recessed aluminium profile, Seamless LED extrusion, Plasterboard LED channel, Drywall linear profile")</f>
        <v>Trimless plaster profile, Plaster-in LED channel, Recessed aluminium profile, Seamless LED extrusion, Plasterboard LED channel, Drywall linear profile</v>
      </c>
      <c r="AD40" s="20" t="s">
        <v>221</v>
      </c>
    </row>
    <row r="41">
      <c r="A41" s="10" t="s">
        <v>222</v>
      </c>
      <c r="B41" s="11" t="s">
        <v>223</v>
      </c>
      <c r="C41" s="11" t="s">
        <v>32</v>
      </c>
      <c r="D41" s="10" t="s">
        <v>215</v>
      </c>
      <c r="E41" s="11" t="s">
        <v>34</v>
      </c>
      <c r="F41" s="12"/>
      <c r="G41" s="13"/>
      <c r="H41" s="12"/>
      <c r="I41" s="11"/>
      <c r="J41" s="22"/>
      <c r="K41" s="22"/>
      <c r="L41" s="11" t="s">
        <v>222</v>
      </c>
      <c r="M41" s="11" t="s">
        <v>224</v>
      </c>
      <c r="N4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""&amp;M41)"),"Dimension | Finish | Profile Length")</f>
        <v>Dimension | Finish | Profile Length</v>
      </c>
      <c r="O41" s="15" t="s">
        <v>36</v>
      </c>
      <c r="P41" s="14" t="str">
        <f>IFERROR(__xludf.DUMMYFUNCTION("AI(""Using the labels""&amp;N41&amp;"" and values ""&amp;M41&amp;"" separated by character '|' and Using ""&amp;L41&amp;"" and key as 'SKU', Create a JSON object"")"),"{""SKU"": ""PR115"", ""Dimension"": ""61.5mm (W) x 14mm (H)"", ""Finish"": ""Silver"", ""Profile Length"": ""2m""}")</f>
        <v>{"SKU": "PR115", "Dimension": "61.5mm (W) x 14mm (H)", "Finish": "Silver", "Profile Length": "2m"}</v>
      </c>
      <c r="Q41" s="15" t="s">
        <v>225</v>
      </c>
      <c r="R41"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Q41)"),"{""SKU"": ""PR115"", ""Dimension"": ""61.5mm (W) x 14mm (H)"", ""Finish"": ""Silver"", ""Profile Length"": ""2m""}")</f>
        <v>{"SKU": "PR115", "Dimension": "61.5mm (W) x 14mm (H)", "Finish": "Silver", "Profile Length": "2m"}</v>
      </c>
      <c r="S41" s="17" t="s">
        <v>225</v>
      </c>
      <c r="T41"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Q41)"),"{ ""Options"": { ""Dimension"": [ {""name"": ""61.5mm (W) x 14mm (H)"", ""id"": ""101""} ], ""Finish"": [ {""name"": ""Silver"", ""id"": ""102""} ], ""Profile Length"": [ {""name"": ""2m"", ""id"": ""103""} ] }, ""Constraints"": {}, ""sku_mappings"": [ { "&amp;"""sku"": ""PR115"", ""combination"": [""101"", ""102"", ""103""] } ] }")</f>
        <v>{ "Options": { "Dimension": [ {"name": "61.5mm (W) x 14mm (H)", "id": "101"} ], "Finish": [ {"name": "Silver", "id": "102"} ], "Profile Length": [ {"name": "2m", "id": "103"} ] }, "Constraints": {}, "sku_mappings": [ { "sku": "PR115", "combination": ["101", "102", "103"] } ] }</v>
      </c>
      <c r="U41" s="30" t="s">
        <v>226</v>
      </c>
      <c r="V41" s="19" t="str">
        <f>IFERROR(__xludf.DUMMYFUNCTION("AI(""Extract options object from the json"", U41)"),"{""Dimension"": [{""name"": ""61.5mm (W) x 14mm (H)"", ""id"": ""101""}], ""Finish"": [{""name"": ""Silver"", ""id"": ""102""}], ""Profile Length"": [{""name"": ""2m"", ""id"": ""103""}]}")</f>
        <v>{"Dimension": [{"name": "61.5mm (W) x 14mm (H)", "id": "101"}], "Finish": [{"name": "Silver", "id": "102"}], "Profile Length": [{"name": "2m", "id": "103"}]}</v>
      </c>
      <c r="W41" s="19" t="str">
        <f>IFERROR(__xludf.DUMMYFUNCTION("AI(""Extract constraints object from the json"", U41)"),"{}")</f>
        <v>{}</v>
      </c>
      <c r="X41" s="19" t="str">
        <f>IFERROR(__xludf.DUMMYFUNCTION("AI(""Extract sku_mappings object from the json"", U41)"),"[ { ""sku"": ""PR115"", ""combination"": [""101"", ""102"", ""103""] } ]")</f>
        <v>[ { "sku": "PR115", "combination": ["101", "102", "103"] } ]</v>
      </c>
      <c r="Y41" s="17" t="s">
        <v>40</v>
      </c>
      <c r="Z41" s="17" t="s">
        <v>227</v>
      </c>
      <c r="AA41" s="17" t="s">
        <v>42</v>
      </c>
      <c r="AB41" s="20"/>
      <c r="AC41" s="21" t="str">
        <f>IFERROR(__xludf.DUMMYFUNCTION("AI(""Generate 6 powerful unique keywords for the product in this row separated by comma"")"),"Trimless recessed plaster profile, Recessed plaster-in channel, Architectural LED extrusion, Seamless drywall lighting, Flush plaster LED profile, Wide recessed channel")</f>
        <v>Trimless recessed plaster profile, Recessed plaster-in channel, Architectural LED extrusion, Seamless drywall lighting, Flush plaster LED profile, Wide recessed channel</v>
      </c>
      <c r="AD41" s="20" t="s">
        <v>228</v>
      </c>
    </row>
    <row r="42">
      <c r="A42" s="10" t="s">
        <v>229</v>
      </c>
      <c r="B42" s="11" t="s">
        <v>214</v>
      </c>
      <c r="C42" s="11" t="s">
        <v>32</v>
      </c>
      <c r="D42" s="10" t="s">
        <v>215</v>
      </c>
      <c r="E42" s="11" t="s">
        <v>34</v>
      </c>
      <c r="F42" s="12"/>
      <c r="G42" s="13"/>
      <c r="H42" s="12"/>
      <c r="I42" s="11"/>
      <c r="J42" s="22"/>
      <c r="K42" s="22"/>
      <c r="L42" s="11" t="s">
        <v>229</v>
      </c>
      <c r="M42" s="11" t="s">
        <v>230</v>
      </c>
      <c r="N4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""&amp;M42)"),"Dimension | Finish | Profile Length")</f>
        <v>Dimension | Finish | Profile Length</v>
      </c>
      <c r="O42" s="15" t="s">
        <v>36</v>
      </c>
      <c r="P42" s="14" t="str">
        <f>IFERROR(__xludf.DUMMYFUNCTION("AI(""Using the labels""&amp;N42&amp;"" and values ""&amp;M42&amp;"" separated by character '|' and Using ""&amp;L42&amp;"" and key as 'SKU', Create a JSON object"")"),"{""SKU"": ""PR116"", ""Dimension"": ""53mm (W) x 14mm (H)"", ""Finish"": ""Silver"", ""Profile Length"": ""2m""}")</f>
        <v>{"SKU": "PR116", "Dimension": "53mm (W) x 14mm (H)", "Finish": "Silver", "Profile Length": "2m"}</v>
      </c>
      <c r="Q42" s="15" t="s">
        <v>231</v>
      </c>
      <c r="R4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Q42)"),"{""SKU"": ""PR116"", ""Dimension"": ""53mm (W) x 14mm (H)"", ""Finish"": ""Silver"", ""Profile Length"": ""2m""}")</f>
        <v>{"SKU": "PR116", "Dimension": "53mm (W) x 14mm (H)", "Finish": "Silver", "Profile Length": "2m"}</v>
      </c>
      <c r="S42" s="17" t="s">
        <v>231</v>
      </c>
      <c r="T4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Q42)"),"{
""Options"": {
""Dimension"": [
{""name"": ""53mm (W) x 14mm (H)"", ""id"": ""101""}
],
""Finish"": [
{""name"": ""Silver"", ""id"": ""102""}
],
""Profile Length"": [
{""name"": ""2m"", ""id"": ""103""}
]
},
""Constraints"": {},
""sku_mappings"": [
{ """&amp;"sku"": ""PR116"", ""combination"": [""101"", ""102"", ""103""] }
]
}")</f>
        <v>{
"Options": {
"Dimension": [
{"name": "53mm (W) x 14mm (H)", "id": "101"}
],
"Finish": [
{"name": "Silver", "id": "102"}
],
"Profile Length": [
{"name": "2m", "id": "103"}
]
},
"Constraints": {},
"sku_mappings": [
{ "sku": "PR116", "combination": ["101", "102", "103"] }
]
}</v>
      </c>
      <c r="U42" s="30" t="s">
        <v>232</v>
      </c>
      <c r="V42" s="19" t="str">
        <f>IFERROR(__xludf.DUMMYFUNCTION("AI(""Extract options object from the json"", U42)"),"{""Dimension"": [{""name"": ""53mm (W) x 14mm (H)"", ""id"": ""101""}], ""Finish"": [{""name"": ""Silver"", ""id"": ""102""}], ""Profile Length"": [{""name"": ""2m"", ""id"": ""103""}]}")</f>
        <v>{"Dimension": [{"name": "53mm (W) x 14mm (H)", "id": "101"}], "Finish": [{"name": "Silver", "id": "102"}], "Profile Length": [{"name": "2m", "id": "103"}]}</v>
      </c>
      <c r="W42" s="19" t="str">
        <f>IFERROR(__xludf.DUMMYFUNCTION("AI(""Extract constraints object from the json"", U42)"),"{}")</f>
        <v>{}</v>
      </c>
      <c r="X42" s="19" t="str">
        <f>IFERROR(__xludf.DUMMYFUNCTION("AI(""Extract sku_mappings object from the json"", U42)"),"[ { ""sku"": ""PR116"", ""combination"": [""101"", ""102"", ""103""] } ]")</f>
        <v>[ { "sku": "PR116", "combination": ["101", "102", "103"] } ]</v>
      </c>
      <c r="Y42" s="17" t="s">
        <v>40</v>
      </c>
      <c r="Z42" s="17" t="s">
        <v>233</v>
      </c>
      <c r="AA42" s="17" t="s">
        <v>174</v>
      </c>
      <c r="AB42" s="20"/>
      <c r="AC42" s="21" t="str">
        <f>IFERROR(__xludf.DUMMYFUNCTION("AI(""Generate 6 powerful unique keywords for the product in this row separated by comma"")"),"Plaster-in LED extrusion, Trimless aluminium profile, Drywall recessed channel, Seamless linear housing, Architectural plaster light, Recessed LED profile")</f>
        <v>Plaster-in LED extrusion, Trimless aluminium profile, Drywall recessed channel, Seamless linear housing, Architectural plaster light, Recessed LED profile</v>
      </c>
      <c r="AD42" s="20" t="s">
        <v>234</v>
      </c>
    </row>
    <row r="43">
      <c r="A43" s="10" t="s">
        <v>235</v>
      </c>
      <c r="B43" s="11" t="s">
        <v>236</v>
      </c>
      <c r="C43" s="11" t="s">
        <v>32</v>
      </c>
      <c r="D43" s="10" t="s">
        <v>237</v>
      </c>
      <c r="E43" s="11" t="s">
        <v>34</v>
      </c>
      <c r="F43" s="12"/>
      <c r="G43" s="13"/>
      <c r="H43" s="12"/>
      <c r="I43" s="11"/>
      <c r="J43" s="22"/>
      <c r="K43" s="22"/>
      <c r="L43" s="10" t="s">
        <v>235</v>
      </c>
      <c r="M43" s="11" t="s">
        <v>238</v>
      </c>
      <c r="N4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""&amp;M43)"),"Dimension | Finish | Profile Length")</f>
        <v>Dimension | Finish | Profile Length</v>
      </c>
      <c r="O43" s="15" t="s">
        <v>36</v>
      </c>
      <c r="P43" s="14" t="str">
        <f>IFERROR(__xludf.DUMMYFUNCTION("AI(""Using the labels""&amp;N43&amp;"" and values ""&amp;M43&amp;"" separated by character '|' and Using ""&amp;L43&amp;"" and key as 'SKU', Create a JSON object"")"),"{""SKU"": ""PR125"", ""Dimension"": ""18mm (W) x 5.6mm (H)"", ""Finish"": ""Silver"", ""Profile Length"": ""2m""}")</f>
        <v>{"SKU": "PR125", "Dimension": "18mm (W) x 5.6mm (H)", "Finish": "Silver", "Profile Length": "2m"}</v>
      </c>
      <c r="Q43" s="15" t="s">
        <v>239</v>
      </c>
      <c r="R4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Q43)"),"{""SKU"": ""PR125"", ""Dimension"": ""18mm (W) x 5.6mm (H)"", ""Finish"": ""Silver"", ""Profile Length"": ""2m""}")</f>
        <v>{"SKU": "PR125", "Dimension": "18mm (W) x 5.6mm (H)", "Finish": "Silver", "Profile Length": "2m"}</v>
      </c>
      <c r="S43" s="17" t="s">
        <v>239</v>
      </c>
      <c r="T4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Q43)"),"{ ""Options"": { ""Dimension"": [ {""name"": ""18mm (W) x 5.6mm (H)"", ""id"": ""101""} ], ""Finish"": [ {""name"": ""Silver"", ""id"": ""102""} ], ""Profile Length"": [ {""name"": ""2m"", ""id"": ""103""} ] }, ""Constraints"": {}, ""sku_mappings"": [ { "&amp;"""sku"": ""PR125"", ""combination"": [""101"", ""102"", ""103""] } ] }")</f>
        <v>{ "Options": { "Dimension": [ {"name": "18mm (W) x 5.6mm (H)", "id": "101"} ], "Finish": [ {"name": "Silver", "id": "102"} ], "Profile Length": [ {"name": "2m", "id": "103"} ] }, "Constraints": {}, "sku_mappings": [ { "sku": "PR125", "combination": ["101", "102", "103"] } ] }</v>
      </c>
      <c r="U43" s="30" t="s">
        <v>240</v>
      </c>
      <c r="V43" s="19" t="str">
        <f>IFERROR(__xludf.DUMMYFUNCTION("AI(""Extract options object from the json"", U43)"),"{""Dimension"": [{""name"": ""18mm (W) x 5.6mm (H)"", ""id"": ""101""}], ""Finish"": [{""name"": ""Silver"", ""id"": ""102""}], ""Profile Length"": [{""name"": ""2m"", ""id"": ""103""}]}")</f>
        <v>{"Dimension": [{"name": "18mm (W) x 5.6mm (H)", "id": "101"}], "Finish": [{"name": "Silver", "id": "102"}], "Profile Length": [{"name": "2m", "id": "103"}]}</v>
      </c>
      <c r="W43" s="19" t="str">
        <f>IFERROR(__xludf.DUMMYFUNCTION("AI(""Extract constraints object from the json"", U43)"),"{}")</f>
        <v>{}</v>
      </c>
      <c r="X43" s="19" t="str">
        <f>IFERROR(__xludf.DUMMYFUNCTION("AI(""Extract sku_mappings object from the json"", U43)"),"[ { ""sku"": ""PR125"", ""combination"": [""101"", ""102"", ""103""] } ]")</f>
        <v>[ { "sku": "PR125", "combination": ["101", "102", "103"] } ]</v>
      </c>
      <c r="Y43" s="17" t="s">
        <v>40</v>
      </c>
      <c r="Z43" s="17" t="s">
        <v>241</v>
      </c>
      <c r="AA43" s="17" t="s">
        <v>42</v>
      </c>
      <c r="AB43" s="20"/>
      <c r="AC43" s="21" t="str">
        <f>IFERROR(__xludf.DUMMYFUNCTION("AI(""Generate 6 powerful unique keywords for the product in this row separated by comma"")"),"Bendable aluminium profile, Flexible LED channel, Curved LED extrusion, Flexible linear housing, Bendable LED channel, Slim flexible profile")</f>
        <v>Bendable aluminium profile, Flexible LED channel, Curved LED extrusion, Flexible linear housing, Bendable LED channel, Slim flexible profile</v>
      </c>
      <c r="AD43" s="20" t="s">
        <v>242</v>
      </c>
    </row>
    <row r="44">
      <c r="A44" s="10" t="s">
        <v>243</v>
      </c>
      <c r="B44" s="11" t="s">
        <v>182</v>
      </c>
      <c r="C44" s="11" t="s">
        <v>32</v>
      </c>
      <c r="D44" s="10" t="s">
        <v>183</v>
      </c>
      <c r="E44" s="11" t="s">
        <v>34</v>
      </c>
      <c r="F44" s="12"/>
      <c r="G44" s="13"/>
      <c r="H44" s="12"/>
      <c r="I44" s="11"/>
      <c r="J44" s="22"/>
      <c r="K44" s="22"/>
      <c r="L44" s="11" t="s">
        <v>243</v>
      </c>
      <c r="M44" s="11" t="s">
        <v>244</v>
      </c>
      <c r="N4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""&amp;M44)"),"Dimension | Finish | Profile Length")</f>
        <v>Dimension | Finish | Profile Length</v>
      </c>
      <c r="O44" s="15" t="s">
        <v>36</v>
      </c>
      <c r="P44" s="14" t="str">
        <f>IFERROR(__xludf.DUMMYFUNCTION("AI(""Using the labels""&amp;N44&amp;"" and values ""&amp;M44&amp;"" separated by character '|' and Using ""&amp;L44&amp;"" and key as 'SKU', Create a JSON object"")"),"{""SKU"": ""PR126-3m-Silver"", ""Dimension"": ""25mm (W) x 25mm (H)"", ""Finish"": ""Silver"", ""Profile Length"": ""3m""}")</f>
        <v>{"SKU": "PR126-3m-Silver", "Dimension": "25mm (W) x 25mm (H)", "Finish": "Silver", "Profile Length": "3m"}</v>
      </c>
      <c r="Q44" s="15" t="s">
        <v>245</v>
      </c>
      <c r="R4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Q44:Q46)"),"{""SKU"": [""PR126-3m-Silver"", ""PR126-3m-Black"", ""PR126-3m-White""], ""Dimension"": ""25mm (W) x 25mm (H)"", ""Finish"": [""Silver"", ""Black"", ""White""], ""Profile Length"": ""3m""}")</f>
        <v>{"SKU": ["PR126-3m-Silver", "PR126-3m-Black", "PR126-3m-White"], "Dimension": "25mm (W) x 25mm (H)", "Finish": ["Silver", "Black", "White"], "Profile Length": "3m"}</v>
      </c>
      <c r="S44" s="17" t="s">
        <v>246</v>
      </c>
      <c r="T44"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Q44:Q46)"),"{ ""Options"": { ""Dimension"": [ {""name"": ""25mm (W) x 25mm (H)"", ""id"": ""101""} ], ""Finish"": [ {""name"": ""Silver"", ""id"": ""102""}, {""name"": ""Black"", ""id"": ""103""}, {""name"": ""White"", ""id"": ""104""} ], ""Profile Length"": [ {""nam"&amp;"e"": ""3m"", ""id"": ""105""} ] }, ""Constraints"": {}, ""sku_mappings"": [ { ""sku"": ""PR126-3m-Silver"", ""combination"": [""101"", ""102"", ""105""] }, { ""sku"": ""PR126-3m-Black"", ""combination"": [""101"", ""103"", ""105""] }, { ""sku"": ""PR126-3"&amp;"m-White"", ""combination"": [""101"", ""104"", ""105""] } ] }")</f>
        <v>{ "Options": { "Dimension": [ {"name": "25mm (W) x 25mm (H)", "id": "101"} ], "Finish": [ {"name": "Silver", "id": "102"}, {"name": "Black", "id": "103"}, {"name": "White", "id": "104"} ], "Profile Length": [ {"name": "3m", "id": "105"} ] }, "Constraints": {}, "sku_mappings": [ { "sku": "PR126-3m-Silver", "combination": ["101", "102", "105"] }, { "sku": "PR126-3m-Black", "combination": ["101", "103", "105"] }, { "sku": "PR126-3m-White", "combination": ["101", "104", "105"] } ] }</v>
      </c>
      <c r="U44" s="30" t="s">
        <v>247</v>
      </c>
      <c r="V44" s="19" t="str">
        <f>IFERROR(__xludf.DUMMYFUNCTION("AI(""Extract options object from the json"", U44)"),"{""Dimension"": [{""name"": ""25mm (W) x 25mm (H)"", ""id"": ""101""}], ""Finish"": [{""name"": ""Silver"", ""id"": ""102""}, {""name"": ""Black"", ""id"": ""103""}, {""name"": ""White"", ""id"": ""104""}], ""Profile Length"": [{""name"": ""3m"", ""id"": "&amp;"""105""}]}")</f>
        <v>{"Dimension": [{"name": "25mm (W) x 25mm (H)", "id": "101"}], "Finish": [{"name": "Silver", "id": "102"}, {"name": "Black", "id": "103"}, {"name": "White", "id": "104"}], "Profile Length": [{"name": "3m", "id": "105"}]}</v>
      </c>
      <c r="W44" s="19" t="str">
        <f>IFERROR(__xludf.DUMMYFUNCTION("AI(""Extract constraints object from the json"", U44)"),"{}")</f>
        <v>{}</v>
      </c>
      <c r="X44" s="19" t="str">
        <f>IFERROR(__xludf.DUMMYFUNCTION("AI(""Extract sku_mappings object from the json"", U44)"),"[ { ""sku"": ""PR126-3m-Silver"", ""combination"": [""101"", ""102"", ""105""] }, { ""sku"": ""PR126-3m-Black"", ""combination"": [""101"", ""103"", ""105""] }, { ""sku"": ""PR126-3m-White"", ""combination"": [""101"", ""104"", ""105""] } ]")</f>
        <v>[ { "sku": "PR126-3m-Silver", "combination": ["101", "102", "105"] }, { "sku": "PR126-3m-Black", "combination": ["101", "103", "105"] }, { "sku": "PR126-3m-White", "combination": ["101", "104", "105"] } ]</v>
      </c>
      <c r="Y44" s="17" t="s">
        <v>40</v>
      </c>
      <c r="Z44" s="17" t="s">
        <v>248</v>
      </c>
      <c r="AA44" s="17" t="s">
        <v>42</v>
      </c>
      <c r="AB44" s="20"/>
      <c r="AC44" s="21" t="str">
        <f>IFERROR(__xludf.DUMMYFUNCTION("AI(""Generate 6 powerful unique keywords for the product in this row separated by comma"")"),"Suspended LED profile, Surface mount aluminium channel, Square LED extrusion, Hanging linear housing, 3m aluminium profile, Architectural linear channel")</f>
        <v>Suspended LED profile, Surface mount aluminium channel, Square LED extrusion, Hanging linear housing, 3m aluminium profile, Architectural linear channel</v>
      </c>
      <c r="AD44" s="20" t="s">
        <v>249</v>
      </c>
    </row>
    <row r="45">
      <c r="A45" s="10"/>
      <c r="B45" s="22"/>
      <c r="C45" s="22"/>
      <c r="D45" s="22"/>
      <c r="E45" s="22"/>
      <c r="F45" s="23"/>
      <c r="G45" s="22"/>
      <c r="H45" s="23"/>
      <c r="I45" s="22"/>
      <c r="J45" s="22"/>
      <c r="K45" s="22"/>
      <c r="L45" s="33" t="s">
        <v>250</v>
      </c>
      <c r="M45" s="33" t="s">
        <v>251</v>
      </c>
      <c r="N4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""&amp;M45)"),"Dimension | Finish | Profile Length")</f>
        <v>Dimension | Finish | Profile Length</v>
      </c>
      <c r="O45" s="15" t="s">
        <v>36</v>
      </c>
      <c r="P45" s="14" t="str">
        <f>IFERROR(__xludf.DUMMYFUNCTION("AI(""Using the labels""&amp;N45&amp;"" and values ""&amp;M45&amp;"" separated by character '|' and Using ""&amp;L45&amp;"" and key as 'SKU', Create a JSON object"")"),"{""SKU"": ""PR126-3m-Black"", ""Dimension"": ""25mm (W) x 25mm (H)"", ""Finish"": ""Black"", ""Profile Length"": ""3m""}")</f>
        <v>{"SKU": "PR126-3m-Black", "Dimension": "25mm (W) x 25mm (H)", "Finish": "Black", "Profile Length": "3m"}</v>
      </c>
      <c r="Q45" s="15" t="s">
        <v>252</v>
      </c>
      <c r="R45" s="25"/>
      <c r="S45" s="25"/>
      <c r="T45" s="25"/>
      <c r="U45" s="26"/>
      <c r="V45" s="25"/>
      <c r="W45" s="25"/>
      <c r="X45" s="25"/>
      <c r="Y45" s="32" t="s">
        <v>40</v>
      </c>
      <c r="Z45" s="32" t="s">
        <v>248</v>
      </c>
      <c r="AA45" s="17" t="s">
        <v>42</v>
      </c>
      <c r="AB45" s="20"/>
      <c r="AC45" s="20"/>
      <c r="AD45" s="20"/>
    </row>
    <row r="46">
      <c r="A46" s="10"/>
      <c r="B46" s="22"/>
      <c r="C46" s="22"/>
      <c r="D46" s="22"/>
      <c r="E46" s="22"/>
      <c r="F46" s="23"/>
      <c r="G46" s="22"/>
      <c r="H46" s="23"/>
      <c r="I46" s="22"/>
      <c r="J46" s="22"/>
      <c r="K46" s="22"/>
      <c r="L46" s="33" t="s">
        <v>253</v>
      </c>
      <c r="M46" s="33" t="s">
        <v>254</v>
      </c>
      <c r="N4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""&amp;M46)"),"Dimension | Finish | Profile Length")</f>
        <v>Dimension | Finish | Profile Length</v>
      </c>
      <c r="O46" s="15" t="s">
        <v>36</v>
      </c>
      <c r="P46" s="14" t="str">
        <f>IFERROR(__xludf.DUMMYFUNCTION("AI(""Using the labels""&amp;N46&amp;"" and values ""&amp;M46&amp;"" separated by character '|' and Using ""&amp;L46&amp;"" and key as 'SKU', Create a JSON object"")"),"{""SKU"": ""PR126-3m-White"", ""Dimension"": ""25mm (W) x 25mm (H)"", ""Finish"": ""White"", ""Profile Length"": ""3m""}")</f>
        <v>{"SKU": "PR126-3m-White", "Dimension": "25mm (W) x 25mm (H)", "Finish": "White", "Profile Length": "3m"}</v>
      </c>
      <c r="Q46" s="15" t="s">
        <v>255</v>
      </c>
      <c r="R46" s="25"/>
      <c r="S46" s="25"/>
      <c r="T46" s="25"/>
      <c r="U46" s="26"/>
      <c r="V46" s="25"/>
      <c r="W46" s="25"/>
      <c r="X46" s="25"/>
      <c r="Y46" s="32" t="s">
        <v>40</v>
      </c>
      <c r="Z46" s="32" t="s">
        <v>248</v>
      </c>
      <c r="AA46" s="17" t="s">
        <v>42</v>
      </c>
      <c r="AB46" s="20"/>
      <c r="AC46" s="20"/>
      <c r="AD46" s="20"/>
    </row>
    <row r="47">
      <c r="A47" s="10" t="s">
        <v>256</v>
      </c>
      <c r="B47" s="11" t="s">
        <v>182</v>
      </c>
      <c r="C47" s="11" t="s">
        <v>32</v>
      </c>
      <c r="D47" s="10" t="s">
        <v>183</v>
      </c>
      <c r="E47" s="11" t="s">
        <v>34</v>
      </c>
      <c r="F47" s="23"/>
      <c r="G47" s="22"/>
      <c r="H47" s="12"/>
      <c r="I47" s="22"/>
      <c r="J47" s="22"/>
      <c r="K47" s="22"/>
      <c r="L47" s="33" t="s">
        <v>256</v>
      </c>
      <c r="M47" s="33" t="s">
        <v>257</v>
      </c>
      <c r="N4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""&amp;M47)"),"Dimension | Finish | Profile Length")</f>
        <v>Dimension | Finish | Profile Length</v>
      </c>
      <c r="O47" s="15" t="s">
        <v>36</v>
      </c>
      <c r="P47" s="14" t="str">
        <f>IFERROR(__xludf.DUMMYFUNCTION("AI(""Using the labels""&amp;N47&amp;"" and values ""&amp;M47&amp;"" separated by character '|' and Using ""&amp;L47&amp;"" and key as 'SKU', Create a JSON object"")"),"{""SKU"": ""PR127-3m-Silver"", ""Dimension"": ""50mm (W) x 75mm (H)"", ""Finish"": ""Silver"", ""Profile Length"": ""3m""}")</f>
        <v>{"SKU": "PR127-3m-Silver", "Dimension": "50mm (W) x 75mm (H)", "Finish": "Silver", "Profile Length": "3m"}</v>
      </c>
      <c r="Q47" s="15" t="s">
        <v>258</v>
      </c>
      <c r="R47"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Q47:Q49)"),"{""SKU"": ""PR127-3m-Silver"", ""Dimension"": ""50mm (W) x 75mm (H)"", ""Finish"": ""Silver"", ""Profile Length"": ""3m""}")</f>
        <v>{"SKU": "PR127-3m-Silver", "Dimension": "50mm (W) x 75mm (H)", "Finish": "Silver", "Profile Length": "3m"}</v>
      </c>
      <c r="S47" s="17" t="s">
        <v>258</v>
      </c>
      <c r="T47"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Q47:Q49)"),"{ ""Options"": { ""Dimension"": [ {""name"": ""50mm (W) x 75mm (H)"", ""id"": ""101""} ], ""Finish"": [ {""name"": ""Silver"", ""id"": ""102""}, {""name"": ""Black"", ""id"": ""103""}, {""name"": ""White"", ""id"": ""104""} ], ""Profile Length"": [ {""nam"&amp;"e"": ""3m"", ""id"": ""105""} ] }, ""Constraints"": {}, ""sku_mappings"": [ { ""sku"": ""PR127-3m-Silver"", ""combination"": [""101"", ""102"", ""105""] }, { ""sku"": ""PR127-3m-Black"", ""combination"": [""101"", ""103"", ""105""] }, { ""sku"": ""PR127-3"&amp;"m-White"", ""combination"": [""101"", ""104"", ""105""] } ] }")</f>
        <v>{ "Options": { "Dimension": [ {"name": "50mm (W) x 75mm (H)", "id": "101"} ], "Finish": [ {"name": "Silver", "id": "102"}, {"name": "Black", "id": "103"}, {"name": "White", "id": "104"} ], "Profile Length": [ {"name": "3m", "id": "105"} ] }, "Constraints": {}, "sku_mappings": [ { "sku": "PR127-3m-Silver", "combination": ["101", "102", "105"] }, { "sku": "PR127-3m-Black", "combination": ["101", "103", "105"] }, { "sku": "PR127-3m-White", "combination": ["101", "104", "105"] } ] }</v>
      </c>
      <c r="U47" s="30" t="s">
        <v>259</v>
      </c>
      <c r="V47" s="31" t="str">
        <f>IFERROR(__xludf.DUMMYFUNCTION("AI(""Extract options object from the json"", U47)"),"{""Dimension"": [{""name"": ""50mm (W) x 75mm (H)"", ""id"": ""101""}], ""Finish"": [{""name"": ""Silver"", ""id"": ""102""}, {""name"": ""Black"", ""id"": ""103""}, {""name"": ""White"", ""id"": ""104""}], ""Profile Length"": [{""name"": ""3m"", ""id"": "&amp;"""105""}]}")</f>
        <v>{"Dimension": [{"name": "50mm (W) x 75mm (H)", "id": "101"}], "Finish": [{"name": "Silver", "id": "102"}, {"name": "Black", "id": "103"}, {"name": "White", "id": "104"}], "Profile Length": [{"name": "3m", "id": "105"}]}</v>
      </c>
      <c r="W47" s="31" t="str">
        <f>IFERROR(__xludf.DUMMYFUNCTION("AI(""Extract constraints object from the json"", U47)"),"{}")</f>
        <v>{}</v>
      </c>
      <c r="X47" s="31" t="str">
        <f>IFERROR(__xludf.DUMMYFUNCTION("AI(""Extract sku_mappings object from the json"", U47)"),"[ { ""sku"": ""PR127-3m-Silver"", ""combination"": [""101"", ""102"", ""105""] }, { ""sku"": ""PR127-3m-Black"", ""combination"": [""101"", ""103"", ""105""] }, { ""sku"": ""PR127-3m-White"", ""combination"": [""101"", ""104"", ""105""] } ]")</f>
        <v>[ { "sku": "PR127-3m-Silver", "combination": ["101", "102", "105"] }, { "sku": "PR127-3m-Black", "combination": ["101", "103", "105"] }, { "sku": "PR127-3m-White", "combination": ["101", "104", "105"] } ]</v>
      </c>
      <c r="Y47" s="32" t="s">
        <v>40</v>
      </c>
      <c r="Z47" s="32" t="s">
        <v>260</v>
      </c>
      <c r="AA47" s="17" t="s">
        <v>42</v>
      </c>
      <c r="AB47" s="20"/>
      <c r="AC47" s="21" t="str">
        <f>IFERROR(__xludf.DUMMYFUNCTION("AI(""Generate 6 powerful unique keywords for the product in this row separated by comma"")"),"Aluminium surface suspended profile, Architectural linear lighting, Suspended LED channel, Surface mount LED extrusion, High bay LED light housing, Commercial linear diffuser")</f>
        <v>Aluminium surface suspended profile, Architectural linear lighting, Suspended LED channel, Surface mount LED extrusion, High bay LED light housing, Commercial linear diffuser</v>
      </c>
      <c r="AD47" s="20" t="s">
        <v>261</v>
      </c>
    </row>
    <row r="48">
      <c r="A48" s="20"/>
      <c r="B48" s="22"/>
      <c r="C48" s="22"/>
      <c r="D48" s="22"/>
      <c r="E48" s="22"/>
      <c r="F48" s="23"/>
      <c r="G48" s="22"/>
      <c r="H48" s="23"/>
      <c r="I48" s="22"/>
      <c r="J48" s="22"/>
      <c r="K48" s="22"/>
      <c r="L48" s="33" t="s">
        <v>262</v>
      </c>
      <c r="M48" s="33" t="s">
        <v>263</v>
      </c>
      <c r="N4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""&amp;M48)"),"Dimension | Finish | Profile Length")</f>
        <v>Dimension | Finish | Profile Length</v>
      </c>
      <c r="O48" s="15" t="s">
        <v>36</v>
      </c>
      <c r="P48" s="14" t="str">
        <f>IFERROR(__xludf.DUMMYFUNCTION("AI(""Using the labels""&amp;N48&amp;"" and values ""&amp;M48&amp;"" separated by character '|' and Using ""&amp;L48&amp;"" and key as 'SKU', Create a JSON object"")"),"{""SKU"": ""PR127-3m-Black"", ""Dimension"": ""50mm (W) x 75mm (H)"", ""Finish"": ""Black"", ""Profile Length"": ""3m""}")</f>
        <v>{"SKU": "PR127-3m-Black", "Dimension": "50mm (W) x 75mm (H)", "Finish": "Black", "Profile Length": "3m"}</v>
      </c>
      <c r="Q48" s="15" t="s">
        <v>264</v>
      </c>
      <c r="R48" s="25"/>
      <c r="S48" s="25"/>
      <c r="T48" s="25"/>
      <c r="U48" s="26"/>
      <c r="V48" s="25"/>
      <c r="W48" s="25"/>
      <c r="X48" s="25"/>
      <c r="Y48" s="32" t="s">
        <v>40</v>
      </c>
      <c r="Z48" s="32" t="s">
        <v>260</v>
      </c>
      <c r="AA48" s="17" t="s">
        <v>42</v>
      </c>
      <c r="AB48" s="20"/>
      <c r="AC48" s="20"/>
      <c r="AD48" s="20"/>
    </row>
    <row r="49">
      <c r="A49" s="20"/>
      <c r="B49" s="22"/>
      <c r="C49" s="22"/>
      <c r="D49" s="22"/>
      <c r="E49" s="22"/>
      <c r="F49" s="23"/>
      <c r="G49" s="22"/>
      <c r="H49" s="23"/>
      <c r="I49" s="22"/>
      <c r="J49" s="22"/>
      <c r="K49" s="22"/>
      <c r="L49" s="33" t="s">
        <v>265</v>
      </c>
      <c r="M49" s="33" t="s">
        <v>266</v>
      </c>
      <c r="N4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""&amp;M49)"),"Dimension | Finish | Profile Length")</f>
        <v>Dimension | Finish | Profile Length</v>
      </c>
      <c r="O49" s="15" t="s">
        <v>36</v>
      </c>
      <c r="P49" s="14" t="str">
        <f>IFERROR(__xludf.DUMMYFUNCTION("AI(""Using the labels""&amp;N49&amp;"" and values ""&amp;M49&amp;"" separated by character '|' and Using ""&amp;L49&amp;"" and key as 'SKU', Create a JSON object"")"),"{""SKU"": ""PR127-3m-White"", ""Dimension"": ""50mm (W) x 75mm (H)"", ""Finish"": ""White"", ""Profile Length"": ""3m""}")</f>
        <v>{"SKU": "PR127-3m-White", "Dimension": "50mm (W) x 75mm (H)", "Finish": "White", "Profile Length": "3m"}</v>
      </c>
      <c r="Q49" s="15" t="s">
        <v>267</v>
      </c>
      <c r="R49" s="25"/>
      <c r="S49" s="25"/>
      <c r="T49" s="25"/>
      <c r="U49" s="26"/>
      <c r="V49" s="25"/>
      <c r="W49" s="25"/>
      <c r="X49" s="25"/>
      <c r="Y49" s="32" t="s">
        <v>40</v>
      </c>
      <c r="Z49" s="32" t="s">
        <v>260</v>
      </c>
      <c r="AA49" s="17" t="s">
        <v>42</v>
      </c>
      <c r="AB49" s="20"/>
      <c r="AC49" s="20"/>
      <c r="AD49" s="20"/>
    </row>
    <row r="50">
      <c r="A50" s="10"/>
      <c r="B50" s="11" t="s">
        <v>268</v>
      </c>
      <c r="C50" s="11" t="s">
        <v>32</v>
      </c>
      <c r="D50" s="11" t="s">
        <v>269</v>
      </c>
      <c r="E50" s="11" t="s">
        <v>34</v>
      </c>
      <c r="F50" s="23"/>
      <c r="G50" s="22"/>
      <c r="H50" s="12"/>
      <c r="I50" s="22"/>
      <c r="J50" s="22"/>
      <c r="K50" s="22"/>
      <c r="L50" s="33" t="s">
        <v>270</v>
      </c>
      <c r="M50" s="33" t="s">
        <v>271</v>
      </c>
      <c r="N5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""&amp;M50)"),"Dimension | Finish | Profile Length")</f>
        <v>Dimension | Finish | Profile Length</v>
      </c>
      <c r="O50" s="15" t="s">
        <v>36</v>
      </c>
      <c r="P50" s="14" t="str">
        <f>IFERROR(__xludf.DUMMYFUNCTION("AI(""Using the labels""&amp;N50&amp;"" and values ""&amp;M50&amp;"" separated by character '|' and Using ""&amp;L50&amp;"" and key as 'SKU', Create a JSON object"")"),"{""SKU"": ""PR129"", ""Dimension"": ""45.7mm (W) x 50 (H)"", ""Finish"": ""Silver"", ""Profile Length"": ""2m""}")</f>
        <v>{"SKU": "PR129", "Dimension": "45.7mm (W) x 50 (H)", "Finish": "Silver", "Profile Length": "2m"}</v>
      </c>
      <c r="Q50" s="15" t="s">
        <v>272</v>
      </c>
      <c r="R5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Q50)"),"{""SKU"": ""PR127-3m-Black"", ""Dimension"": ""50mm (W) x 75mm (H)"", ""Finish"": ""Black"", ""Profile Length"": ""3m""}")</f>
        <v>{"SKU": "PR127-3m-Black", "Dimension": "50mm (W) x 75mm (H)", "Finish": "Black", "Profile Length": "3m"}</v>
      </c>
      <c r="S50" s="17" t="s">
        <v>264</v>
      </c>
      <c r="T5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Q50)"),"{
""Options"": {
""Dimension"": [
{
""name"": ""45.7mm (W) x 50 (H)"",
""id"": ""101""
}
],
""Finish"": [
{
""name"": ""Silver"",
""id"": ""102""
}
],
""Profile Length"": [
{
""name"": ""2m"",
""id"": ""103""
}
]
},
""Constraints"": {},
""sku_mappings"": "&amp;"[
{
""sku"": ""PR129"",
""combination"": [
""101"",
""102"",
""103""
]
}
]
}")</f>
        <v>{
"Options": {
"Dimension": [
{
"name": "45.7mm (W) x 50 (H)",
"id": "101"
}
],
"Finish": [
{
"name": "Silver",
"id": "102"
}
],
"Profile Length": [
{
"name": "2m",
"id": "103"
}
]
},
"Constraints": {},
"sku_mappings": [
{
"sku": "PR129",
"combination": [
"101",
"102",
"103"
]
}
]
}</v>
      </c>
      <c r="U50" s="30" t="s">
        <v>273</v>
      </c>
      <c r="V50" s="31" t="str">
        <f>IFERROR(__xludf.DUMMYFUNCTION("AI(""Extract options object from the json"", U50)"),"{""Dimension"": [{""name"": ""45.7mm (W) x 50 (H)"", ""id"": ""101""}], ""Finish"": [{""name"": ""Silver"", ""id"": ""102""}], ""Profile Length"": [{""name"": ""2m"", ""id"": ""103""}]}")</f>
        <v>{"Dimension": [{"name": "45.7mm (W) x 50 (H)", "id": "101"}], "Finish": [{"name": "Silver", "id": "102"}], "Profile Length": [{"name": "2m", "id": "103"}]}</v>
      </c>
      <c r="W50" s="31" t="str">
        <f>IFERROR(__xludf.DUMMYFUNCTION("AI(""Extract constraints object from the json"", U50)"),"{}")</f>
        <v>{}</v>
      </c>
      <c r="X50" s="31" t="str">
        <f>IFERROR(__xludf.DUMMYFUNCTION("AI(""Extract sku_mappings object from the json"", U50)"),"[ { ""sku"": ""PR129"", ""combination"": [ ""101"", ""102"", ""103"" ] } ]")</f>
        <v>[ { "sku": "PR129", "combination": [ "101", "102", "103" ] } ]</v>
      </c>
      <c r="Y50" s="32" t="s">
        <v>40</v>
      </c>
      <c r="Z50" s="32" t="s">
        <v>274</v>
      </c>
      <c r="AA50" s="17" t="s">
        <v>174</v>
      </c>
      <c r="AB50" s="20"/>
      <c r="AC50" s="21" t="str">
        <f>IFERROR(__xludf.DUMMYFUNCTION("AI(""Generate 6 powerful unique keywords for the product in this row separated by comma"")"),"Corner LED profile, Aluminium wall washer channel, Corner aluminium extrusion, Surface mount corner LED housing, Architectural wall wash lighting, Linear LED extrusion")</f>
        <v>Corner LED profile, Aluminium wall washer channel, Corner aluminium extrusion, Surface mount corner LED housing, Architectural wall wash lighting, Linear LED extrusion</v>
      </c>
      <c r="AD50" s="20" t="s">
        <v>275</v>
      </c>
    </row>
    <row r="51">
      <c r="A51" s="10" t="s">
        <v>276</v>
      </c>
      <c r="B51" s="11" t="s">
        <v>277</v>
      </c>
      <c r="C51" s="11" t="s">
        <v>32</v>
      </c>
      <c r="D51" s="11" t="s">
        <v>278</v>
      </c>
      <c r="E51" s="11" t="s">
        <v>34</v>
      </c>
      <c r="F51" s="23"/>
      <c r="G51" s="22"/>
      <c r="H51" s="12"/>
      <c r="I51" s="22"/>
      <c r="J51" s="22"/>
      <c r="K51" s="22"/>
      <c r="L51" s="33" t="s">
        <v>276</v>
      </c>
      <c r="M51" s="33" t="s">
        <v>279</v>
      </c>
      <c r="N5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""&amp;M51)"),"Dimension | Finish | Profile Length")</f>
        <v>Dimension | Finish | Profile Length</v>
      </c>
      <c r="O51" s="15" t="s">
        <v>36</v>
      </c>
      <c r="P51" s="14" t="str">
        <f>IFERROR(__xludf.DUMMYFUNCTION("AI(""Using the labels""&amp;N51&amp;"" and values ""&amp;M51&amp;"" separated by character '|' and Using ""&amp;L51&amp;"" and key as 'SKU', Create a JSON object"")"),"{""SKU"": ""PR130-W"", ""Dimension"": ""85.5mm (W) x 56.8mm (H)"", ""Finish"": ""White"", ""Profile Length"": ""2m""}")</f>
        <v>{"SKU": "PR130-W", "Dimension": "85.5mm (W) x 56.8mm (H)", "Finish": "White", "Profile Length": "2m"}</v>
      </c>
      <c r="Q51" s="15" t="s">
        <v>280</v>
      </c>
      <c r="R51"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Q51)"),"{""SKU"": ""PR127-3m-White"", ""Dimension"": ""50mm (W) x 75mm (H)"", ""Finish"": ""White"", ""Profile Length"": ""3m""}")</f>
        <v>{"SKU": "PR127-3m-White", "Dimension": "50mm (W) x 75mm (H)", "Finish": "White", "Profile Length": "3m"}</v>
      </c>
      <c r="S51" s="17" t="s">
        <v>267</v>
      </c>
      <c r="T51"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Q51)"),"{
""Options"": {
""Dimension"": [
{
""name"": ""85.5mm (W) x 56.8mm (H)"",
""id"": ""101""
}
],
""Finish"": [
{
""name"": ""White"",
""id"": ""102""
}
],
""Profile Length"": [
{
""name"": ""2m"",
""id"": ""103""
}
]
},
""Constraints"": {},
""sku_mappings"&amp;""": [
{
""sku"": ""PR130-W"",
""combination"": [
""101"",
""102"",
""103""
]
}
]
}")</f>
        <v>{
"Options": {
"Dimension": [
{
"name": "85.5mm (W) x 56.8mm (H)",
"id": "101"
}
],
"Finish": [
{
"name": "White",
"id": "102"
}
],
"Profile Length": [
{
"name": "2m",
"id": "103"
}
]
},
"Constraints": {},
"sku_mappings": [
{
"sku": "PR130-W",
"combination": [
"101",
"102",
"103"
]
}
]
}</v>
      </c>
      <c r="U51" s="30" t="s">
        <v>281</v>
      </c>
      <c r="V51" s="31" t="str">
        <f>IFERROR(__xludf.DUMMYFUNCTION("AI(""Extract options object from the json"", U51)"),"{""Dimension"": [{""name"": ""85.5mm (W) x 56.8mm (H)"", ""id"": ""101""}], ""Finish"": [{""name"": ""White"", ""id"": ""102""}], ""Profile Length"": [{""name"": ""2m"", ""id"": ""103""}]}")</f>
        <v>{"Dimension": [{"name": "85.5mm (W) x 56.8mm (H)", "id": "101"}], "Finish": [{"name": "White", "id": "102"}], "Profile Length": [{"name": "2m", "id": "103"}]}</v>
      </c>
      <c r="W51" s="31" t="str">
        <f>IFERROR(__xludf.DUMMYFUNCTION("AI(""Extract constraints object from the json"", U51)"),"{}")</f>
        <v>{}</v>
      </c>
      <c r="X51" s="31" t="str">
        <f>IFERROR(__xludf.DUMMYFUNCTION("AI(""Extract sku_mappings object from the json"", U51)"),"[ { ""sku"": ""PR130-W"", ""combination"": [ ""101"", ""102"", ""103"" ] } ]")</f>
        <v>[ { "sku": "PR130-W", "combination": [ "101", "102", "103" ] } ]</v>
      </c>
      <c r="Y51" s="17" t="s">
        <v>40</v>
      </c>
      <c r="Z51" s="17" t="s">
        <v>282</v>
      </c>
      <c r="AA51" s="17" t="s">
        <v>42</v>
      </c>
      <c r="AB51" s="20"/>
      <c r="AC51" s="21" t="str">
        <f>IFERROR(__xludf.DUMMYFUNCTION("AI(""Generate 6 powerful unique keywords for the product in this row separated by comma"")"),"Trimless LED wall washer, Deep recessed aluminium channel, Plaster-in LED profile, Architectural wall wash light, Recessed linear extrusion, Flush wall washer channel")</f>
        <v>Trimless LED wall washer, Deep recessed aluminium channel, Plaster-in LED profile, Architectural wall wash light, Recessed linear extrusion, Flush wall washer channel</v>
      </c>
      <c r="AD51" s="20" t="s">
        <v>283</v>
      </c>
    </row>
    <row r="52">
      <c r="A52" s="10" t="s">
        <v>284</v>
      </c>
      <c r="B52" s="11" t="s">
        <v>285</v>
      </c>
      <c r="C52" s="11" t="s">
        <v>32</v>
      </c>
      <c r="D52" s="11" t="s">
        <v>278</v>
      </c>
      <c r="E52" s="11" t="s">
        <v>34</v>
      </c>
      <c r="F52" s="23"/>
      <c r="G52" s="22"/>
      <c r="H52" s="12"/>
      <c r="I52" s="22"/>
      <c r="J52" s="22"/>
      <c r="K52" s="22"/>
      <c r="L52" s="33" t="s">
        <v>284</v>
      </c>
      <c r="M52" s="33" t="s">
        <v>286</v>
      </c>
      <c r="N5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""&amp;M52)"),"Dimension | Finish | Profile Length")</f>
        <v>Dimension | Finish | Profile Length</v>
      </c>
      <c r="O52" s="15" t="s">
        <v>36</v>
      </c>
      <c r="P52" s="14" t="str">
        <f>IFERROR(__xludf.DUMMYFUNCTION("AI(""Using the labels""&amp;N52&amp;"" and values ""&amp;M52&amp;"" separated by character '|' and Using ""&amp;L52&amp;"" and key as 'SKU', Create a JSON object"")"),"{""SKU"": ""PR131-W"", ""Dimension"": ""94.4mm (W) x 34mm (H)"", ""Finish"": ""White"", ""Profile Length"": ""2m""}")</f>
        <v>{"SKU": "PR131-W", "Dimension": "94.4mm (W) x 34mm (H)", "Finish": "White", "Profile Length": "2m"}</v>
      </c>
      <c r="Q52" s="15" t="s">
        <v>287</v>
      </c>
      <c r="R5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Q52:Q53)"),"{""SKU"": [""PR131-W"", ""PR131-3m-White""], ""Dimension"": ""94.4mm (W) x 34mm (H)"", ""Finish"": ""White"", ""Profile Length"": [""2m"", ""3m""]}")</f>
        <v>{"SKU": ["PR131-W", "PR131-3m-White"], "Dimension": "94.4mm (W) x 34mm (H)", "Finish": "White", "Profile Length": ["2m", "3m"]}</v>
      </c>
      <c r="S52" s="17" t="s">
        <v>288</v>
      </c>
      <c r="T5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Q52:Q53)"),"{ ""Options"": { ""Dimension"": [ {""name"": ""94.4mm (W) x 34mm (H)"", ""id"": ""101""} ], ""Finish"": [ {""name"": ""White"", ""id"": ""102""} ], ""Profile Length"": [ {""name"": ""2m"", ""id"": ""103""}, {""name"": ""3m"", ""id"": ""104""} ] }, ""Const"&amp;"raints"": {}, ""sku_mappings"": [ { ""sku"": ""PR131-W"", ""combination"": [""101"", ""102"", ""103""] }, { ""sku"": ""PR131-3m-White"", ""combination"": [""101"", ""102"", ""104""] } ] }")</f>
        <v>{ "Options": { "Dimension": [ {"name": "94.4mm (W) x 34mm (H)", "id": "101"} ], "Finish": [ {"name": "White", "id": "102"} ], "Profile Length": [ {"name": "2m", "id": "103"}, {"name": "3m", "id": "104"} ] }, "Constraints": {}, "sku_mappings": [ { "sku": "PR131-W", "combination": ["101", "102", "103"] }, { "sku": "PR131-3m-White", "combination": ["101", "102", "104"] } ] }</v>
      </c>
      <c r="U52" s="30" t="s">
        <v>289</v>
      </c>
      <c r="V52" s="31" t="str">
        <f>IFERROR(__xludf.DUMMYFUNCTION("AI(""Extract options object from the json"", U52)"),"{""Dimension"": [{""name"": ""94.4mm (W) x 34mm (H)"", ""id"": ""101""}], ""Finish"": [{""name"": ""White"", ""id"": ""102""}], ""Profile Length"": [{""name"": ""2m"", ""id"": ""103""}, {""name"": ""3m"", ""id"": ""104""}]}")</f>
        <v>{"Dimension": [{"name": "94.4mm (W) x 34mm (H)", "id": "101"}], "Finish": [{"name": "White", "id": "102"}], "Profile Length": [{"name": "2m", "id": "103"}, {"name": "3m", "id": "104"}]}</v>
      </c>
      <c r="W52" s="31" t="str">
        <f>IFERROR(__xludf.DUMMYFUNCTION("AI(""Extract constraints object from the json"", U52)"),"{}")</f>
        <v>{}</v>
      </c>
      <c r="X52" s="31" t="str">
        <f>IFERROR(__xludf.DUMMYFUNCTION("AI(""Extract sku_mappings object from the json"", U52)"),"[ { ""sku"": ""PR131-W"", ""combination"": [""101"", ""102"", ""103""] }, { ""sku"": ""PR131-3m-White"", ""combination"": [""101"", ""102"", ""104""] } ]")</f>
        <v>[ { "sku": "PR131-W", "combination": ["101", "102", "103"] }, { "sku": "PR131-3m-White", "combination": ["101", "102", "104"] } ]</v>
      </c>
      <c r="Y52" s="17" t="s">
        <v>40</v>
      </c>
      <c r="Z52" s="17" t="s">
        <v>290</v>
      </c>
      <c r="AA52" s="17" t="s">
        <v>42</v>
      </c>
      <c r="AB52" s="20"/>
      <c r="AC52" s="21" t="str">
        <f>IFERROR(__xludf.DUMMYFUNCTION("AI(""Generate 6 powerful unique keywords for the product in this row separated by comma"")"),"Trimless LED channel, Plaster-in wall washer profile, Recessed aluminium extrusion, Linear wall washer housing, Architectural LED profile, Flush mount wall wash channel")</f>
        <v>Trimless LED channel, Plaster-in wall washer profile, Recessed aluminium extrusion, Linear wall washer housing, Architectural LED profile, Flush mount wall wash channel</v>
      </c>
      <c r="AD52" s="20" t="s">
        <v>291</v>
      </c>
    </row>
    <row r="53">
      <c r="A53" s="10"/>
      <c r="B53" s="22"/>
      <c r="C53" s="22"/>
      <c r="D53" s="22"/>
      <c r="E53" s="22"/>
      <c r="F53" s="23"/>
      <c r="G53" s="22"/>
      <c r="H53" s="23"/>
      <c r="I53" s="22"/>
      <c r="J53" s="22"/>
      <c r="K53" s="22"/>
      <c r="L53" s="33" t="s">
        <v>292</v>
      </c>
      <c r="M53" s="33" t="s">
        <v>293</v>
      </c>
      <c r="N5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2m, 3m)
- AC Phase-Cut (Example Triac)
- Current Sinking (Example 0-10V)
- Current Sourcing (Example 1-10V)
- Duty Cycle (Example PWM)
- Variable Resistance "&amp;"(Example Potentiometer)
### STRICT OUTPUT RULES
1. Output ONLY the corresponding labels mentioned above separated by pipes ('|'). 
2. Do not include the values in your output.
3. Do not include any conversational text, introductory remarks, or markdown f"&amp;"ormatting blocks.
4. The number of labels in your output must exactly match the number of values provided in the input.
---
### FEW-SHOT EXAMPLES
#### Example 1 (Standard Neon Strip)
Input: 1.2W | SYM30° | 3000K | IP67 | IK10
Output: Power|Optics|CCT|I"&amp;"P Rating|Impact Strength
Input: 7W | Warm White | 12V/24V | AC/DC | IP67 | Black finish
Output: Power | Light Color | Current Type | IP Rating | Finish
---
### YOUR TASK
Generate output for the values text ""&amp;M53)"),"Dimension | Finish | Profile Length")</f>
        <v>Dimension | Finish | Profile Length</v>
      </c>
      <c r="O53" s="15" t="s">
        <v>36</v>
      </c>
      <c r="P53" s="14" t="str">
        <f>IFERROR(__xludf.DUMMYFUNCTION("AI(""Using the labels""&amp;N53&amp;"" and values ""&amp;M53&amp;"" separated by character '|' and Using ""&amp;L53&amp;"" and key as 'SKU', Create a JSON object"")"),"{""SKU"": ""PR131-3m-White"", ""Dimension"": ""94.4mm (W) x 34mm (H)"", ""Finish"": ""White"", ""Profile Length"": ""3m""}")</f>
        <v>{"SKU": "PR131-3m-White", "Dimension": "94.4mm (W) x 34mm (H)", "Finish": "White", "Profile Length": "3m"}</v>
      </c>
      <c r="Q53" s="15" t="s">
        <v>294</v>
      </c>
      <c r="R53" s="25"/>
      <c r="S53" s="25"/>
      <c r="T53" s="25"/>
      <c r="U53" s="26"/>
      <c r="V53" s="25"/>
      <c r="W53" s="25"/>
      <c r="X53" s="25"/>
      <c r="Y53" s="17" t="s">
        <v>40</v>
      </c>
      <c r="Z53" s="17" t="s">
        <v>290</v>
      </c>
      <c r="AA53" s="17" t="s">
        <v>42</v>
      </c>
      <c r="AB53" s="20"/>
      <c r="AC53" s="20"/>
      <c r="AD53" s="20"/>
    </row>
    <row r="54">
      <c r="A54" s="20"/>
      <c r="B54" s="22"/>
      <c r="C54" s="22"/>
      <c r="D54" s="22"/>
      <c r="E54" s="22"/>
      <c r="F54" s="23"/>
      <c r="G54" s="22"/>
      <c r="H54" s="23"/>
      <c r="I54" s="22"/>
      <c r="J54" s="22"/>
      <c r="K54" s="22"/>
      <c r="L54" s="34"/>
      <c r="M54" s="34"/>
      <c r="N54" s="28"/>
      <c r="O54" s="29"/>
      <c r="P54" s="28"/>
      <c r="Q54" s="29"/>
      <c r="R54" s="25"/>
      <c r="S54" s="25"/>
      <c r="T54" s="25"/>
      <c r="U54" s="26"/>
      <c r="V54" s="25"/>
      <c r="W54" s="25"/>
      <c r="X54" s="25"/>
      <c r="Y54" s="17"/>
      <c r="Z54" s="17"/>
      <c r="AA54" s="25"/>
      <c r="AB54" s="20"/>
      <c r="AC54" s="20"/>
      <c r="AD54" s="20"/>
    </row>
    <row r="55">
      <c r="A55" s="20"/>
      <c r="B55" s="22"/>
      <c r="C55" s="22"/>
      <c r="D55" s="22"/>
      <c r="E55" s="22"/>
      <c r="F55" s="23"/>
      <c r="G55" s="22"/>
      <c r="H55" s="23"/>
      <c r="I55" s="22"/>
      <c r="J55" s="22"/>
      <c r="K55" s="22"/>
      <c r="L55" s="34"/>
      <c r="M55" s="34"/>
      <c r="N55" s="28"/>
      <c r="O55" s="29"/>
      <c r="P55" s="28"/>
      <c r="Q55" s="29"/>
      <c r="R55" s="25"/>
      <c r="S55" s="25"/>
      <c r="T55" s="25"/>
      <c r="U55" s="26"/>
      <c r="V55" s="25"/>
      <c r="W55" s="25"/>
      <c r="X55" s="25"/>
      <c r="Y55" s="27"/>
      <c r="Z55" s="27"/>
      <c r="AA55" s="25"/>
      <c r="AB55" s="20"/>
      <c r="AC55" s="20"/>
      <c r="AD55" s="20"/>
    </row>
    <row r="56">
      <c r="A56" s="20"/>
      <c r="B56" s="22"/>
      <c r="C56" s="22"/>
      <c r="D56" s="22"/>
      <c r="E56" s="22"/>
      <c r="F56" s="23"/>
      <c r="G56" s="22"/>
      <c r="H56" s="23"/>
      <c r="I56" s="22"/>
      <c r="J56" s="22"/>
      <c r="K56" s="22"/>
      <c r="L56" s="34"/>
      <c r="M56" s="34"/>
      <c r="N56" s="28"/>
      <c r="O56" s="29"/>
      <c r="P56" s="28"/>
      <c r="Q56" s="29"/>
      <c r="R56" s="25"/>
      <c r="S56" s="25"/>
      <c r="T56" s="25"/>
      <c r="U56" s="26"/>
      <c r="V56" s="25"/>
      <c r="W56" s="25"/>
      <c r="X56" s="25"/>
      <c r="Y56" s="27"/>
      <c r="Z56" s="27"/>
      <c r="AA56" s="25"/>
      <c r="AB56" s="20"/>
      <c r="AC56" s="20"/>
      <c r="AD56" s="20"/>
    </row>
    <row r="57">
      <c r="A57" s="20"/>
      <c r="B57" s="22"/>
      <c r="C57" s="22"/>
      <c r="D57" s="22"/>
      <c r="E57" s="22"/>
      <c r="F57" s="23"/>
      <c r="G57" s="22"/>
      <c r="H57" s="23"/>
      <c r="I57" s="22"/>
      <c r="J57" s="22"/>
      <c r="K57" s="22"/>
      <c r="L57" s="34"/>
      <c r="M57" s="34"/>
      <c r="N57" s="28"/>
      <c r="O57" s="29"/>
      <c r="P57" s="28"/>
      <c r="Q57" s="29"/>
      <c r="R57" s="25"/>
      <c r="S57" s="25"/>
      <c r="T57" s="25"/>
      <c r="U57" s="26"/>
      <c r="V57" s="25"/>
      <c r="W57" s="25"/>
      <c r="X57" s="25"/>
      <c r="Y57" s="27"/>
      <c r="Z57" s="27"/>
      <c r="AA57" s="25"/>
      <c r="AB57" s="20"/>
      <c r="AC57" s="20"/>
      <c r="AD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sheetData>
  <drawing r:id="rId1"/>
  <tableParts count="1">
    <tablePart r:id="rId3"/>
  </tableParts>
</worksheet>
</file>