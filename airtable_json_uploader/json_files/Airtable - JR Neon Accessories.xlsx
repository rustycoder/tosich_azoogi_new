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JR Neon" sheetId="1" r:id="rId5"/>
  </sheets>
  <definedNames/>
  <calcPr/>
</workbook>
</file>

<file path=xl/sharedStrings.xml><?xml version="1.0" encoding="utf-8"?>
<sst xmlns="http://schemas.openxmlformats.org/spreadsheetml/2006/main" count="426" uniqueCount="226">
  <si>
    <t>SKU</t>
  </si>
  <si>
    <t>Name</t>
  </si>
  <si>
    <t>Product type</t>
  </si>
  <si>
    <t>Categories</t>
  </si>
  <si>
    <t>Status</t>
  </si>
  <si>
    <t>AI Product description</t>
  </si>
  <si>
    <t>Product description</t>
  </si>
  <si>
    <t>AI Product short description</t>
  </si>
  <si>
    <t>Product short description</t>
  </si>
  <si>
    <t>Product image</t>
  </si>
  <si>
    <t>Product gallery</t>
  </si>
  <si>
    <t>Specification</t>
  </si>
  <si>
    <t>AI Labels</t>
  </si>
  <si>
    <t>Labels</t>
  </si>
  <si>
    <t>AI Features</t>
  </si>
  <si>
    <t>Features</t>
  </si>
  <si>
    <t>AI Attributes</t>
  </si>
  <si>
    <t>Attributes</t>
  </si>
  <si>
    <t xml:space="preserve">AI Options and Constraints </t>
  </si>
  <si>
    <t>Options and Constraints</t>
  </si>
  <si>
    <t>Options</t>
  </si>
  <si>
    <t>Constraints</t>
  </si>
  <si>
    <t>Supplier Name</t>
  </si>
  <si>
    <t>Supplier Code</t>
  </si>
  <si>
    <t>Datasheet</t>
  </si>
  <si>
    <t>Stocked Item</t>
  </si>
  <si>
    <t>Neon-AluProfile-1617</t>
  </si>
  <si>
    <t>Alu Profile | 16x17mm</t>
  </si>
  <si>
    <t>simple</t>
  </si>
  <si>
    <t>Accessories</t>
  </si>
  <si>
    <t>draft</t>
  </si>
  <si>
    <t>Transform your space with the sleek elegance of our premium aluminum profile, designed to bring a modern, sophisticated edge to any room. Crafted for those who appreciate refined aesthetics, this versatile channel seamlessly integrates into your décor, casting smooth, beautiful illumination that elevates your interior design. Whether creating subtle ambient accents or bold visual statements, it provides the perfect architectural framing to let your custom lighting visions shine with effortless style.</t>
  </si>
  <si>
    <t>Elevate your space with sleek aluminium profiles designed to craft seamless, modern lines of light for a high-end finish.</t>
  </si>
  <si>
    <t>CHINA - JR Lite</t>
  </si>
  <si>
    <t>AC167-AP</t>
  </si>
  <si>
    <t>No</t>
  </si>
  <si>
    <t>Neon-MetalClips-1617</t>
  </si>
  <si>
    <t>Metal Mounting Clips | 16x17mm</t>
  </si>
  <si>
    <t>Achieve seamless, professional lighting installations with these high-grade metal mounting clips, designed to provide strong, dependable support for your neon LED profiles. Crafted for effortless integration and a clean, hidden finish, they ensure your custom lighting designs remain securely anchored while maintaining a sleek, modern aesthetic in any residential or commercial space.</t>
  </si>
  <si>
    <t>Effortlessly secure your lighting with sleek, durable mounting clips designed to give your space a flawless, professional finish.</t>
  </si>
  <si>
    <t>AC167-MC</t>
  </si>
  <si>
    <t>Neon-PlasterAluProfile-1617</t>
  </si>
  <si>
    <t>Plaster Alu Profile | 16x17mm</t>
  </si>
  <si>
    <t>Seamlessly integrate stunning illumination directly into your walls with our premium plaster-in aluminum profile, designed to create flawless, trimless lines of light that elevate any modern interior. Craft sophisticated, architectural lighting effects that melt into your décor for an ultra-clean, high-end finish. Perfect for bringing warm ambient accents or bold visual interest to your favorite spaces, this channel offers an effortless way to achieve a sleek, flush lighting design that redefines contemporary elegance.</t>
  </si>
  <si>
    <t>Seamlessly integrate stunning lines of light into your walls with plaster-in profiles for a sleek, trimless finish.</t>
  </si>
  <si>
    <t>AC167-LP</t>
  </si>
  <si>
    <t>Neon-RecessedAluProfile-1617</t>
  </si>
  <si>
    <t>Recessed Alu Profile | 16x17mm</t>
  </si>
  <si>
    <t>Achieve a clean, architectural look with our recessed aluminum profile, designed to hide seamlessly within your walls or ceilings for an ultra-modern lighting effect. By embedding the light directly into your surfaces, it creates stunning, continuous lines of glow that enhance your space with a sleek, minimalist aesthetic. Perfect for creating dramatic visual depth and sophisticated ambiance, this profile turns subtle lighting into an extraordinary interior feature.</t>
  </si>
  <si>
    <t>Sleek and recessed, this aluminium profile hides in walls and ceilings to deliver seamless lines of light for a modern finish.</t>
  </si>
  <si>
    <t>AC167-EP</t>
  </si>
  <si>
    <t>Neon-FlexiPlasterAluProfile-1617</t>
  </si>
  <si>
    <t>Seamlessly blend high-end illumination into your architectural design with our premium plaster aluminum profile. Specially crafted to integrate flush into plaster surfaces, this innovative mounting channel creates breathtaking, uninterrupted lines of light that transform ordinary walls and ceilings into modern masterpieces. Perfect for adding subtle ambiance, dramatic accents, or sophisticated structural highlighting, it provides an elevated, custom finish that effortlessly enhances the beauty and atmosphere of any luxury space.</t>
  </si>
  <si>
    <t>Elevate your space with our premium plaster aluminium profile, designed for seamless lines of light and a luxurious, modern finish.</t>
  </si>
  <si>
    <t>AC167-SCRL</t>
  </si>
  <si>
    <t>Neon-FlexiAluProfile-1617</t>
  </si>
  <si>
    <t>Plaster Flexi Alu Profile | 16x17mm</t>
  </si>
  <si>
    <t>Effortlessly sculpt ambient light with our plaster flexible aluminum profile, designed to fluidly conform to your unique architectural visions. Seamlessly integrating into your walls or ceilings, it crafts smooth, flowing lines of light that elevate any interior with a touch of modern sophistication. Perfect for creating captivating ambient effects or sleek visual accents, this versatile profile provides the ultimate subtle canvas to let your custom lighting design shine with graceful perfection.</t>
  </si>
  <si>
    <t>Sculpt mesmerizing curves of seamless illumination that elevate any luxury space with pure, effortless elegance.</t>
  </si>
  <si>
    <t>AC167-CR</t>
  </si>
  <si>
    <t>Neon-PC-1617</t>
  </si>
  <si>
    <t>PC Flexi | 16x17mm</t>
  </si>
  <si>
    <t>Effortlessly bring your lighting vision to life with this ultra-flexible PC channel, designed to curve and shape around any architectural detail with seamless grace. Perfect for creating fluid lines of soft, captivating light, it offers the ultimate versatility for modern design enthusiasts looking to add ambiance and flair to any space. Elevate your interior ambiance with a sleek, continuous glow that transforms ordinary walls into stunning visual masterpieces.</t>
  </si>
  <si>
    <t>Bring your lighting vision to life with flexible PC channels that shape around any detail for a sleek glow.</t>
  </si>
  <si>
    <t>AC167-PC</t>
  </si>
  <si>
    <t>Neon-FlexiPC-16x17</t>
  </si>
  <si>
    <t>Elevate your lighting design with the effortless flexibility and modern aesthetic of our flexible PC channel. Designed to seamlessly diffuse light into a smooth, mesmerizing glow, this versatile profile allows you to craft fluid curves and captivating architectural accents without compromising on style. Perfect for creating ambient moods or striking feature lighting, it adds a touch of sophisticated polish to any room, allowing your artistic vision to shine with flawless grace.</t>
  </si>
  <si>
    <t>Effortlessly shape stunning light with this flexible PC channel, bringing a smooth, sophisticated glow to any space.</t>
  </si>
  <si>
    <t>AC167-CPC</t>
  </si>
  <si>
    <t>Neon-AluProfile-1615</t>
  </si>
  <si>
    <t>Alu Profile | 16x15mm</t>
  </si>
  <si>
    <t>Elevate your lighting design with our premium aluminum profile, meticulously engineered to bring a touch of modern sophistication to any space. Designed to integrate seamlessly into your interior décor, this versatile channel creates smooth, captivating lines of illumination that enhance ambiance and highlight architectural details. Perfect for crafting ambient accents or striking lighting features, it offers the ideal foundation to showcase your unique design vision with understated elegance and flair.</t>
  </si>
  <si>
    <t>AC013-AP</t>
  </si>
  <si>
    <t>Neon-MetalClips-1615</t>
  </si>
  <si>
    <t>Metal Mounting Clips | 16x15mm</t>
  </si>
  <si>
    <t>Secure your lighting installations with total confidence and effortless precision using these premium metal mounting clips. Designed to deliver a flawless, professional finish, these durable clips hold your fixtures seamlessly in place while keeping the focus entirely on your stunning light displays. Perfect for achieving clean lines and an elevated architectural aesthetic, they offer the dependable support your custom design deserves without compromising on style.</t>
  </si>
  <si>
    <t>Secure your lights effortlessly with these premium metal clips, offering hidden support and a sleek modern finish.</t>
  </si>
  <si>
    <t>AC401-SET</t>
  </si>
  <si>
    <t>Neon-RecessedAluProfile-1615</t>
  </si>
  <si>
    <t>Recessed Alu Profile | 16x15mm</t>
  </si>
  <si>
    <t>Elevate your space with the subtle sophistication of our recessed aluminum profile, designed to seamlessly blend modern illumination directly into your architecture. Crafted for a clean, flush aesthetic, this mounting channel buries the light source into walls or cabinetry for a trimless, built-in feel. It transforms ordinary room accents into stunning visual focal points, delivering a soft, captivating glow that feels both high-end and effortlessly stylish.</t>
  </si>
  <si>
    <t>Seamlessly blend modern illumination into your architecture for a clean, trimless feel and soft, captivating glow.</t>
  </si>
  <si>
    <t>AC013-EP</t>
  </si>
  <si>
    <t>Neon-FlexiAluProfile-16x15</t>
  </si>
  <si>
    <t>Plaster Flexi Alu Profile | 16x15mm</t>
  </si>
  <si>
    <t>Unlock endless design possibilities with our plaster flexi aluminum profile, meticulously designed to create soft, fluid curves and flawless continuous lighting. Effortlessly blending into your architecture, this versatile solution allows you to bend light around unique spaces and bring your most imaginative interior visions to life. Perfect for crafting custom accents and sophisticated ambient glows, it elevates any modern space with a seamless, high-end architectural finish.</t>
  </si>
  <si>
    <t>Transform your space with fluid lines of light. Effortlessly bend illumination around any curve for a seamless, high-end architectural finish.</t>
  </si>
  <si>
    <t>AC013-CR</t>
  </si>
  <si>
    <t>Neon-AluProfile-1220</t>
  </si>
  <si>
    <t>Alu Profile | 12x20mm</t>
  </si>
  <si>
    <t>Elevate your space with the sleek, modern aesthetic of our premium aluminum profile, meticulously designed to bring your lighting vision to life. Perfectly tailored for creating smooth, captivating lines of light, this versatile housing seamlessly integrates into any interior, adding a refined architectural touch to modern spaces. Whether you are looking to build a soft ambient atmosphere or highlight key visual features, it offers the ultimate backdrop to showcase your custom lighting with effortless elegance.</t>
  </si>
  <si>
    <t>Transform your space with sleek aluminum profiles designed to create seamless, modern lines of light for an elevated aesthetic.</t>
  </si>
  <si>
    <t>AC015-AP</t>
  </si>
  <si>
    <t>Neon-MetalClips-1220</t>
  </si>
  <si>
    <t>Metal Mounting Clips | 12x20mm</t>
  </si>
  <si>
    <t>Ensure a flawless, professional finish for your lighting installation with our high-grade metal mounting clips. Designed to secure your light channels seamlessly, these sturdy clips offer reliable support while maintaining a clean, minimalist aesthetic. Perfect for creating crisp, continuous lines of light, they allow you to transform any space into a beautifully illuminated showcase with complete confidence and effortless sophistication.</t>
  </si>
  <si>
    <t>Achieve a flawless finish with durable mounting clips designed to hold your custom lighting seamlessly in place.</t>
  </si>
  <si>
    <t>AC016-SET</t>
  </si>
  <si>
    <t>Neon-RecessedAluProfile-1220</t>
  </si>
  <si>
    <t>Recessed Alu Profile | 12x20mm</t>
  </si>
  <si>
    <t>Seamlessly blend light and architecture with this recessed aluminum profile, designed to give your space a clean, built-in aesthetic with effortless charm. Crafting a sophisticated trimless look, it neatly tucks your custom neon lighting into walls or ceilings, casting a soft, captivating glow that enhances any interior. Perfect for creating modern lines of light and an elevated ambiance, this profile turns ordinary rooms into stunning, light-filled environments with a polished, luxury feel.</t>
  </si>
  <si>
    <t>Elevate your space with recessed profiles designed to blend light and architecture seamlessly for a luxury finish.</t>
  </si>
  <si>
    <t>AC015-EP</t>
  </si>
  <si>
    <t>Neon-FlexiAluProfile-1220</t>
  </si>
  <si>
    <t>Plaster Alu Profile | 12x20mm</t>
  </si>
  <si>
    <t>Transform your space with the versatile charm of our premium plaster aluminum profile, designed to bring seamless sophistication to any interior setting. Crafted to blend effortlessly into walls and ceilings, this elegant channel transforms ordinary lighting into a captivating architectural feature, casting a smooth, inviting glow. Perfect for elevating modern interiors, it offers a clean, refined finish that turns ambient illumination into a breathtaking design statement.</t>
  </si>
  <si>
    <t>Elevate your space with our plaster aluminium profile, designed to create seamless elegance and cast a smooth, inviting glow.</t>
  </si>
  <si>
    <t>AC015-CR</t>
  </si>
  <si>
    <t>Neon-AluProfile-0612</t>
  </si>
  <si>
    <t>Alu Profile | 06x12mm</t>
  </si>
  <si>
    <t>Elevate your space with the sleek elegance of our premium aluminum profile, meticulously designed to bring a ultra-slim, sophisticated edge to modern interiors. Crafted for seamless integration into any architectural layout, this versatile channel transforms ambient lighting into a smooth, stunning visual statement. Perfect for creating subtle accents or captivating features, it offers the ideal refined framing to let your custom lighting vision shine with effortless elegance.</t>
  </si>
  <si>
    <t>Sleek, ultra-slim aluminum profiles bring modern elegance and continuous, captivating lines of glow to any luxury space.</t>
  </si>
  <si>
    <t>AC028-AP</t>
  </si>
  <si>
    <t>Neon-MetalClips-0612</t>
  </si>
  <si>
    <t>Metal Mounting Clips | 06x12mm</t>
  </si>
  <si>
    <t>Ensure a flawless, professional installation every time with our high-grade metal mounting clips, meticulously designed to hold your lighting seamlessly in place. Crafted for ultimate reliability and a clean, modern look, these essential accents secure your custom lighting setups with effortless strength, allowing your design vision to shine bright without distraction.</t>
  </si>
  <si>
    <t>Secure your lighting with ease using durable metal mounting clips designed for a clean, modern, and professional finish.</t>
  </si>
  <si>
    <t>AC028-SET</t>
  </si>
  <si>
    <t>Neon-FlexiAluProfile-0612</t>
  </si>
  <si>
    <t>Plaster Flexi Alu Profile | 06x12mm</t>
  </si>
  <si>
    <t>Unlock endless design possibilities with our plaster flexible aluminum profile, expertly crafted to turn your custom lighting concepts into stunning architectural realities. Engineered to effortlessly conform to unique curves and fluid contours, this versatile profile blends seamlessly into plaster surfaces for a flawless, built-in finish. It transforms ordinary spaces with soft, continuous illumination that highlights every architectural detail, adding a touch of modern sophistication, warmth, and luxury to any interior landscape.</t>
  </si>
  <si>
    <t>Transform your architectural design with fluid curves and seamless lines of light that bring pure modern luxury.</t>
  </si>
  <si>
    <t>AC019-CR</t>
  </si>
  <si>
    <t>Neon-AluProfile-1010</t>
  </si>
  <si>
    <t>Alu Profile | 10x10mm</t>
  </si>
  <si>
    <t>Elevate your space with the sleek, modern elegance of our premium aluminum profile. Expertly crafted to create seamless architectural lighting, this versatile channel seamlessly integrates into any design, transforming ordinary spaces into captivating visual experiences. Designed for those who value refined aesthetics, it provides the perfect subtle framing to showcase brilliant, fluid lines of light that enhance your interior style with pure, effortless sophistication.</t>
  </si>
  <si>
    <t>Elevate your space with our premium aluminum profile, designed to craft sleek, seamless lines of light for a truly modern finish.</t>
  </si>
  <si>
    <t>AC023-AP</t>
  </si>
  <si>
    <t>Neon-MetalClips-1010</t>
  </si>
  <si>
    <t>Metal Mounting Clips | 10x10mm</t>
  </si>
  <si>
    <t>Secure your lighting setup with absolute confidence using our premium metal mounting clips, engineered to provide flawless stability and a refined, professional finish. Designed for effortless installation, these robust clips offer a clean, minimalist hold that lets your luminous designs take center stage. Perfect for creating crisp architectural lines and seamless visual flow, they ensure your custom lighting stays perfectly aligned, bringing effortless sophistication and durable reliability to every accent in your space.</t>
  </si>
  <si>
    <t>Secure your lighting with premium metal mounting clips, delivering dependable support and a clean finish so your illuminated designs take center stage.</t>
  </si>
  <si>
    <t>AC025-MC</t>
  </si>
  <si>
    <t>Neon-PlasterAluProfile-1010</t>
  </si>
  <si>
    <t>Plaster Alu Profile | 10x10mm</t>
  </si>
  <si>
    <t>Seamlessly integrate stunning lines of light directly into your architectural surfaces with this versatile plaster aluminum profile. Designed to create a completely flush, trimless look, it transforms ordinary walls and ceilings into modern canvases of soft, ambient illumination. Perfect for achieving a high-end, contemporary aesthetic, this innovative mounting channel elevates your interior spaces with effortless elegance and clean, sophisticated design.</t>
  </si>
  <si>
    <t>Seamlessly integrate stunning lines of light into your walls with our plaster profile for a sleek, flush, high-end finish.</t>
  </si>
  <si>
    <t>AC023-LP</t>
  </si>
  <si>
    <t>Neon-SkAluProfile-1010</t>
  </si>
  <si>
    <t>Skirting Alu Profile | 10x10mm</t>
  </si>
  <si>
    <t>Seamlessly ground your space in modern luxury with our elegant skirting aluminum profile, designed to frame your floors with a captivating, soft glow. Perfect for defining room perimeters and creating effortless path lighting, this sleek accent elevates traditional baseboards into a stunning architectural feature. Bring warmth, sophistication, and a touch of modern drama to every step as your interiors are transformed with ambient, low-level illumination.</t>
  </si>
  <si>
    <t>Elevate your floors with sleek skirting aluminium profiles, casting a soft, captivating glow that grounds your space in modern luxury and style.</t>
  </si>
  <si>
    <t>AC023-SP</t>
  </si>
  <si>
    <t>Neon-FlexiAluProfile-1010</t>
  </si>
  <si>
    <t>Flexi Alu Profile | 10x10mm</t>
  </si>
  <si>
    <t>Bring fluid elegance and captivating brilliance to your space with our flexible aluminum profile, designed to effortlessly bend and contour around your unique architectural visions. Seamlessly shaping light to fit any curve, it transforms ordinary environments into extraordinary visual experiences with smooth, continuous illumination. Perfect for creating sleek accent lines or dramatic decorative features, this versatile profile provides the ultimate canvas to let your modern lighting designs flow with effortless beauty and style.</t>
  </si>
  <si>
    <t>Effortlessly bend and shape light around any curve to elevate your space with smooth, continuous illumination.</t>
  </si>
  <si>
    <t>AC023-CR</t>
  </si>
  <si>
    <t>Neon-PC-1010</t>
  </si>
  <si>
    <t>PC Flexi | 10x10mm</t>
  </si>
  <si>
    <t>Transform your space with the captivating glow of our flexible PC channel, designed to bring smooth, continuous lines of light to any modern environment. Effortlessly bending to follow your unique creative vision, it provides a sleek and seamless housing that softly diffuses illumination for a warm, welcoming ambiance. Perfect for accentuating architectural details or adding stylish, contemporary flair to your interior decor, this versatile solution lets your custom lighting design shine with understated sophistication.</t>
  </si>
  <si>
    <t>Softly diffuse your lights with flexible PC channels that bend to bring smooth, continuous lines of warm ambiance to any space.</t>
  </si>
  <si>
    <t>AC023-PC</t>
  </si>
  <si>
    <t>Neon-FlexiPC-1010</t>
  </si>
  <si>
    <t>Transform your space with the sleek flexibility of our premium PC profile, designed to bring a modern, sophisticated glow to any room. Crafted for those who appreciate refined aesthetics, this versatile channel seamlessly integrates into your décor, casting smooth, beautiful illumination that elevates your interior design. Whether creating subtle ambient accents or bold visual statements, it provides the perfect architectural framing to let your custom lighting visions shine with effortless style.</t>
  </si>
  <si>
    <t>Effortlessly shape stunning light with flexible PC channels that add a modern, sophisticated glow to any space.</t>
  </si>
  <si>
    <t>AC023-CPC</t>
  </si>
  <si>
    <t>Neon-AluProfile-1004</t>
  </si>
  <si>
    <t>Alu Profile | 10x4mm</t>
  </si>
  <si>
    <t>Elevate your interior lighting design with our ultra-slim aluminum profile, engineered to deliver sleek, modern elegance to any space. Designed to integrate seamlessly into your décor, this discreet channel creates smooth, captivating lines of continuous glow that effortlessly transform everyday rooms into extraordinary visual experiences. Perfect for highlighting architectural details or creating sophisticated ambient accents, it provides the ultimate polished canvas for your unique lighting vision.</t>
  </si>
  <si>
    <t>Elevate your space with ultra-slim aluminum profiles, crafted for seamless elegance and modern, continuous lines of light.</t>
  </si>
  <si>
    <t>AC107-AP-SA</t>
  </si>
  <si>
    <t>Neon-PCClips-1004</t>
  </si>
  <si>
    <t>PC Mounting Clips | 10x4mm</t>
  </si>
  <si>
    <t>Ensure a flawless, professional finish for your lighting installation with these premium mounting clips, designed to hold your neon channels securely in place. Effortlessly discreet, they provide reliable support while keeping the focus entirely on your stunning light display. Perfect for creating clean, continuous accents in any modern space, these clips make bringing your creative lighting vision to life simpler and more seamless than ever.</t>
  </si>
  <si>
    <t>Secure your lighting with sleek, discreet mounting clips designed for a flawless, professional finish.</t>
  </si>
  <si>
    <t>AC085-10</t>
  </si>
  <si>
    <t>Neon-PlasterAluProfile-1004</t>
  </si>
  <si>
    <t>Plaster Alu Profile | 10x4mm</t>
  </si>
  <si>
    <t>Elevate your interior design with our premium plaster aluminum profile, expertly designed to blend seamlessly into your walls and ceilings for a flawless, built-in look. Perfect for creating soft, sophisticated accent lighting or continuous lines of radiant glow, this versatile mounting channel transforms ordinary spaces into modern architectural masterpieces. Enhance your home or commercial environment with effortless elegance, clean lines, and an unforgettable ambient atmosphere.</t>
  </si>
  <si>
    <t>Seamlessly integrate glowing lines of light into your walls and ceilings for a flawless, modern, trimless finish that elevates any room.</t>
  </si>
  <si>
    <t>AC107-AP-SF</t>
  </si>
  <si>
    <t>Neon-RecessedAluProfile-1004</t>
  </si>
  <si>
    <t>Recessed Alu Profile | 10x4mm</t>
  </si>
  <si>
    <t>Achieve a clean, architectural finish with our ultra-slim recessed aluminum profile, seamlessly integrating light directly into your walls and ceilings. Designed to hide effortlessly within your space, it crafts smooth, continuous lines of glow that enhance your interior with sophisticated modern elegance. Perfect for creating subtle ambient accents or striking linear illumination, this channel transforms lighting into a captivating architectural feature.</t>
  </si>
  <si>
    <t>Seamlessly blend modern light into walls and ceilings for a sleek, trimless feel and soft, captivating glow.</t>
  </si>
  <si>
    <t>AC107-AP-EA</t>
  </si>
  <si>
    <t>Neon-FlexiAluProfile-1004</t>
  </si>
  <si>
    <t>Flexi Alu Profile | 10x4mm</t>
  </si>
  <si>
    <t>Transform your space with the sleek elegance of our flexible aluminum profile, expertly designed to bring dynamic, modern illumination to any layout. Crafted to adapt seamlessly to unique curves and architectural contours, it allows you to sculpt light with complete creative freedom. Perfect for elevating ambient accents or crafting striking visual feature lines, this versatile channel provides the ideal foundation to let your bespoke lighting designs shine with effortless sophistication.</t>
  </si>
  <si>
    <t>Sculpt light with complete freedom using flexible aluminium profiles designed for dynamic, modern illumination.</t>
  </si>
  <si>
    <t>AC107-CR</t>
  </si>
  <si>
    <t>Neon-CornerAluProfile-1004</t>
  </si>
  <si>
    <t>Corner Alu Profile | 10x4mm</t>
  </si>
  <si>
    <t>Elevate your lighting design with our sleek corner aluminum profile, expertly crafted to turn overlooked edges into stunning visual highlights. Designed for effortless architectural integration, it frames your spaces with a soft, continuous glow that adds modern depth and sophisticated ambiance to any room. Perfectly accentuating angles and architectural features, this profile transforms ordinary corners into captivating focal points of pure, elegant light.</t>
  </si>
  <si>
    <t>Transform overlooked edges into stunning visual highlights with sleek corner profiles designed to frame your space in soft glow.</t>
  </si>
  <si>
    <t>AC107-VP</t>
  </si>
  <si>
    <t>Neon-OpenEndcap-1004</t>
  </si>
  <si>
    <t>Open endcaps for 2-core wire</t>
  </si>
  <si>
    <t>Ensure a clean, flawless finish for your custom LED lighting installations with these essential open endcaps. Designed to provide a neat, professional transition for wiring while keeping your setup secure, they seamlessly blend into your architecture for a polished and modern aesthetic. Perfect for maintaining continuous lines of ambient glow, these endcaps give your tailored lighting projects the refined, high-end detail they deserve.</t>
  </si>
  <si>
    <t>Give your custom lighting a flawless, professional finish with these essential endcaps for a sleek, modern look.</t>
  </si>
  <si>
    <t>AD110-3</t>
  </si>
  <si>
    <t>Neon-ClosedEndcap-1004</t>
  </si>
  <si>
    <t>Closed endcaps</t>
  </si>
  <si>
    <t>Ensure a clean, flawless finish for your custom lighting installations with our premium closed endcaps. Perfectly designed to cap off your neon LED profiles, these essential accessories create a polished, complete look while protecting your setup. Effortlessly blending into your overall aesthetic, they add that final touch of refined sophistication to bring your modern lighting vision together with seamless perfection.</t>
  </si>
  <si>
    <t>Complete your custom lighting setup with our sleek closed endcaps, providing a polished, flawless finish to elevate your space with seamless elegance.</t>
  </si>
  <si>
    <t>AD110</t>
  </si>
  <si>
    <t>Neon-FlexiAluProfile-0408</t>
  </si>
  <si>
    <t>Flexi Alu Profile | 4x8mm</t>
  </si>
  <si>
    <t>Unlock endless creative possibilities with our ultra-flexible aluminum profile, masterfully designed to bend and shape around your unique architectural vision. Perfect for crafting custom curves and fluid, captivating lighting accents, this versatile track effortlessly integrates into any room to deliver a smooth, contemporary glow. Elevate your interior design with an elegant, modern framing solution that transforms ordinary spaces into stunning artistic statements.</t>
  </si>
  <si>
    <t>Bend light to your vision with this flexible profile, crafting effortless curves and seamless elegance for any modern space.</t>
  </si>
  <si>
    <t>AC021-CR</t>
  </si>
  <si>
    <t>Neon-AluProfile-0408</t>
  </si>
  <si>
    <t>Alu Profile | 4x8mm</t>
  </si>
  <si>
    <t>Elevate your lighting design with our ultra-compact aluminum profile, engineered to deliver sleek, architectural precision in a surprisingly slim footprint. Designed to create flawless lines of light, it seamlessly integrates into any modern space to turn subtle ambient accents into captivating focal points. Perfectly framing your custom neon lighting, this refined profile adds an instant touch of high-end sophistication and clean elegance to your interior décor.</t>
  </si>
  <si>
    <t>Transform your space with sleek aluminium profiles designed to create seamless, modern lines of light for an elevated aesthetic.</t>
  </si>
  <si>
    <t>AC021-AP</t>
  </si>
  <si>
    <t>Neon-MetalClips-0408</t>
  </si>
  <si>
    <t>Metal Mounting Clips | 4x8mm</t>
  </si>
  <si>
    <t>Achieve seamless, professional lighting installations with these high-grade metal mounting clips, designed to provide strong, dependable support for your neon LED profiles. Crafted for effortless integration and a clean finish, they ensure your custom lighting designs remain securely anchored while maintaining a sleek, modern aesthetic in any residential or commercial space.</t>
  </si>
  <si>
    <t>Securely mount your lighting with premium metal clips designed for reliable support, seamless installation, and a sleek, modern finish.</t>
  </si>
  <si>
    <t>AC022-SET</t>
  </si>
  <si>
    <t>Neon-FlexiAluProfile-0606</t>
  </si>
  <si>
    <t>Flexi Alu Profile | 6x6mm</t>
  </si>
  <si>
    <t>Unlock endless creative possibilities and effortlessly sculpt ambient light with our flexible aluminum profile. Designed to adapt gracefully to complex curves and unique architectural contours, this ultra-pliant channel seamlessly integrates into your space for a breathtaking, custom lighting experience. It transforms ordinary interiors into extraordinary visual landscapes, surrounding your room with smooth, flowing ribbons of glow that captivate the senses and elevate your aesthetic to a high-end luxury feel.</t>
  </si>
  <si>
    <t>Effortlessly sculpt mesmerizing curves of ambient light to transform your space with pure, seamless elegance.</t>
  </si>
  <si>
    <t>Neon-AluProfile-0606</t>
  </si>
  <si>
    <t>Alu Profile | 6x6mm</t>
  </si>
  <si>
    <t>Elevate your interior design with our ultra-compact aluminum profile, expertly designed to bring refined, seamless illumination to even the tightest architectural spaces. Crafted for modern aesthetics, this minimalist channel integrates effortlessly into your décor, transforming subtle lighting into a sophisticated ambient feature. Ideal for adding clean lines of light and a polished finish, it offers the ultimate canvas to let your creative lighting concepts shine with effortless elegance.</t>
  </si>
  <si>
    <t>Elevate tight spaces with sleek, ultra-compact profiles designed to bring smooth, modern lines of light for a refined finish.</t>
  </si>
  <si>
    <t>AC020-CR</t>
  </si>
  <si>
    <t>Neon-MetalClips-0606</t>
  </si>
  <si>
    <t>Metal Mounting Clips | 6x6mm</t>
  </si>
  <si>
    <t>Ensure a flawless, professional installation with these premium metal mounting clips, engineered to provide strong, reliable support for your compact neon LED profiles. Designed for effortless setup and a discreet, seamless finish, they keep your tailored lighting designs securely in place while preserving a clean, minimalist aesthetic across any residential or commercial space.</t>
  </si>
  <si>
    <t>Securely anchor your custom neon LED profiles with durable metal clips for a sleek, flawless, and professional finish.</t>
  </si>
  <si>
    <t>AC021-SET</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</si>
</sst>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b/>
      <sz val="10.0"/>
      <color theme="1"/>
      <name val="DM Sans"/>
    </font>
    <font>
      <b/>
      <sz val="10.0"/>
      <color rgb="FFFFFFFF"/>
      <name val="DM Sans"/>
    </font>
    <font>
      <sz val="10.0"/>
      <color theme="1"/>
      <name val="DM Sans"/>
    </font>
    <font>
      <color theme="1"/>
      <name val="DM Sans"/>
    </font>
  </fonts>
  <fills count="7">
    <fill>
      <patternFill patternType="none"/>
    </fill>
    <fill>
      <patternFill patternType="lightGray"/>
    </fill>
    <fill>
      <patternFill patternType="solid">
        <fgColor rgb="FFFFD966"/>
        <bgColor rgb="FFFFD966"/>
      </patternFill>
    </fill>
    <fill>
      <patternFill patternType="solid">
        <fgColor rgb="FF93C47D"/>
        <bgColor rgb="FF93C47D"/>
      </patternFill>
    </fill>
    <fill>
      <patternFill patternType="solid">
        <fgColor rgb="FF9900FF"/>
        <bgColor rgb="FF9900FF"/>
      </patternFill>
    </fill>
    <fill>
      <patternFill patternType="solid">
        <fgColor rgb="FF1155CC"/>
        <bgColor rgb="FF1155CC"/>
      </patternFill>
    </fill>
    <fill>
      <patternFill patternType="solid">
        <fgColor rgb="FFD9EAD3"/>
        <bgColor rgb="FFD9EAD3"/>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3">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0"/>
    </xf>
    <xf borderId="1" fillId="2" fontId="1" numFmtId="0" xfId="0" applyAlignment="1" applyBorder="1" applyFill="1" applyFont="1">
      <alignment horizontal="center" readingOrder="0" shrinkToFit="0" vertical="center" wrapText="0"/>
    </xf>
    <xf borderId="1" fillId="4" fontId="2"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0" fontId="3" numFmtId="0" xfId="0" applyAlignment="1" applyBorder="1" applyFont="1">
      <alignment readingOrder="0" shrinkToFit="0" vertical="center" wrapText="1"/>
    </xf>
    <xf borderId="1" fillId="6" fontId="4" numFmtId="0" xfId="0" applyAlignment="1" applyBorder="1" applyFill="1" applyFont="1">
      <alignment shrinkToFit="0" wrapText="1"/>
    </xf>
    <xf borderId="1" fillId="0" fontId="4" numFmtId="0" xfId="0" applyAlignment="1" applyBorder="1" applyFont="1">
      <alignment shrinkToFit="0" wrapText="1"/>
    </xf>
    <xf borderId="1" fillId="0" fontId="3" numFmtId="0" xfId="0" applyAlignment="1" applyBorder="1" applyFont="1">
      <alignment shrinkToFit="0" vertical="center" wrapText="1"/>
    </xf>
    <xf borderId="1" fillId="0" fontId="3" numFmtId="0" xfId="0" applyAlignment="1" applyBorder="1" applyFont="1">
      <alignment shrinkToFit="0" vertical="center"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34.5"/>
    <col customWidth="1" min="2" max="2" width="36.38"/>
    <col customWidth="1" min="3" max="3" width="11.75"/>
    <col customWidth="1" min="4" max="4" width="12.0"/>
    <col customWidth="1" min="5" max="5" width="6.38"/>
    <col customWidth="1" min="6" max="6" width="72.75"/>
    <col customWidth="1" min="7" max="7" width="72.13"/>
    <col customWidth="1" min="8" max="8" width="62.63"/>
    <col customWidth="1" min="9" max="9" width="60.5"/>
    <col customWidth="1" min="10" max="11" width="28.75"/>
    <col customWidth="1" min="12" max="12" width="61.5"/>
    <col customWidth="1" min="13" max="14" width="34.75"/>
    <col customWidth="1" min="15" max="22" width="50.13"/>
    <col customWidth="1" min="23" max="23" width="29.38"/>
    <col customWidth="1" min="24" max="25" width="12.63"/>
  </cols>
  <sheetData>
    <row r="1">
      <c r="A1" s="1" t="s">
        <v>0</v>
      </c>
      <c r="B1" s="1" t="s">
        <v>1</v>
      </c>
      <c r="C1" s="1" t="s">
        <v>2</v>
      </c>
      <c r="D1" s="1" t="s">
        <v>3</v>
      </c>
      <c r="E1" s="1" t="s">
        <v>4</v>
      </c>
      <c r="F1" s="2" t="s">
        <v>5</v>
      </c>
      <c r="G1" s="3" t="s">
        <v>6</v>
      </c>
      <c r="H1" s="2" t="s">
        <v>7</v>
      </c>
      <c r="I1" s="3" t="s">
        <v>8</v>
      </c>
      <c r="J1" s="1" t="s">
        <v>9</v>
      </c>
      <c r="K1" s="1" t="s">
        <v>10</v>
      </c>
      <c r="L1" s="4" t="s">
        <v>11</v>
      </c>
      <c r="M1" s="5" t="s">
        <v>12</v>
      </c>
      <c r="N1" s="6" t="s">
        <v>13</v>
      </c>
      <c r="O1" s="5" t="s">
        <v>14</v>
      </c>
      <c r="P1" s="7" t="s">
        <v>15</v>
      </c>
      <c r="Q1" s="5" t="s">
        <v>16</v>
      </c>
      <c r="R1" s="1" t="s">
        <v>17</v>
      </c>
      <c r="S1" s="5" t="s">
        <v>18</v>
      </c>
      <c r="T1" s="7" t="s">
        <v>19</v>
      </c>
      <c r="U1" s="1" t="s">
        <v>20</v>
      </c>
      <c r="V1" s="1" t="s">
        <v>21</v>
      </c>
      <c r="W1" s="1" t="s">
        <v>22</v>
      </c>
      <c r="X1" s="1" t="s">
        <v>23</v>
      </c>
      <c r="Y1" s="1" t="s">
        <v>24</v>
      </c>
      <c r="Z1" s="1" t="s">
        <v>25</v>
      </c>
    </row>
    <row r="2">
      <c r="A2" s="8" t="s">
        <v>26</v>
      </c>
      <c r="B2" s="8" t="s">
        <v>27</v>
      </c>
      <c r="C2" s="8" t="s">
        <v>28</v>
      </c>
      <c r="D2" s="8" t="s">
        <v>29</v>
      </c>
      <c r="E2" s="8" t="s">
        <v>30</v>
      </c>
      <c r="F2" s="9" t="str">
        <f>IFERROR(__xludf.DUMMYFUNCTION("AI(""Give me a paragraph marketing spiel for product in this row, no tech specs just marketing fluff "")"),"Transform your space with the sleek elegance of our premium aluminum profile, designed to bring a modern, sophisticated edge to any room. Crafted for those who appreciate refined aesthetics, this versatile channel seamlessly integrates into your décor, ca"&amp;"sting smooth, beautiful illumination that elevates your interior design. Whether creating subtle ambient accents or bold visual statements, it provides the perfect architectural framing to let your custom lighting visions shine with effortless style.")</f>
        <v>Transform your space with the sleek elegance of our premium aluminum profile, designed to bring a modern, sophisticated edge to any room. Crafted for those who appreciate refined aesthetics, this versatile channel seamlessly integrates into your décor, casting smooth, beautiful illumination that elevates your interior design. Whether creating subtle ambient accents or bold visual statements, it provides the perfect architectural framing to let your custom lighting visions shine with effortless style.</v>
      </c>
      <c r="G2" s="10" t="s">
        <v>31</v>
      </c>
      <c r="H2" s="9" t="str">
        <f>IFERROR(__xludf.DUMMYFUNCTION("AI(""Give me a paragraph marketing spiel for product in this row, no tech specs just marketing fluff under 180 characters "")"),"Elevate your space with sleek aluminium profiles designed to craft seamless, modern lines of light for a high-end finish.")</f>
        <v>Elevate your space with sleek aluminium profiles designed to craft seamless, modern lines of light for a high-end finish.</v>
      </c>
      <c r="I2" s="10" t="s">
        <v>32</v>
      </c>
      <c r="J2" s="11"/>
      <c r="K2" s="11"/>
      <c r="L2" s="8"/>
      <c r="M2" s="11"/>
      <c r="N2" s="11"/>
      <c r="O2" s="11"/>
      <c r="P2" s="11"/>
      <c r="Q2" s="11"/>
      <c r="R2" s="11"/>
      <c r="S2" s="11"/>
      <c r="T2" s="11"/>
      <c r="U2" s="11"/>
      <c r="V2" s="11"/>
      <c r="W2" s="8" t="s">
        <v>33</v>
      </c>
      <c r="X2" s="8" t="s">
        <v>34</v>
      </c>
      <c r="Y2" s="8" t="s">
        <v>35</v>
      </c>
      <c r="Z2" s="11"/>
    </row>
    <row r="3">
      <c r="A3" s="8" t="s">
        <v>36</v>
      </c>
      <c r="B3" s="8" t="s">
        <v>37</v>
      </c>
      <c r="C3" s="8" t="s">
        <v>28</v>
      </c>
      <c r="D3" s="8" t="s">
        <v>29</v>
      </c>
      <c r="E3" s="8" t="s">
        <v>30</v>
      </c>
      <c r="F3" s="9" t="str">
        <f>IFERROR(__xludf.DUMMYFUNCTION("AI(""Give me a paragraph marketing spiel for product in this row, no tech specs just marketing fluff "")"),"Achieve seamless, professional lighting installations with these high-grade metal mounting clips, designed to provide strong, dependable support for your neon LED profiles. Crafted for effortless integration and a clean, hidden finish, they ensure your cu"&amp;"stom lighting designs remain securely anchored while maintaining a sleek, modern aesthetic in any residential or commercial space.")</f>
        <v>Achieve seamless, professional lighting installations with these high-grade metal mounting clips, designed to provide strong, dependable support for your neon LED profiles. Crafted for effortless integration and a clean, hidden finish, they ensure your custom lighting designs remain securely anchored while maintaining a sleek, modern aesthetic in any residential or commercial space.</v>
      </c>
      <c r="G3" s="11" t="s">
        <v>38</v>
      </c>
      <c r="H3" s="9" t="str">
        <f>IFERROR(__xludf.DUMMYFUNCTION("AI(""Give me a paragraph marketing spiel for product in this row, no tech specs just marketing fluff under 180 characters "")"),"Effortlessly secure your lighting with sleek, durable mounting clips designed to give your space a flawless, professional finish.")</f>
        <v>Effortlessly secure your lighting with sleek, durable mounting clips designed to give your space a flawless, professional finish.</v>
      </c>
      <c r="I3" s="11" t="s">
        <v>39</v>
      </c>
      <c r="J3" s="11"/>
      <c r="K3" s="11"/>
      <c r="L3" s="8"/>
      <c r="M3" s="11"/>
      <c r="N3" s="11"/>
      <c r="O3" s="11"/>
      <c r="P3" s="11"/>
      <c r="Q3" s="11"/>
      <c r="R3" s="11"/>
      <c r="S3" s="11"/>
      <c r="T3" s="11"/>
      <c r="U3" s="11"/>
      <c r="V3" s="11"/>
      <c r="W3" s="8" t="s">
        <v>33</v>
      </c>
      <c r="X3" s="8" t="s">
        <v>40</v>
      </c>
      <c r="Y3" s="8" t="s">
        <v>35</v>
      </c>
      <c r="Z3" s="11"/>
    </row>
    <row r="4">
      <c r="A4" s="8" t="s">
        <v>41</v>
      </c>
      <c r="B4" s="8" t="s">
        <v>42</v>
      </c>
      <c r="C4" s="8" t="s">
        <v>28</v>
      </c>
      <c r="D4" s="8" t="s">
        <v>29</v>
      </c>
      <c r="E4" s="8" t="s">
        <v>30</v>
      </c>
      <c r="F4" s="9" t="str">
        <f>IFERROR(__xludf.DUMMYFUNCTION("AI(""Give me a paragraph marketing spiel for product in this row, no tech specs just marketing fluff "")"),"Seamlessly integrate stunning illumination directly into your walls with our premium plaster-in aluminum profile, designed to create flawless, trimless lines of light that elevate any modern interior. Craft sophisticated, architectural lighting effects th"&amp;"at melt into your décor for an ultra-clean, high-end finish. Perfect for bringing warm ambient accents or bold visual interest to your favorite spaces, this channel offers an effortless way to achieve a sleek, flush lighting design that redefines contempo"&amp;"rary elegance.")</f>
        <v>Seamlessly integrate stunning illumination directly into your walls with our premium plaster-in aluminum profile, designed to create flawless, trimless lines of light that elevate any modern interior. Craft sophisticated, architectural lighting effects that melt into your décor for an ultra-clean, high-end finish. Perfect for bringing warm ambient accents or bold visual interest to your favorite spaces, this channel offers an effortless way to achieve a sleek, flush lighting design that redefines contemporary elegance.</v>
      </c>
      <c r="G4" s="11" t="s">
        <v>43</v>
      </c>
      <c r="H4" s="9" t="str">
        <f>IFERROR(__xludf.DUMMYFUNCTION("AI(""Give me a paragraph marketing spiel for product in this row, no tech specs just marketing fluff under 180 characters "")"),"Seamlessly integrate stunning lines of light into your walls with plaster-in profiles for a sleek, trimless finish.")</f>
        <v>Seamlessly integrate stunning lines of light into your walls with plaster-in profiles for a sleek, trimless finish.</v>
      </c>
      <c r="I4" s="11" t="s">
        <v>44</v>
      </c>
      <c r="J4" s="11"/>
      <c r="K4" s="11"/>
      <c r="L4" s="8"/>
      <c r="M4" s="11"/>
      <c r="N4" s="11"/>
      <c r="O4" s="11"/>
      <c r="P4" s="11"/>
      <c r="Q4" s="11"/>
      <c r="R4" s="11"/>
      <c r="S4" s="11"/>
      <c r="T4" s="11"/>
      <c r="U4" s="11"/>
      <c r="V4" s="11"/>
      <c r="W4" s="8" t="s">
        <v>33</v>
      </c>
      <c r="X4" s="8" t="s">
        <v>45</v>
      </c>
      <c r="Y4" s="8" t="s">
        <v>35</v>
      </c>
      <c r="Z4" s="11"/>
    </row>
    <row r="5">
      <c r="A5" s="8" t="s">
        <v>46</v>
      </c>
      <c r="B5" s="8" t="s">
        <v>47</v>
      </c>
      <c r="C5" s="8" t="s">
        <v>28</v>
      </c>
      <c r="D5" s="8" t="s">
        <v>29</v>
      </c>
      <c r="E5" s="8" t="s">
        <v>30</v>
      </c>
      <c r="F5" s="9" t="str">
        <f>IFERROR(__xludf.DUMMYFUNCTION("AI(""Give me a paragraph marketing spiel for product in this row, no tech specs just marketing fluff "")"),"Achieve a clean, architectural look with our recessed aluminum profile, designed to hide seamlessly within your walls or ceilings for an ultra-modern lighting effect. By embedding the light directly into your surfaces, it creates stunning, continuous line"&amp;"s of glow that enhance your space with a sleek, minimalist aesthetic. Perfect for creating dramatic visual depth and sophisticated ambiance, this profile turns subtle lighting into an extraordinary interior feature.")</f>
        <v>Achieve a clean, architectural look with our recessed aluminum profile, designed to hide seamlessly within your walls or ceilings for an ultra-modern lighting effect. By embedding the light directly into your surfaces, it creates stunning, continuous lines of glow that enhance your space with a sleek, minimalist aesthetic. Perfect for creating dramatic visual depth and sophisticated ambiance, this profile turns subtle lighting into an extraordinary interior feature.</v>
      </c>
      <c r="G5" s="11" t="s">
        <v>48</v>
      </c>
      <c r="H5" s="9" t="str">
        <f>IFERROR(__xludf.DUMMYFUNCTION("AI(""Give me a paragraph marketing spiel for product in this row, no tech specs just marketing fluff under 180 characters "")"),"Sleek and recessed, this aluminium profile hides in walls and ceilings to deliver seamless lines of light for a modern finish.")</f>
        <v>Sleek and recessed, this aluminium profile hides in walls and ceilings to deliver seamless lines of light for a modern finish.</v>
      </c>
      <c r="I5" s="11" t="s">
        <v>49</v>
      </c>
      <c r="J5" s="11"/>
      <c r="K5" s="11"/>
      <c r="L5" s="8"/>
      <c r="M5" s="11"/>
      <c r="N5" s="11"/>
      <c r="O5" s="11"/>
      <c r="P5" s="11"/>
      <c r="Q5" s="11"/>
      <c r="R5" s="11"/>
      <c r="S5" s="11"/>
      <c r="T5" s="11"/>
      <c r="U5" s="11"/>
      <c r="V5" s="11"/>
      <c r="W5" s="8" t="s">
        <v>33</v>
      </c>
      <c r="X5" s="8" t="s">
        <v>50</v>
      </c>
      <c r="Y5" s="8" t="s">
        <v>35</v>
      </c>
      <c r="Z5" s="11"/>
    </row>
    <row r="6">
      <c r="A6" s="8" t="s">
        <v>51</v>
      </c>
      <c r="B6" s="8" t="s">
        <v>42</v>
      </c>
      <c r="C6" s="8" t="s">
        <v>28</v>
      </c>
      <c r="D6" s="8" t="s">
        <v>29</v>
      </c>
      <c r="E6" s="8" t="s">
        <v>30</v>
      </c>
      <c r="F6" s="9" t="str">
        <f>IFERROR(__xludf.DUMMYFUNCTION("AI(""Give me a paragraph marketing spiel for product in this row, no tech specs just marketing fluff "")"),"Seamlessly blend high-end illumination into your architectural design with our premium plaster aluminum profile. Specially crafted to integrate flush into plaster surfaces, this innovative mounting channel creates breathtaking, uninterrupted lines of ligh"&amp;"t that transform ordinary walls and ceilings into modern masterpieces. Perfect for adding subtle ambiance, dramatic accents, or sophisticated structural highlighting, it provides an elevated, custom finish that effortlessly enhances the beauty and atmosph"&amp;"ere of any luxury space.")</f>
        <v>Seamlessly blend high-end illumination into your architectural design with our premium plaster aluminum profile. Specially crafted to integrate flush into plaster surfaces, this innovative mounting channel creates breathtaking, uninterrupted lines of light that transform ordinary walls and ceilings into modern masterpieces. Perfect for adding subtle ambiance, dramatic accents, or sophisticated structural highlighting, it provides an elevated, custom finish that effortlessly enhances the beauty and atmosphere of any luxury space.</v>
      </c>
      <c r="G6" s="11" t="s">
        <v>52</v>
      </c>
      <c r="H6" s="9" t="str">
        <f>IFERROR(__xludf.DUMMYFUNCTION("AI(""Give me a paragraph marketing spiel for product in this row, no tech specs just marketing fluff under 180 characters "")"),"Elevate your space with our premium plaster aluminium profile, designed for seamless lines of light and a luxurious, modern finish.")</f>
        <v>Elevate your space with our premium plaster aluminium profile, designed for seamless lines of light and a luxurious, modern finish.</v>
      </c>
      <c r="I6" s="11" t="s">
        <v>53</v>
      </c>
      <c r="J6" s="11"/>
      <c r="K6" s="11"/>
      <c r="L6" s="8"/>
      <c r="M6" s="11"/>
      <c r="N6" s="11"/>
      <c r="O6" s="11"/>
      <c r="P6" s="11"/>
      <c r="Q6" s="11"/>
      <c r="R6" s="11"/>
      <c r="S6" s="11"/>
      <c r="T6" s="11"/>
      <c r="U6" s="11"/>
      <c r="V6" s="11"/>
      <c r="W6" s="8" t="s">
        <v>33</v>
      </c>
      <c r="X6" s="8" t="s">
        <v>54</v>
      </c>
      <c r="Y6" s="8" t="s">
        <v>35</v>
      </c>
      <c r="Z6" s="11"/>
    </row>
    <row r="7">
      <c r="A7" s="8" t="s">
        <v>55</v>
      </c>
      <c r="B7" s="8" t="s">
        <v>56</v>
      </c>
      <c r="C7" s="8" t="s">
        <v>28</v>
      </c>
      <c r="D7" s="8" t="s">
        <v>29</v>
      </c>
      <c r="E7" s="8" t="s">
        <v>30</v>
      </c>
      <c r="F7" s="9" t="str">
        <f>IFERROR(__xludf.DUMMYFUNCTION("AI(""Give me a paragraph marketing spiel for product in this row, no tech specs just marketing fluff "")"),"Effortlessly sculpt ambient light with our plaster flexible aluminum profile, designed to fluidly conform to your unique architectural visions. Seamlessly integrating into your walls or ceilings, it crafts smooth, flowing lines of light that elevate any i"&amp;"nterior with a touch of modern sophistication. Perfect for creating captivating ambient effects or sleek visual accents, this versatile profile provides the ultimate subtle canvas to let your custom lighting design shine with graceful perfection.")</f>
        <v>Effortlessly sculpt ambient light with our plaster flexible aluminum profile, designed to fluidly conform to your unique architectural visions. Seamlessly integrating into your walls or ceilings, it crafts smooth, flowing lines of light that elevate any interior with a touch of modern sophistication. Perfect for creating captivating ambient effects or sleek visual accents, this versatile profile provides the ultimate subtle canvas to let your custom lighting design shine with graceful perfection.</v>
      </c>
      <c r="G7" s="11" t="s">
        <v>57</v>
      </c>
      <c r="H7" s="9" t="str">
        <f>IFERROR(__xludf.DUMMYFUNCTION("AI(""Give me a paragraph marketing spiel for product in this row, no tech specs just marketing fluff under 180 characters "")"),"Sculpt mesmerizing curves of seamless illumination that elevate any luxury space with pure, effortless elegance.")</f>
        <v>Sculpt mesmerizing curves of seamless illumination that elevate any luxury space with pure, effortless elegance.</v>
      </c>
      <c r="I7" s="11" t="s">
        <v>58</v>
      </c>
      <c r="J7" s="11"/>
      <c r="K7" s="11"/>
      <c r="L7" s="8"/>
      <c r="M7" s="11"/>
      <c r="N7" s="11"/>
      <c r="O7" s="11"/>
      <c r="P7" s="11"/>
      <c r="Q7" s="11"/>
      <c r="R7" s="11"/>
      <c r="S7" s="11"/>
      <c r="T7" s="11"/>
      <c r="U7" s="11"/>
      <c r="V7" s="11"/>
      <c r="W7" s="8" t="s">
        <v>33</v>
      </c>
      <c r="X7" s="8" t="s">
        <v>59</v>
      </c>
      <c r="Y7" s="8" t="s">
        <v>35</v>
      </c>
      <c r="Z7" s="11"/>
    </row>
    <row r="8">
      <c r="A8" s="8" t="s">
        <v>60</v>
      </c>
      <c r="B8" s="8" t="s">
        <v>61</v>
      </c>
      <c r="C8" s="8" t="s">
        <v>28</v>
      </c>
      <c r="D8" s="8" t="s">
        <v>29</v>
      </c>
      <c r="E8" s="8" t="s">
        <v>30</v>
      </c>
      <c r="F8" s="9" t="str">
        <f>IFERROR(__xludf.DUMMYFUNCTION("AI(""Give me a paragraph marketing spiel for product in this row, no tech specs just marketing fluff "")"),"Effortlessly bring your lighting vision to life with this ultra-flexible PC channel, designed to curve and shape around any architectural detail with seamless grace. Perfect for creating fluid lines of soft, captivating light, it offers the ultimate versa"&amp;"tility for modern design enthusiasts looking to add ambiance and flair to any space. Elevate your interior ambiance with a sleek, continuous glow that transforms ordinary walls into stunning visual masterpieces.")</f>
        <v>Effortlessly bring your lighting vision to life with this ultra-flexible PC channel, designed to curve and shape around any architectural detail with seamless grace. Perfect for creating fluid lines of soft, captivating light, it offers the ultimate versatility for modern design enthusiasts looking to add ambiance and flair to any space. Elevate your interior ambiance with a sleek, continuous glow that transforms ordinary walls into stunning visual masterpieces.</v>
      </c>
      <c r="G8" s="11" t="s">
        <v>62</v>
      </c>
      <c r="H8" s="9" t="str">
        <f>IFERROR(__xludf.DUMMYFUNCTION("AI(""Give me a paragraph marketing spiel for product in this row, no tech specs just marketing fluff under 180 characters "")"),"Bring your lighting vision to life with flexible PC channels that shape around any detail for a sleek glow.")</f>
        <v>Bring your lighting vision to life with flexible PC channels that shape around any detail for a sleek glow.</v>
      </c>
      <c r="I8" s="11" t="s">
        <v>63</v>
      </c>
      <c r="J8" s="11"/>
      <c r="K8" s="11"/>
      <c r="L8" s="8"/>
      <c r="M8" s="11"/>
      <c r="N8" s="11"/>
      <c r="O8" s="11"/>
      <c r="P8" s="11"/>
      <c r="Q8" s="11"/>
      <c r="R8" s="11"/>
      <c r="S8" s="11"/>
      <c r="T8" s="11"/>
      <c r="U8" s="11"/>
      <c r="V8" s="11"/>
      <c r="W8" s="8" t="s">
        <v>33</v>
      </c>
      <c r="X8" s="8" t="s">
        <v>64</v>
      </c>
      <c r="Y8" s="8" t="s">
        <v>35</v>
      </c>
      <c r="Z8" s="11"/>
    </row>
    <row r="9">
      <c r="A9" s="8" t="s">
        <v>65</v>
      </c>
      <c r="B9" s="8" t="s">
        <v>61</v>
      </c>
      <c r="C9" s="8" t="s">
        <v>28</v>
      </c>
      <c r="D9" s="8" t="s">
        <v>29</v>
      </c>
      <c r="E9" s="8" t="s">
        <v>30</v>
      </c>
      <c r="F9" s="9" t="str">
        <f>IFERROR(__xludf.DUMMYFUNCTION("AI(""Give me a paragraph marketing spiel for product in this row, no tech specs just marketing fluff "")"),"Elevate your lighting design with the effortless flexibility and modern aesthetic of our flexible PC channel. Designed to seamlessly diffuse light into a smooth, mesmerizing glow, this versatile profile allows you to craft fluid curves and captivating arc"&amp;"hitectural accents without compromising on style. Perfect for creating ambient moods or striking feature lighting, it adds a touch of sophisticated polish to any room, allowing your artistic vision to shine with flawless grace.")</f>
        <v>Elevate your lighting design with the effortless flexibility and modern aesthetic of our flexible PC channel. Designed to seamlessly diffuse light into a smooth, mesmerizing glow, this versatile profile allows you to craft fluid curves and captivating architectural accents without compromising on style. Perfect for creating ambient moods or striking feature lighting, it adds a touch of sophisticated polish to any room, allowing your artistic vision to shine with flawless grace.</v>
      </c>
      <c r="G9" s="11" t="s">
        <v>66</v>
      </c>
      <c r="H9" s="9" t="str">
        <f>IFERROR(__xludf.DUMMYFUNCTION("AI(""Give me a paragraph marketing spiel for product in this row, no tech specs just marketing fluff under 180 characters "")"),"Effortlessly shape stunning light with this flexible PC channel, bringing a smooth, sophisticated glow to any space.")</f>
        <v>Effortlessly shape stunning light with this flexible PC channel, bringing a smooth, sophisticated glow to any space.</v>
      </c>
      <c r="I9" s="11" t="s">
        <v>67</v>
      </c>
      <c r="J9" s="11"/>
      <c r="K9" s="11"/>
      <c r="L9" s="8"/>
      <c r="M9" s="11"/>
      <c r="N9" s="11"/>
      <c r="O9" s="11"/>
      <c r="P9" s="11"/>
      <c r="Q9" s="11"/>
      <c r="R9" s="11"/>
      <c r="S9" s="11"/>
      <c r="T9" s="11"/>
      <c r="U9" s="11"/>
      <c r="V9" s="11"/>
      <c r="W9" s="8" t="s">
        <v>33</v>
      </c>
      <c r="X9" s="8" t="s">
        <v>68</v>
      </c>
      <c r="Y9" s="8" t="s">
        <v>35</v>
      </c>
      <c r="Z9" s="11"/>
    </row>
    <row r="10">
      <c r="A10" s="8" t="s">
        <v>69</v>
      </c>
      <c r="B10" s="8" t="s">
        <v>70</v>
      </c>
      <c r="C10" s="8" t="s">
        <v>28</v>
      </c>
      <c r="D10" s="8" t="s">
        <v>29</v>
      </c>
      <c r="E10" s="8" t="s">
        <v>30</v>
      </c>
      <c r="F10" s="9" t="str">
        <f>IFERROR(__xludf.DUMMYFUNCTION("AI(""Give me a paragraph marketing spiel for product in this row, no tech specs just marketing fluff "")"),"Elevate your lighting design with our premium aluminum profile, meticulously engineered to bring a touch of modern sophistication to any space. Designed to integrate seamlessly into your interior décor, this versatile channel creates smooth, captivating l"&amp;"ines of illumination that enhance ambiance and highlight architectural details. Perfect for crafting ambient accents or striking lighting features, it offers the ideal foundation to showcase your unique design vision with understated elegance and flair.")</f>
        <v>Elevate your lighting design with our premium aluminum profile, meticulously engineered to bring a touch of modern sophistication to any space. Designed to integrate seamlessly into your interior décor, this versatile channel creates smooth, captivating lines of illumination that enhance ambiance and highlight architectural details. Perfect for crafting ambient accents or striking lighting features, it offers the ideal foundation to showcase your unique design vision with understated elegance and flair.</v>
      </c>
      <c r="G10" s="11" t="s">
        <v>71</v>
      </c>
      <c r="H10" s="9" t="str">
        <f>IFERROR(__xludf.DUMMYFUNCTION("AI(""Give me a paragraph marketing spiel for product in this row, no tech specs just marketing fluff under 180 characters "")"),"Elevate your space with sleek aluminium profiles designed to craft seamless, modern lines of light for a high-end finish.")</f>
        <v>Elevate your space with sleek aluminium profiles designed to craft seamless, modern lines of light for a high-end finish.</v>
      </c>
      <c r="I10" s="11" t="s">
        <v>32</v>
      </c>
      <c r="J10" s="11"/>
      <c r="K10" s="11"/>
      <c r="L10" s="8"/>
      <c r="M10" s="11"/>
      <c r="N10" s="11"/>
      <c r="O10" s="11"/>
      <c r="P10" s="11"/>
      <c r="Q10" s="11"/>
      <c r="R10" s="11"/>
      <c r="S10" s="11"/>
      <c r="T10" s="11"/>
      <c r="U10" s="11"/>
      <c r="V10" s="11"/>
      <c r="W10" s="8" t="s">
        <v>33</v>
      </c>
      <c r="X10" s="8" t="s">
        <v>72</v>
      </c>
      <c r="Y10" s="8" t="s">
        <v>35</v>
      </c>
      <c r="Z10" s="11"/>
    </row>
    <row r="11">
      <c r="A11" s="8" t="s">
        <v>73</v>
      </c>
      <c r="B11" s="8" t="s">
        <v>74</v>
      </c>
      <c r="C11" s="8" t="s">
        <v>28</v>
      </c>
      <c r="D11" s="8" t="s">
        <v>29</v>
      </c>
      <c r="E11" s="8" t="s">
        <v>30</v>
      </c>
      <c r="F11" s="9" t="str">
        <f>IFERROR(__xludf.DUMMYFUNCTION("AI(""Give me a paragraph marketing spiel for product in this row, no tech specs just marketing fluff "")"),"Secure your lighting installations with total confidence and effortless precision using these premium metal mounting clips. Designed to deliver a flawless, professional finish, these durable clips hold your fixtures seamlessly in place while keeping the f"&amp;"ocus entirely on your stunning light displays. Perfect for achieving clean lines and an elevated architectural aesthetic, they offer the dependable support your custom design deserves without compromising on style.")</f>
        <v>Secure your lighting installations with total confidence and effortless precision using these premium metal mounting clips. Designed to deliver a flawless, professional finish, these durable clips hold your fixtures seamlessly in place while keeping the focus entirely on your stunning light displays. Perfect for achieving clean lines and an elevated architectural aesthetic, they offer the dependable support your custom design deserves without compromising on style.</v>
      </c>
      <c r="G11" s="11" t="s">
        <v>75</v>
      </c>
      <c r="H11" s="9" t="str">
        <f>IFERROR(__xludf.DUMMYFUNCTION("AI(""Give me a paragraph marketing spiel for product in this row, no tech specs just marketing fluff under 180 characters "")"),"Secure your lights effortlessly with these premium metal clips, offering hidden support and a sleek modern finish.")</f>
        <v>Secure your lights effortlessly with these premium metal clips, offering hidden support and a sleek modern finish.</v>
      </c>
      <c r="I11" s="11" t="s">
        <v>76</v>
      </c>
      <c r="J11" s="11"/>
      <c r="K11" s="11"/>
      <c r="L11" s="8"/>
      <c r="M11" s="11"/>
      <c r="N11" s="11"/>
      <c r="O11" s="11"/>
      <c r="P11" s="11"/>
      <c r="Q11" s="11"/>
      <c r="R11" s="11"/>
      <c r="S11" s="11"/>
      <c r="T11" s="11"/>
      <c r="U11" s="11"/>
      <c r="V11" s="11"/>
      <c r="W11" s="8" t="s">
        <v>33</v>
      </c>
      <c r="X11" s="8" t="s">
        <v>77</v>
      </c>
      <c r="Y11" s="8" t="s">
        <v>35</v>
      </c>
      <c r="Z11" s="11"/>
    </row>
    <row r="12">
      <c r="A12" s="8" t="s">
        <v>78</v>
      </c>
      <c r="B12" s="8" t="s">
        <v>79</v>
      </c>
      <c r="C12" s="8" t="s">
        <v>28</v>
      </c>
      <c r="D12" s="8" t="s">
        <v>29</v>
      </c>
      <c r="E12" s="8" t="s">
        <v>30</v>
      </c>
      <c r="F12" s="9" t="str">
        <f>IFERROR(__xludf.DUMMYFUNCTION("AI(""Give me a paragraph marketing spiel for product in this row, no tech specs just marketing fluff "")"),"Elevate your space with the subtle sophistication of our recessed aluminum profile, designed to seamlessly blend modern illumination directly into your architecture. Crafted for a clean, flush aesthetic, this mounting channel buries the light source into "&amp;"walls or cabinetry for a trimless, built-in feel. It transforms ordinary room accents into stunning visual focal points, delivering a soft, captivating glow that feels both high-end and effortlessly stylish.")</f>
        <v>Elevate your space with the subtle sophistication of our recessed aluminum profile, designed to seamlessly blend modern illumination directly into your architecture. Crafted for a clean, flush aesthetic, this mounting channel buries the light source into walls or cabinetry for a trimless, built-in feel. It transforms ordinary room accents into stunning visual focal points, delivering a soft, captivating glow that feels both high-end and effortlessly stylish.</v>
      </c>
      <c r="G12" s="11" t="s">
        <v>80</v>
      </c>
      <c r="H12" s="9" t="str">
        <f>IFERROR(__xludf.DUMMYFUNCTION("AI(""Give me a paragraph marketing spiel for product in this row, no tech specs just marketing fluff under 180 characters "")"),"Seamlessly blend modern illumination into your architecture for a clean, trimless feel and soft, captivating glow.")</f>
        <v>Seamlessly blend modern illumination into your architecture for a clean, trimless feel and soft, captivating glow.</v>
      </c>
      <c r="I12" s="11" t="s">
        <v>81</v>
      </c>
      <c r="J12" s="11"/>
      <c r="K12" s="11"/>
      <c r="L12" s="8"/>
      <c r="M12" s="11"/>
      <c r="N12" s="11"/>
      <c r="O12" s="11"/>
      <c r="P12" s="11"/>
      <c r="Q12" s="11"/>
      <c r="R12" s="11"/>
      <c r="S12" s="11"/>
      <c r="T12" s="11"/>
      <c r="U12" s="11"/>
      <c r="V12" s="11"/>
      <c r="W12" s="8" t="s">
        <v>33</v>
      </c>
      <c r="X12" s="8" t="s">
        <v>82</v>
      </c>
      <c r="Y12" s="8" t="s">
        <v>35</v>
      </c>
      <c r="Z12" s="11"/>
    </row>
    <row r="13">
      <c r="A13" s="8" t="s">
        <v>83</v>
      </c>
      <c r="B13" s="8" t="s">
        <v>84</v>
      </c>
      <c r="C13" s="8" t="s">
        <v>28</v>
      </c>
      <c r="D13" s="8" t="s">
        <v>29</v>
      </c>
      <c r="E13" s="8" t="s">
        <v>30</v>
      </c>
      <c r="F13" s="9" t="str">
        <f>IFERROR(__xludf.DUMMYFUNCTION("AI(""Give me a paragraph marketing spiel for product in this row, no tech specs just marketing fluff "")"),"Unlock endless design possibilities with our plaster flexi aluminum profile, meticulously designed to create soft, fluid curves and flawless continuous lighting. Effortlessly blending into your architecture, this versatile solution allows you to bend ligh"&amp;"t around unique spaces and bring your most imaginative interior visions to life. Perfect for crafting custom accents and sophisticated ambient glows, it elevates any modern space with a seamless, high-end architectural finish.")</f>
        <v>Unlock endless design possibilities with our plaster flexi aluminum profile, meticulously designed to create soft, fluid curves and flawless continuous lighting. Effortlessly blending into your architecture, this versatile solution allows you to bend light around unique spaces and bring your most imaginative interior visions to life. Perfect for crafting custom accents and sophisticated ambient glows, it elevates any modern space with a seamless, high-end architectural finish.</v>
      </c>
      <c r="G13" s="11" t="s">
        <v>85</v>
      </c>
      <c r="H13" s="9" t="str">
        <f>IFERROR(__xludf.DUMMYFUNCTION("AI(""Give me a paragraph marketing spiel for product in this row, no tech specs just marketing fluff under 180 characters "")"),"Transform your space with fluid lines of light. Effortlessly bend illumination around any curve for a seamless, high-end architectural finish.")</f>
        <v>Transform your space with fluid lines of light. Effortlessly bend illumination around any curve for a seamless, high-end architectural finish.</v>
      </c>
      <c r="I13" s="11" t="s">
        <v>86</v>
      </c>
      <c r="J13" s="11"/>
      <c r="K13" s="11"/>
      <c r="L13" s="8"/>
      <c r="M13" s="11"/>
      <c r="N13" s="11"/>
      <c r="O13" s="11"/>
      <c r="P13" s="11"/>
      <c r="Q13" s="11"/>
      <c r="R13" s="11"/>
      <c r="S13" s="11"/>
      <c r="T13" s="11"/>
      <c r="U13" s="11"/>
      <c r="V13" s="11"/>
      <c r="W13" s="8" t="s">
        <v>33</v>
      </c>
      <c r="X13" s="8" t="s">
        <v>87</v>
      </c>
      <c r="Y13" s="8" t="s">
        <v>35</v>
      </c>
      <c r="Z13" s="11"/>
    </row>
    <row r="14">
      <c r="A14" s="8" t="s">
        <v>88</v>
      </c>
      <c r="B14" s="8" t="s">
        <v>89</v>
      </c>
      <c r="C14" s="8" t="s">
        <v>28</v>
      </c>
      <c r="D14" s="8" t="s">
        <v>29</v>
      </c>
      <c r="E14" s="8" t="s">
        <v>30</v>
      </c>
      <c r="F14" s="9" t="str">
        <f>IFERROR(__xludf.DUMMYFUNCTION("AI(""Give me a paragraph marketing spiel for product in this row, no tech specs just marketing fluff "")"),"Elevate your space with the sleek, modern aesthetic of our premium aluminum profile, meticulously designed to bring your lighting vision to life. Perfectly tailored for creating smooth, captivating lines of light, this versatile housing seamlessly integra"&amp;"tes into any interior, adding a refined architectural touch to modern spaces. Whether you are looking to build a soft ambient atmosphere or highlight key visual features, it offers the ultimate backdrop to showcase your custom lighting with effortless ele"&amp;"gance.")</f>
        <v>Elevate your space with the sleek, modern aesthetic of our premium aluminum profile, meticulously designed to bring your lighting vision to life. Perfectly tailored for creating smooth, captivating lines of light, this versatile housing seamlessly integrates into any interior, adding a refined architectural touch to modern spaces. Whether you are looking to build a soft ambient atmosphere or highlight key visual features, it offers the ultimate backdrop to showcase your custom lighting with effortless elegance.</v>
      </c>
      <c r="G14" s="11" t="s">
        <v>90</v>
      </c>
      <c r="H14" s="9" t="str">
        <f>IFERROR(__xludf.DUMMYFUNCTION("AI(""Give me a paragraph marketing spiel for product in this row, no tech specs just marketing fluff under 180 characters "")"),"Transform your space with sleek aluminum profiles designed to create seamless, modern lines of light for an elevated aesthetic.")</f>
        <v>Transform your space with sleek aluminum profiles designed to create seamless, modern lines of light for an elevated aesthetic.</v>
      </c>
      <c r="I14" s="11" t="s">
        <v>91</v>
      </c>
      <c r="J14" s="11"/>
      <c r="K14" s="11"/>
      <c r="L14" s="8"/>
      <c r="M14" s="11"/>
      <c r="N14" s="11"/>
      <c r="O14" s="11"/>
      <c r="P14" s="11"/>
      <c r="Q14" s="11"/>
      <c r="R14" s="11"/>
      <c r="S14" s="11"/>
      <c r="T14" s="11"/>
      <c r="U14" s="11"/>
      <c r="V14" s="11"/>
      <c r="W14" s="8" t="s">
        <v>33</v>
      </c>
      <c r="X14" s="8" t="s">
        <v>92</v>
      </c>
      <c r="Y14" s="8" t="s">
        <v>35</v>
      </c>
      <c r="Z14" s="11"/>
    </row>
    <row r="15">
      <c r="A15" s="8" t="s">
        <v>93</v>
      </c>
      <c r="B15" s="8" t="s">
        <v>94</v>
      </c>
      <c r="C15" s="8" t="s">
        <v>28</v>
      </c>
      <c r="D15" s="8" t="s">
        <v>29</v>
      </c>
      <c r="E15" s="8" t="s">
        <v>30</v>
      </c>
      <c r="F15" s="9" t="str">
        <f>IFERROR(__xludf.DUMMYFUNCTION("AI(""Give me a paragraph marketing spiel for product in this row, no tech specs just marketing fluff "")"),"Ensure a flawless, professional finish for your lighting installation with our high-grade metal mounting clips. Designed to secure your light channels seamlessly, these sturdy clips offer reliable support while maintaining a clean, minimalist aesthetic. P"&amp;"erfect for creating crisp, continuous lines of light, they allow you to transform any space into a beautifully illuminated showcase with complete confidence and effortless sophistication.")</f>
        <v>Ensure a flawless, professional finish for your lighting installation with our high-grade metal mounting clips. Designed to secure your light channels seamlessly, these sturdy clips offer reliable support while maintaining a clean, minimalist aesthetic. Perfect for creating crisp, continuous lines of light, they allow you to transform any space into a beautifully illuminated showcase with complete confidence and effortless sophistication.</v>
      </c>
      <c r="G15" s="11" t="s">
        <v>95</v>
      </c>
      <c r="H15" s="9" t="str">
        <f>IFERROR(__xludf.DUMMYFUNCTION("AI(""Give me a paragraph marketing spiel for product in this row, no tech specs just marketing fluff under 180 characters "")"),"Achieve a flawless finish with durable mounting clips designed to hold your custom lighting seamlessly in place.")</f>
        <v>Achieve a flawless finish with durable mounting clips designed to hold your custom lighting seamlessly in place.</v>
      </c>
      <c r="I15" s="11" t="s">
        <v>96</v>
      </c>
      <c r="J15" s="11"/>
      <c r="K15" s="11"/>
      <c r="L15" s="8"/>
      <c r="M15" s="11"/>
      <c r="N15" s="11"/>
      <c r="O15" s="11"/>
      <c r="P15" s="11"/>
      <c r="Q15" s="11"/>
      <c r="R15" s="11"/>
      <c r="S15" s="11"/>
      <c r="T15" s="11"/>
      <c r="U15" s="11"/>
      <c r="V15" s="11"/>
      <c r="W15" s="8" t="s">
        <v>33</v>
      </c>
      <c r="X15" s="8" t="s">
        <v>97</v>
      </c>
      <c r="Y15" s="8" t="s">
        <v>35</v>
      </c>
      <c r="Z15" s="11"/>
    </row>
    <row r="16">
      <c r="A16" s="8" t="s">
        <v>98</v>
      </c>
      <c r="B16" s="8" t="s">
        <v>99</v>
      </c>
      <c r="C16" s="8" t="s">
        <v>28</v>
      </c>
      <c r="D16" s="8" t="s">
        <v>29</v>
      </c>
      <c r="E16" s="8" t="s">
        <v>30</v>
      </c>
      <c r="F16" s="9" t="str">
        <f>IFERROR(__xludf.DUMMYFUNCTION("AI(""Give me a paragraph marketing spiel for product in this row, no tech specs just marketing fluff "")"),"Seamlessly blend light and architecture with this recessed aluminum profile, designed to give your space a clean, built-in aesthetic with effortless charm. Crafting a sophisticated trimless look, it neatly tucks your custom neon lighting into walls or cei"&amp;"lings, casting a soft, captivating glow that enhances any interior. Perfect for creating modern lines of light and an elevated ambiance, this profile turns ordinary rooms into stunning, light-filled environments with a polished, luxury feel.")</f>
        <v>Seamlessly blend light and architecture with this recessed aluminum profile, designed to give your space a clean, built-in aesthetic with effortless charm. Crafting a sophisticated trimless look, it neatly tucks your custom neon lighting into walls or ceilings, casting a soft, captivating glow that enhances any interior. Perfect for creating modern lines of light and an elevated ambiance, this profile turns ordinary rooms into stunning, light-filled environments with a polished, luxury feel.</v>
      </c>
      <c r="G16" s="11" t="s">
        <v>100</v>
      </c>
      <c r="H16" s="9" t="str">
        <f>IFERROR(__xludf.DUMMYFUNCTION("AI(""Give me a paragraph marketing spiel for product in this row, no tech specs just marketing fluff under 180 characters "")"),"Elevate your space with recessed profiles designed to blend light and architecture seamlessly for a luxury finish.")</f>
        <v>Elevate your space with recessed profiles designed to blend light and architecture seamlessly for a luxury finish.</v>
      </c>
      <c r="I16" s="11" t="s">
        <v>101</v>
      </c>
      <c r="J16" s="11"/>
      <c r="K16" s="11"/>
      <c r="L16" s="8"/>
      <c r="M16" s="11"/>
      <c r="N16" s="11"/>
      <c r="O16" s="11"/>
      <c r="P16" s="11"/>
      <c r="Q16" s="11"/>
      <c r="R16" s="11"/>
      <c r="S16" s="11"/>
      <c r="T16" s="11"/>
      <c r="U16" s="11"/>
      <c r="V16" s="11"/>
      <c r="W16" s="8" t="s">
        <v>33</v>
      </c>
      <c r="X16" s="8" t="s">
        <v>102</v>
      </c>
      <c r="Y16" s="8" t="s">
        <v>35</v>
      </c>
      <c r="Z16" s="11"/>
    </row>
    <row r="17">
      <c r="A17" s="8" t="s">
        <v>103</v>
      </c>
      <c r="B17" s="8" t="s">
        <v>104</v>
      </c>
      <c r="C17" s="8" t="s">
        <v>28</v>
      </c>
      <c r="D17" s="8" t="s">
        <v>29</v>
      </c>
      <c r="E17" s="8" t="s">
        <v>30</v>
      </c>
      <c r="F17" s="9" t="str">
        <f>IFERROR(__xludf.DUMMYFUNCTION("AI(""Give me a paragraph marketing spiel for product in this row, no tech specs just marketing fluff "")"),"Transform your space with the versatile charm of our premium plaster aluminum profile, designed to bring seamless sophistication to any interior setting. Crafted to blend effortlessly into walls and ceilings, this elegant channel transforms ordinary light"&amp;"ing into a captivating architectural feature, casting a smooth, inviting glow. Perfect for elevating modern interiors, it offers a clean, refined finish that turns ambient illumination into a breathtaking design statement.")</f>
        <v>Transform your space with the versatile charm of our premium plaster aluminum profile, designed to bring seamless sophistication to any interior setting. Crafted to blend effortlessly into walls and ceilings, this elegant channel transforms ordinary lighting into a captivating architectural feature, casting a smooth, inviting glow. Perfect for elevating modern interiors, it offers a clean, refined finish that turns ambient illumination into a breathtaking design statement.</v>
      </c>
      <c r="G17" s="11" t="s">
        <v>105</v>
      </c>
      <c r="H17" s="9" t="str">
        <f>IFERROR(__xludf.DUMMYFUNCTION("AI(""Give me a paragraph marketing spiel for product in this row, no tech specs just marketing fluff under 180 characters "")"),"Elevate your space with our plaster aluminium profile, designed to create seamless elegance and cast a smooth, inviting glow.")</f>
        <v>Elevate your space with our plaster aluminium profile, designed to create seamless elegance and cast a smooth, inviting glow.</v>
      </c>
      <c r="I17" s="11" t="s">
        <v>106</v>
      </c>
      <c r="J17" s="11"/>
      <c r="K17" s="11"/>
      <c r="L17" s="8"/>
      <c r="M17" s="11"/>
      <c r="N17" s="11"/>
      <c r="O17" s="11"/>
      <c r="P17" s="11"/>
      <c r="Q17" s="11"/>
      <c r="R17" s="11"/>
      <c r="S17" s="11"/>
      <c r="T17" s="11"/>
      <c r="U17" s="11"/>
      <c r="V17" s="11"/>
      <c r="W17" s="8" t="s">
        <v>33</v>
      </c>
      <c r="X17" s="8" t="s">
        <v>107</v>
      </c>
      <c r="Y17" s="8" t="s">
        <v>35</v>
      </c>
      <c r="Z17" s="11"/>
    </row>
    <row r="18">
      <c r="A18" s="8" t="s">
        <v>108</v>
      </c>
      <c r="B18" s="8" t="s">
        <v>109</v>
      </c>
      <c r="C18" s="8" t="s">
        <v>28</v>
      </c>
      <c r="D18" s="8" t="s">
        <v>29</v>
      </c>
      <c r="E18" s="8" t="s">
        <v>30</v>
      </c>
      <c r="F18" s="9" t="str">
        <f>IFERROR(__xludf.DUMMYFUNCTION("AI(""Give me a paragraph marketing spiel for product in this row, no tech specs just marketing fluff "")"),"Elevate your space with the sleek elegance of our premium aluminum profile, meticulously designed to bring a ultra-slim, sophisticated edge to modern interiors. Crafted for seamless integration into any architectural layout, this versatile channel transfo"&amp;"rms ambient lighting into a smooth, stunning visual statement. Perfect for creating subtle accents or captivating features, it offers the ideal refined framing to let your custom lighting vision shine with effortless elegance.")</f>
        <v>Elevate your space with the sleek elegance of our premium aluminum profile, meticulously designed to bring a ultra-slim, sophisticated edge to modern interiors. Crafted for seamless integration into any architectural layout, this versatile channel transforms ambient lighting into a smooth, stunning visual statement. Perfect for creating subtle accents or captivating features, it offers the ideal refined framing to let your custom lighting vision shine with effortless elegance.</v>
      </c>
      <c r="G18" s="11" t="s">
        <v>110</v>
      </c>
      <c r="H18" s="9" t="str">
        <f>IFERROR(__xludf.DUMMYFUNCTION("AI(""Give me a paragraph marketing spiel for product in this row, no tech specs just marketing fluff under 180 characters "")"),"Sleek, ultra-slim aluminum profiles bring modern elegance and continuous, captivating lines of glow to any luxury space.")</f>
        <v>Sleek, ultra-slim aluminum profiles bring modern elegance and continuous, captivating lines of glow to any luxury space.</v>
      </c>
      <c r="I18" s="11" t="s">
        <v>111</v>
      </c>
      <c r="J18" s="11"/>
      <c r="K18" s="11"/>
      <c r="L18" s="8"/>
      <c r="M18" s="11"/>
      <c r="N18" s="11"/>
      <c r="O18" s="11"/>
      <c r="P18" s="11"/>
      <c r="Q18" s="11"/>
      <c r="R18" s="11"/>
      <c r="S18" s="11"/>
      <c r="T18" s="11"/>
      <c r="U18" s="11"/>
      <c r="V18" s="11"/>
      <c r="W18" s="8" t="s">
        <v>33</v>
      </c>
      <c r="X18" s="8" t="s">
        <v>112</v>
      </c>
      <c r="Y18" s="8" t="s">
        <v>35</v>
      </c>
      <c r="Z18" s="11"/>
    </row>
    <row r="19">
      <c r="A19" s="8" t="s">
        <v>113</v>
      </c>
      <c r="B19" s="8" t="s">
        <v>114</v>
      </c>
      <c r="C19" s="8" t="s">
        <v>28</v>
      </c>
      <c r="D19" s="8" t="s">
        <v>29</v>
      </c>
      <c r="E19" s="8" t="s">
        <v>30</v>
      </c>
      <c r="F19" s="9" t="str">
        <f>IFERROR(__xludf.DUMMYFUNCTION("AI(""Give me a paragraph marketing spiel for product in this row, no tech specs just marketing fluff "")"),"Ensure a flawless, professional installation every time with our high-grade metal mounting clips, meticulously designed to hold your lighting seamlessly in place. Crafted for ultimate reliability and a clean, modern look, these essential accents secure yo"&amp;"ur custom lighting setups with effortless strength, allowing your design vision to shine bright without distraction.")</f>
        <v>Ensure a flawless, professional installation every time with our high-grade metal mounting clips, meticulously designed to hold your lighting seamlessly in place. Crafted for ultimate reliability and a clean, modern look, these essential accents secure your custom lighting setups with effortless strength, allowing your design vision to shine bright without distraction.</v>
      </c>
      <c r="G19" s="11" t="s">
        <v>115</v>
      </c>
      <c r="H19" s="9" t="str">
        <f>IFERROR(__xludf.DUMMYFUNCTION("AI(""Give me a paragraph marketing spiel for product in this row, no tech specs just marketing fluff under 180 characters "")"),"Secure your lighting with ease using durable metal mounting clips designed for a clean, modern, and professional finish.")</f>
        <v>Secure your lighting with ease using durable metal mounting clips designed for a clean, modern, and professional finish.</v>
      </c>
      <c r="I19" s="11" t="s">
        <v>116</v>
      </c>
      <c r="J19" s="11"/>
      <c r="K19" s="11"/>
      <c r="L19" s="8"/>
      <c r="M19" s="11"/>
      <c r="N19" s="11"/>
      <c r="O19" s="11"/>
      <c r="P19" s="11"/>
      <c r="Q19" s="11"/>
      <c r="R19" s="11"/>
      <c r="S19" s="11"/>
      <c r="T19" s="11"/>
      <c r="U19" s="11"/>
      <c r="V19" s="11"/>
      <c r="W19" s="8" t="s">
        <v>33</v>
      </c>
      <c r="X19" s="8" t="s">
        <v>117</v>
      </c>
      <c r="Y19" s="8" t="s">
        <v>35</v>
      </c>
      <c r="Z19" s="11"/>
    </row>
    <row r="20">
      <c r="A20" s="8" t="s">
        <v>118</v>
      </c>
      <c r="B20" s="8" t="s">
        <v>119</v>
      </c>
      <c r="C20" s="8" t="s">
        <v>28</v>
      </c>
      <c r="D20" s="8" t="s">
        <v>29</v>
      </c>
      <c r="E20" s="8" t="s">
        <v>30</v>
      </c>
      <c r="F20" s="9" t="str">
        <f>IFERROR(__xludf.DUMMYFUNCTION("AI(""Give me a paragraph marketing spiel for product in this row, no tech specs just marketing fluff "")"),"Unlock endless design possibilities with our plaster flexible aluminum profile, expertly crafted to turn your custom lighting concepts into stunning architectural realities. Engineered to effortlessly conform to unique curves and fluid contours, this vers"&amp;"atile profile blends seamlessly into plaster surfaces for a flawless, built-in finish. It transforms ordinary spaces with soft, continuous illumination that highlights every architectural detail, adding a touch of modern sophistication, warmth, and luxury"&amp;" to any interior landscape.")</f>
        <v>Unlock endless design possibilities with our plaster flexible aluminum profile, expertly crafted to turn your custom lighting concepts into stunning architectural realities. Engineered to effortlessly conform to unique curves and fluid contours, this versatile profile blends seamlessly into plaster surfaces for a flawless, built-in finish. It transforms ordinary spaces with soft, continuous illumination that highlights every architectural detail, adding a touch of modern sophistication, warmth, and luxury to any interior landscape.</v>
      </c>
      <c r="G20" s="11" t="s">
        <v>120</v>
      </c>
      <c r="H20" s="9" t="str">
        <f>IFERROR(__xludf.DUMMYFUNCTION("AI(""Give me a paragraph marketing spiel for product in this row, no tech specs just marketing fluff under 180 characters "")"),"Transform your architectural design with fluid curves and seamless lines of light that bring pure modern luxury.")</f>
        <v>Transform your architectural design with fluid curves and seamless lines of light that bring pure modern luxury.</v>
      </c>
      <c r="I20" s="11" t="s">
        <v>121</v>
      </c>
      <c r="J20" s="11"/>
      <c r="K20" s="11"/>
      <c r="L20" s="8"/>
      <c r="M20" s="11"/>
      <c r="N20" s="11"/>
      <c r="O20" s="11"/>
      <c r="P20" s="11"/>
      <c r="Q20" s="11"/>
      <c r="R20" s="11"/>
      <c r="S20" s="11"/>
      <c r="T20" s="11"/>
      <c r="U20" s="11"/>
      <c r="V20" s="11"/>
      <c r="W20" s="8" t="s">
        <v>33</v>
      </c>
      <c r="X20" s="8" t="s">
        <v>122</v>
      </c>
      <c r="Y20" s="8" t="s">
        <v>35</v>
      </c>
      <c r="Z20" s="11"/>
    </row>
    <row r="21">
      <c r="A21" s="8" t="s">
        <v>123</v>
      </c>
      <c r="B21" s="8" t="s">
        <v>124</v>
      </c>
      <c r="C21" s="8" t="s">
        <v>28</v>
      </c>
      <c r="D21" s="8" t="s">
        <v>29</v>
      </c>
      <c r="E21" s="8" t="s">
        <v>30</v>
      </c>
      <c r="F21" s="9" t="str">
        <f>IFERROR(__xludf.DUMMYFUNCTION("AI(""Give me a paragraph marketing spiel for product in this row, no tech specs just marketing fluff "")"),"Elevate your space with the sleek, modern elegance of our premium aluminum profile. Expertly crafted to create seamless architectural lighting, this versatile channel seamlessly integrates into any design, transforming ordinary spaces into captivating vis"&amp;"ual experiences. Designed for those who value refined aesthetics, it provides the perfect subtle framing to showcase brilliant, fluid lines of light that enhance your interior style with pure, effortless sophistication.")</f>
        <v>Elevate your space with the sleek, modern elegance of our premium aluminum profile. Expertly crafted to create seamless architectural lighting, this versatile channel seamlessly integrates into any design, transforming ordinary spaces into captivating visual experiences. Designed for those who value refined aesthetics, it provides the perfect subtle framing to showcase brilliant, fluid lines of light that enhance your interior style with pure, effortless sophistication.</v>
      </c>
      <c r="G21" s="11" t="s">
        <v>125</v>
      </c>
      <c r="H21" s="9" t="str">
        <f>IFERROR(__xludf.DUMMYFUNCTION("AI(""Give me a paragraph marketing spiel for product in this row, no tech specs just marketing fluff under 180 characters "")"),"Elevate your space with our premium aluminum profile, designed to craft sleek, seamless lines of light for a truly modern finish.")</f>
        <v>Elevate your space with our premium aluminum profile, designed to craft sleek, seamless lines of light for a truly modern finish.</v>
      </c>
      <c r="I21" s="11" t="s">
        <v>126</v>
      </c>
      <c r="J21" s="11"/>
      <c r="K21" s="11"/>
      <c r="L21" s="8"/>
      <c r="M21" s="11"/>
      <c r="N21" s="11"/>
      <c r="O21" s="11"/>
      <c r="P21" s="11"/>
      <c r="Q21" s="11"/>
      <c r="R21" s="11"/>
      <c r="S21" s="11"/>
      <c r="T21" s="11"/>
      <c r="U21" s="11"/>
      <c r="V21" s="11"/>
      <c r="W21" s="8" t="s">
        <v>33</v>
      </c>
      <c r="X21" s="8" t="s">
        <v>127</v>
      </c>
      <c r="Y21" s="8" t="s">
        <v>35</v>
      </c>
      <c r="Z21" s="11"/>
    </row>
    <row r="22">
      <c r="A22" s="8" t="s">
        <v>128</v>
      </c>
      <c r="B22" s="8" t="s">
        <v>129</v>
      </c>
      <c r="C22" s="8" t="s">
        <v>28</v>
      </c>
      <c r="D22" s="8" t="s">
        <v>29</v>
      </c>
      <c r="E22" s="8" t="s">
        <v>30</v>
      </c>
      <c r="F22" s="9" t="str">
        <f>IFERROR(__xludf.DUMMYFUNCTION("AI(""Give me a paragraph marketing spiel for product in this row, no tech specs just marketing fluff "")"),"Secure your lighting setup with absolute confidence using our premium metal mounting clips, engineered to provide flawless stability and a refined, professional finish. Designed for effortless installation, these robust clips offer a clean, minimalist hol"&amp;"d that lets your luminous designs take center stage. Perfect for creating crisp architectural lines and seamless visual flow, they ensure your custom lighting stays perfectly aligned, bringing effortless sophistication and durable reliability to every acc"&amp;"ent in your space.")</f>
        <v>Secure your lighting setup with absolute confidence using our premium metal mounting clips, engineered to provide flawless stability and a refined, professional finish. Designed for effortless installation, these robust clips offer a clean, minimalist hold that lets your luminous designs take center stage. Perfect for creating crisp architectural lines and seamless visual flow, they ensure your custom lighting stays perfectly aligned, bringing effortless sophistication and durable reliability to every accent in your space.</v>
      </c>
      <c r="G22" s="11" t="s">
        <v>130</v>
      </c>
      <c r="H22" s="9" t="str">
        <f>IFERROR(__xludf.DUMMYFUNCTION("AI(""Give me a paragraph marketing spiel for product in this row, no tech specs just marketing fluff under 180 characters "")"),"Secure your lighting with premium metal mounting clips, delivering dependable support and a clean finish so your illuminated designs take center stage.")</f>
        <v>Secure your lighting with premium metal mounting clips, delivering dependable support and a clean finish so your illuminated designs take center stage.</v>
      </c>
      <c r="I22" s="11" t="s">
        <v>131</v>
      </c>
      <c r="J22" s="11"/>
      <c r="K22" s="11"/>
      <c r="L22" s="8"/>
      <c r="M22" s="11"/>
      <c r="N22" s="11"/>
      <c r="O22" s="11"/>
      <c r="P22" s="11"/>
      <c r="Q22" s="11"/>
      <c r="R22" s="11"/>
      <c r="S22" s="11"/>
      <c r="T22" s="11"/>
      <c r="U22" s="11"/>
      <c r="V22" s="11"/>
      <c r="W22" s="8" t="s">
        <v>33</v>
      </c>
      <c r="X22" s="8" t="s">
        <v>132</v>
      </c>
      <c r="Y22" s="8" t="s">
        <v>35</v>
      </c>
      <c r="Z22" s="11"/>
    </row>
    <row r="23">
      <c r="A23" s="8" t="s">
        <v>133</v>
      </c>
      <c r="B23" s="8" t="s">
        <v>134</v>
      </c>
      <c r="C23" s="8" t="s">
        <v>28</v>
      </c>
      <c r="D23" s="8" t="s">
        <v>29</v>
      </c>
      <c r="E23" s="8" t="s">
        <v>30</v>
      </c>
      <c r="F23" s="9" t="str">
        <f>IFERROR(__xludf.DUMMYFUNCTION("AI(""Give me a paragraph marketing spiel for product in this row, no tech specs just marketing fluff "")"),"Seamlessly integrate stunning lines of light directly into your architectural surfaces with this versatile plaster aluminum profile. Designed to create a completely flush, trimless look, it transforms ordinary walls and ceilings into modern canvases of so"&amp;"ft, ambient illumination. Perfect for achieving a high-end, contemporary aesthetic, this innovative mounting channel elevates your interior spaces with effortless elegance and clean, sophisticated design.")</f>
        <v>Seamlessly integrate stunning lines of light directly into your architectural surfaces with this versatile plaster aluminum profile. Designed to create a completely flush, trimless look, it transforms ordinary walls and ceilings into modern canvases of soft, ambient illumination. Perfect for achieving a high-end, contemporary aesthetic, this innovative mounting channel elevates your interior spaces with effortless elegance and clean, sophisticated design.</v>
      </c>
      <c r="G23" s="11" t="s">
        <v>135</v>
      </c>
      <c r="H23" s="9" t="str">
        <f>IFERROR(__xludf.DUMMYFUNCTION("AI(""Give me a paragraph marketing spiel for product in this row, no tech specs just marketing fluff under 180 characters "")"),"Seamlessly integrate stunning lines of light into your walls with our plaster profile for a sleek, flush, high-end finish.")</f>
        <v>Seamlessly integrate stunning lines of light into your walls with our plaster profile for a sleek, flush, high-end finish.</v>
      </c>
      <c r="I23" s="11" t="s">
        <v>136</v>
      </c>
      <c r="J23" s="11"/>
      <c r="K23" s="11"/>
      <c r="L23" s="8"/>
      <c r="M23" s="11"/>
      <c r="N23" s="11"/>
      <c r="O23" s="11"/>
      <c r="P23" s="11"/>
      <c r="Q23" s="11"/>
      <c r="R23" s="11"/>
      <c r="S23" s="11"/>
      <c r="T23" s="11"/>
      <c r="U23" s="11"/>
      <c r="V23" s="11"/>
      <c r="W23" s="8" t="s">
        <v>33</v>
      </c>
      <c r="X23" s="8" t="s">
        <v>137</v>
      </c>
      <c r="Y23" s="8" t="s">
        <v>35</v>
      </c>
      <c r="Z23" s="11"/>
    </row>
    <row r="24">
      <c r="A24" s="8" t="s">
        <v>138</v>
      </c>
      <c r="B24" s="8" t="s">
        <v>139</v>
      </c>
      <c r="C24" s="8" t="s">
        <v>28</v>
      </c>
      <c r="D24" s="8" t="s">
        <v>29</v>
      </c>
      <c r="E24" s="8" t="s">
        <v>30</v>
      </c>
      <c r="F24" s="9" t="str">
        <f>IFERROR(__xludf.DUMMYFUNCTION("AI(""Give me a paragraph marketing spiel for product in this row, no tech specs just marketing fluff "")"),"Seamlessly ground your space in modern luxury with our elegant skirting aluminum profile, designed to frame your floors with a captivating, soft glow. Perfect for defining room perimeters and creating effortless path lighting, this sleek accent elevates t"&amp;"raditional baseboards into a stunning architectural feature. Bring warmth, sophistication, and a touch of modern drama to every step as your interiors are transformed with ambient, low-level illumination.")</f>
        <v>Seamlessly ground your space in modern luxury with our elegant skirting aluminum profile, designed to frame your floors with a captivating, soft glow. Perfect for defining room perimeters and creating effortless path lighting, this sleek accent elevates traditional baseboards into a stunning architectural feature. Bring warmth, sophistication, and a touch of modern drama to every step as your interiors are transformed with ambient, low-level illumination.</v>
      </c>
      <c r="G24" s="11" t="s">
        <v>140</v>
      </c>
      <c r="H24" s="9" t="str">
        <f>IFERROR(__xludf.DUMMYFUNCTION("AI(""Give me a paragraph marketing spiel for product in this row, no tech specs just marketing fluff under 180 characters "")"),"Elevate your floors with sleek skirting aluminium profiles, casting a soft, captivating glow that grounds your space in modern luxury and style.")</f>
        <v>Elevate your floors with sleek skirting aluminium profiles, casting a soft, captivating glow that grounds your space in modern luxury and style.</v>
      </c>
      <c r="I24" s="11" t="s">
        <v>141</v>
      </c>
      <c r="J24" s="11"/>
      <c r="K24" s="11"/>
      <c r="L24" s="8"/>
      <c r="M24" s="11"/>
      <c r="N24" s="11"/>
      <c r="O24" s="11"/>
      <c r="P24" s="11"/>
      <c r="Q24" s="11"/>
      <c r="R24" s="11"/>
      <c r="S24" s="11"/>
      <c r="T24" s="11"/>
      <c r="U24" s="11"/>
      <c r="V24" s="11"/>
      <c r="W24" s="8" t="s">
        <v>33</v>
      </c>
      <c r="X24" s="8" t="s">
        <v>142</v>
      </c>
      <c r="Y24" s="8" t="s">
        <v>35</v>
      </c>
      <c r="Z24" s="11"/>
    </row>
    <row r="25">
      <c r="A25" s="8" t="s">
        <v>143</v>
      </c>
      <c r="B25" s="8" t="s">
        <v>144</v>
      </c>
      <c r="C25" s="8" t="s">
        <v>28</v>
      </c>
      <c r="D25" s="8" t="s">
        <v>29</v>
      </c>
      <c r="E25" s="8" t="s">
        <v>30</v>
      </c>
      <c r="F25" s="9" t="str">
        <f>IFERROR(__xludf.DUMMYFUNCTION("AI(""Give me a paragraph marketing spiel for product in this row, no tech specs just marketing fluff "")"),"Bring fluid elegance and captivating brilliance to your space with our flexible aluminum profile, designed to effortlessly bend and contour around your unique architectural visions. Seamlessly shaping light to fit any curve, it transforms ordinary environ"&amp;"ments into extraordinary visual experiences with smooth, continuous illumination. Perfect for creating sleek accent lines or dramatic decorative features, this versatile profile provides the ultimate canvas to let your modern lighting designs flow with ef"&amp;"fortless beauty and style.")</f>
        <v>Bring fluid elegance and captivating brilliance to your space with our flexible aluminum profile, designed to effortlessly bend and contour around your unique architectural visions. Seamlessly shaping light to fit any curve, it transforms ordinary environments into extraordinary visual experiences with smooth, continuous illumination. Perfect for creating sleek accent lines or dramatic decorative features, this versatile profile provides the ultimate canvas to let your modern lighting designs flow with effortless beauty and style.</v>
      </c>
      <c r="G25" s="11" t="s">
        <v>145</v>
      </c>
      <c r="H25" s="9" t="str">
        <f>IFERROR(__xludf.DUMMYFUNCTION("AI(""Give me a paragraph marketing spiel for product in this row, no tech specs just marketing fluff under 180 characters "")"),"Effortlessly bend and shape light around any curve to elevate your space with smooth, continuous illumination.")</f>
        <v>Effortlessly bend and shape light around any curve to elevate your space with smooth, continuous illumination.</v>
      </c>
      <c r="I25" s="11" t="s">
        <v>146</v>
      </c>
      <c r="J25" s="11"/>
      <c r="K25" s="11"/>
      <c r="L25" s="8"/>
      <c r="M25" s="11"/>
      <c r="N25" s="11"/>
      <c r="O25" s="11"/>
      <c r="P25" s="11"/>
      <c r="Q25" s="11"/>
      <c r="R25" s="11"/>
      <c r="S25" s="11"/>
      <c r="T25" s="11"/>
      <c r="U25" s="11"/>
      <c r="V25" s="11"/>
      <c r="W25" s="8" t="s">
        <v>33</v>
      </c>
      <c r="X25" s="8" t="s">
        <v>147</v>
      </c>
      <c r="Y25" s="8" t="s">
        <v>35</v>
      </c>
      <c r="Z25" s="11"/>
    </row>
    <row r="26">
      <c r="A26" s="8" t="s">
        <v>148</v>
      </c>
      <c r="B26" s="8" t="s">
        <v>149</v>
      </c>
      <c r="C26" s="8" t="s">
        <v>28</v>
      </c>
      <c r="D26" s="8" t="s">
        <v>29</v>
      </c>
      <c r="E26" s="8" t="s">
        <v>30</v>
      </c>
      <c r="F26" s="9" t="str">
        <f>IFERROR(__xludf.DUMMYFUNCTION("AI(""Give me a paragraph marketing spiel for product in this row, no tech specs just marketing fluff "")"),"Transform your space with the captivating glow of our flexible PC channel, designed to bring smooth, continuous lines of light to any modern environment. Effortlessly bending to follow your unique creative vision, it provides a sleek and seamless housing "&amp;"that softly diffuses illumination for a warm, welcoming ambiance. Perfect for accentuating architectural details or adding stylish, contemporary flair to your interior decor, this versatile solution lets your custom lighting design shine with understated "&amp;"sophistication.")</f>
        <v>Transform your space with the captivating glow of our flexible PC channel, designed to bring smooth, continuous lines of light to any modern environment. Effortlessly bending to follow your unique creative vision, it provides a sleek and seamless housing that softly diffuses illumination for a warm, welcoming ambiance. Perfect for accentuating architectural details or adding stylish, contemporary flair to your interior decor, this versatile solution lets your custom lighting design shine with understated sophistication.</v>
      </c>
      <c r="G26" s="11" t="s">
        <v>150</v>
      </c>
      <c r="H26" s="9" t="str">
        <f>IFERROR(__xludf.DUMMYFUNCTION("AI(""Give me a paragraph marketing spiel for product in this row, no tech specs just marketing fluff under 180 characters "")"),"Softly diffuse your lights with flexible PC channels that bend to bring smooth, continuous lines of warm ambiance to any space.")</f>
        <v>Softly diffuse your lights with flexible PC channels that bend to bring smooth, continuous lines of warm ambiance to any space.</v>
      </c>
      <c r="I26" s="11" t="s">
        <v>151</v>
      </c>
      <c r="J26" s="11"/>
      <c r="K26" s="11"/>
      <c r="L26" s="8"/>
      <c r="M26" s="11"/>
      <c r="N26" s="11"/>
      <c r="O26" s="11"/>
      <c r="P26" s="11"/>
      <c r="Q26" s="11"/>
      <c r="R26" s="11"/>
      <c r="S26" s="11"/>
      <c r="T26" s="11"/>
      <c r="U26" s="11"/>
      <c r="V26" s="11"/>
      <c r="W26" s="8" t="s">
        <v>33</v>
      </c>
      <c r="X26" s="8" t="s">
        <v>152</v>
      </c>
      <c r="Y26" s="8" t="s">
        <v>35</v>
      </c>
      <c r="Z26" s="11"/>
    </row>
    <row r="27">
      <c r="A27" s="8" t="s">
        <v>153</v>
      </c>
      <c r="B27" s="8" t="s">
        <v>149</v>
      </c>
      <c r="C27" s="8" t="s">
        <v>28</v>
      </c>
      <c r="D27" s="8" t="s">
        <v>29</v>
      </c>
      <c r="E27" s="8" t="s">
        <v>30</v>
      </c>
      <c r="F27" s="9" t="str">
        <f>IFERROR(__xludf.DUMMYFUNCTION("AI(""Give me a paragraph marketing spiel for product in this row, no tech specs just marketing fluff "")"),"Transform your space with the sleek flexibility of our premium PC profile, designed to bring a modern, sophisticated glow to any room. Crafted for those who appreciate refined aesthetics, this versatile channel seamlessly integrates into your décor, casti"&amp;"ng smooth, beautiful illumination that elevates your interior design. Whether creating subtle ambient accents or bold visual statements, it provides the perfect architectural framing to let your custom lighting visions shine with effortless style.")</f>
        <v>Transform your space with the sleek flexibility of our premium PC profile, designed to bring a modern, sophisticated glow to any room. Crafted for those who appreciate refined aesthetics, this versatile channel seamlessly integrates into your décor, casting smooth, beautiful illumination that elevates your interior design. Whether creating subtle ambient accents or bold visual statements, it provides the perfect architectural framing to let your custom lighting visions shine with effortless style.</v>
      </c>
      <c r="G27" s="11" t="s">
        <v>154</v>
      </c>
      <c r="H27" s="9" t="str">
        <f>IFERROR(__xludf.DUMMYFUNCTION("AI(""Give me a paragraph marketing spiel for product in this row, no tech specs just marketing fluff under 180 characters "")"),"Effortlessly shape stunning light with flexible PC channels that add a modern, sophisticated glow to any space.")</f>
        <v>Effortlessly shape stunning light with flexible PC channels that add a modern, sophisticated glow to any space.</v>
      </c>
      <c r="I27" s="11" t="s">
        <v>155</v>
      </c>
      <c r="J27" s="11"/>
      <c r="K27" s="11"/>
      <c r="L27" s="8"/>
      <c r="M27" s="11"/>
      <c r="N27" s="11"/>
      <c r="O27" s="11"/>
      <c r="P27" s="11"/>
      <c r="Q27" s="11"/>
      <c r="R27" s="11"/>
      <c r="S27" s="11"/>
      <c r="T27" s="11"/>
      <c r="U27" s="11"/>
      <c r="V27" s="11"/>
      <c r="W27" s="8" t="s">
        <v>33</v>
      </c>
      <c r="X27" s="8" t="s">
        <v>156</v>
      </c>
      <c r="Y27" s="8" t="s">
        <v>35</v>
      </c>
      <c r="Z27" s="11"/>
    </row>
    <row r="28">
      <c r="A28" s="8" t="s">
        <v>157</v>
      </c>
      <c r="B28" s="8" t="s">
        <v>158</v>
      </c>
      <c r="C28" s="8" t="s">
        <v>28</v>
      </c>
      <c r="D28" s="8" t="s">
        <v>29</v>
      </c>
      <c r="E28" s="8" t="s">
        <v>30</v>
      </c>
      <c r="F28" s="9" t="str">
        <f>IFERROR(__xludf.DUMMYFUNCTION("AI(""Give me a paragraph marketing spiel for product in this row, no tech specs just marketing fluff "")"),"Elevate your interior lighting design with our ultra-slim aluminum profile, engineered to deliver sleek, modern elegance to any space. Designed to integrate seamlessly into your décor, this discreet channel creates smooth, captivating lines of continuous "&amp;"glow that effortlessly transform everyday rooms into extraordinary visual experiences. Perfect for highlighting architectural details or creating sophisticated ambient accents, it provides the ultimate polished canvas for your unique lighting vision.")</f>
        <v>Elevate your interior lighting design with our ultra-slim aluminum profile, engineered to deliver sleek, modern elegance to any space. Designed to integrate seamlessly into your décor, this discreet channel creates smooth, captivating lines of continuous glow that effortlessly transform everyday rooms into extraordinary visual experiences. Perfect for highlighting architectural details or creating sophisticated ambient accents, it provides the ultimate polished canvas for your unique lighting vision.</v>
      </c>
      <c r="G28" s="11" t="s">
        <v>159</v>
      </c>
      <c r="H28" s="9" t="str">
        <f>IFERROR(__xludf.DUMMYFUNCTION("AI(""Give me a paragraph marketing spiel for product in this row, no tech specs just marketing fluff under 180 characters "")"),"Elevate your space with ultra-slim aluminum profiles, crafted for seamless elegance and modern, continuous lines of light.")</f>
        <v>Elevate your space with ultra-slim aluminum profiles, crafted for seamless elegance and modern, continuous lines of light.</v>
      </c>
      <c r="I28" s="11" t="s">
        <v>160</v>
      </c>
      <c r="J28" s="11"/>
      <c r="K28" s="11"/>
      <c r="L28" s="8"/>
      <c r="M28" s="11"/>
      <c r="N28" s="11"/>
      <c r="O28" s="11"/>
      <c r="P28" s="11"/>
      <c r="Q28" s="11"/>
      <c r="R28" s="11"/>
      <c r="S28" s="11"/>
      <c r="T28" s="11"/>
      <c r="U28" s="11"/>
      <c r="V28" s="11"/>
      <c r="W28" s="8" t="s">
        <v>33</v>
      </c>
      <c r="X28" s="8" t="s">
        <v>161</v>
      </c>
      <c r="Y28" s="8" t="s">
        <v>35</v>
      </c>
      <c r="Z28" s="11"/>
    </row>
    <row r="29">
      <c r="A29" s="8" t="s">
        <v>162</v>
      </c>
      <c r="B29" s="8" t="s">
        <v>163</v>
      </c>
      <c r="C29" s="8" t="s">
        <v>28</v>
      </c>
      <c r="D29" s="8" t="s">
        <v>29</v>
      </c>
      <c r="E29" s="8" t="s">
        <v>30</v>
      </c>
      <c r="F29" s="9" t="str">
        <f>IFERROR(__xludf.DUMMYFUNCTION("AI(""Give me a paragraph marketing spiel for product in this row, no tech specs just marketing fluff "")"),"Ensure a flawless, professional finish for your lighting installation with these premium mounting clips, designed to hold your neon channels securely in place. Effortlessly discreet, they provide reliable support while keeping the focus entirely on your s"&amp;"tunning light display. Perfect for creating clean, continuous accents in any modern space, these clips make bringing your creative lighting vision to life simpler and more seamless than ever.")</f>
        <v>Ensure a flawless, professional finish for your lighting installation with these premium mounting clips, designed to hold your neon channels securely in place. Effortlessly discreet, they provide reliable support while keeping the focus entirely on your stunning light display. Perfect for creating clean, continuous accents in any modern space, these clips make bringing your creative lighting vision to life simpler and more seamless than ever.</v>
      </c>
      <c r="G29" s="11" t="s">
        <v>164</v>
      </c>
      <c r="H29" s="9" t="str">
        <f>IFERROR(__xludf.DUMMYFUNCTION("AI(""Give me a paragraph marketing spiel for product in this row, no tech specs just marketing fluff under 180 characters "")"),"Secure your lighting with sleek, discreet mounting clips designed for a flawless, professional finish.")</f>
        <v>Secure your lighting with sleek, discreet mounting clips designed for a flawless, professional finish.</v>
      </c>
      <c r="I29" s="11" t="s">
        <v>165</v>
      </c>
      <c r="J29" s="11"/>
      <c r="K29" s="11"/>
      <c r="L29" s="8"/>
      <c r="M29" s="11"/>
      <c r="N29" s="11"/>
      <c r="O29" s="11"/>
      <c r="P29" s="11"/>
      <c r="Q29" s="11"/>
      <c r="R29" s="11"/>
      <c r="S29" s="11"/>
      <c r="T29" s="11"/>
      <c r="U29" s="11"/>
      <c r="V29" s="11"/>
      <c r="W29" s="8" t="s">
        <v>33</v>
      </c>
      <c r="X29" s="8" t="s">
        <v>166</v>
      </c>
      <c r="Y29" s="8" t="s">
        <v>35</v>
      </c>
      <c r="Z29" s="11"/>
    </row>
    <row r="30">
      <c r="A30" s="8" t="s">
        <v>167</v>
      </c>
      <c r="B30" s="8" t="s">
        <v>168</v>
      </c>
      <c r="C30" s="8" t="s">
        <v>28</v>
      </c>
      <c r="D30" s="8" t="s">
        <v>29</v>
      </c>
      <c r="E30" s="8" t="s">
        <v>30</v>
      </c>
      <c r="F30" s="9" t="str">
        <f>IFERROR(__xludf.DUMMYFUNCTION("AI(""Give me a paragraph marketing spiel for product in this row, no tech specs just marketing fluff "")"),"Elevate your interior design with our premium plaster aluminum profile, expertly designed to blend seamlessly into your walls and ceilings for a flawless, built-in look. Perfect for creating soft, sophisticated accent lighting or continuous lines of radia"&amp;"nt glow, this versatile mounting channel transforms ordinary spaces into modern architectural masterpieces. Enhance your home or commercial environment with effortless elegance, clean lines, and an unforgettable ambient atmosphere.")</f>
        <v>Elevate your interior design with our premium plaster aluminum profile, expertly designed to blend seamlessly into your walls and ceilings for a flawless, built-in look. Perfect for creating soft, sophisticated accent lighting or continuous lines of radiant glow, this versatile mounting channel transforms ordinary spaces into modern architectural masterpieces. Enhance your home or commercial environment with effortless elegance, clean lines, and an unforgettable ambient atmosphere.</v>
      </c>
      <c r="G30" s="11" t="s">
        <v>169</v>
      </c>
      <c r="H30" s="9" t="str">
        <f>IFERROR(__xludf.DUMMYFUNCTION("AI(""Give me a paragraph marketing spiel for product in this row, no tech specs just marketing fluff under 180 characters "")"),"Seamlessly integrate glowing lines of light into your walls and ceilings for a flawless, modern, trimless finish that elevates any room.")</f>
        <v>Seamlessly integrate glowing lines of light into your walls and ceilings for a flawless, modern, trimless finish that elevates any room.</v>
      </c>
      <c r="I30" s="11" t="s">
        <v>170</v>
      </c>
      <c r="J30" s="11"/>
      <c r="K30" s="11"/>
      <c r="L30" s="8"/>
      <c r="M30" s="11"/>
      <c r="N30" s="11"/>
      <c r="O30" s="11"/>
      <c r="P30" s="11"/>
      <c r="Q30" s="11"/>
      <c r="R30" s="11"/>
      <c r="S30" s="11"/>
      <c r="T30" s="11"/>
      <c r="U30" s="11"/>
      <c r="V30" s="11"/>
      <c r="W30" s="8" t="s">
        <v>33</v>
      </c>
      <c r="X30" s="8" t="s">
        <v>171</v>
      </c>
      <c r="Y30" s="8" t="s">
        <v>35</v>
      </c>
      <c r="Z30" s="11"/>
    </row>
    <row r="31">
      <c r="A31" s="8" t="s">
        <v>172</v>
      </c>
      <c r="B31" s="8" t="s">
        <v>173</v>
      </c>
      <c r="C31" s="8" t="s">
        <v>28</v>
      </c>
      <c r="D31" s="8" t="s">
        <v>29</v>
      </c>
      <c r="E31" s="8" t="s">
        <v>30</v>
      </c>
      <c r="F31" s="9" t="str">
        <f>IFERROR(__xludf.DUMMYFUNCTION("AI(""Give me a paragraph marketing spiel for product in this row, no tech specs just marketing fluff "")"),"Achieve a clean, architectural finish with our ultra-slim recessed aluminum profile, seamlessly integrating light directly into your walls and ceilings. Designed to hide effortlessly within your space, it crafts smooth, continuous lines of glow that enhan"&amp;"ce your interior with sophisticated modern elegance. Perfect for creating subtle ambient accents or striking linear illumination, this channel transforms lighting into a captivating architectural feature.")</f>
        <v>Achieve a clean, architectural finish with our ultra-slim recessed aluminum profile, seamlessly integrating light directly into your walls and ceilings. Designed to hide effortlessly within your space, it crafts smooth, continuous lines of glow that enhance your interior with sophisticated modern elegance. Perfect for creating subtle ambient accents or striking linear illumination, this channel transforms lighting into a captivating architectural feature.</v>
      </c>
      <c r="G31" s="11" t="s">
        <v>174</v>
      </c>
      <c r="H31" s="9" t="str">
        <f>IFERROR(__xludf.DUMMYFUNCTION("AI(""Give me a paragraph marketing spiel for product in this row, no tech specs just marketing fluff under 180 characters "")"),"Seamlessly blend modern light into walls and ceilings for a sleek, trimless feel and soft, captivating glow.")</f>
        <v>Seamlessly blend modern light into walls and ceilings for a sleek, trimless feel and soft, captivating glow.</v>
      </c>
      <c r="I31" s="11" t="s">
        <v>175</v>
      </c>
      <c r="J31" s="11"/>
      <c r="K31" s="11"/>
      <c r="L31" s="8"/>
      <c r="M31" s="11"/>
      <c r="N31" s="11"/>
      <c r="O31" s="11"/>
      <c r="P31" s="11"/>
      <c r="Q31" s="11"/>
      <c r="R31" s="11"/>
      <c r="S31" s="11"/>
      <c r="T31" s="11"/>
      <c r="U31" s="11"/>
      <c r="V31" s="11"/>
      <c r="W31" s="8" t="s">
        <v>33</v>
      </c>
      <c r="X31" s="8" t="s">
        <v>176</v>
      </c>
      <c r="Y31" s="8" t="s">
        <v>35</v>
      </c>
      <c r="Z31" s="11"/>
    </row>
    <row r="32">
      <c r="A32" s="8" t="s">
        <v>177</v>
      </c>
      <c r="B32" s="8" t="s">
        <v>178</v>
      </c>
      <c r="C32" s="8" t="s">
        <v>28</v>
      </c>
      <c r="D32" s="8" t="s">
        <v>29</v>
      </c>
      <c r="E32" s="8" t="s">
        <v>30</v>
      </c>
      <c r="F32" s="9" t="str">
        <f>IFERROR(__xludf.DUMMYFUNCTION("AI(""Give me a paragraph marketing spiel for product in this row, no tech specs just marketing fluff "")"),"Transform your space with the sleek elegance of our flexible aluminum profile, expertly designed to bring dynamic, modern illumination to any layout. Crafted to adapt seamlessly to unique curves and architectural contours, it allows you to sculpt light wi"&amp;"th complete creative freedom. Perfect for elevating ambient accents or crafting striking visual feature lines, this versatile channel provides the ideal foundation to let your bespoke lighting designs shine with effortless sophistication.")</f>
        <v>Transform your space with the sleek elegance of our flexible aluminum profile, expertly designed to bring dynamic, modern illumination to any layout. Crafted to adapt seamlessly to unique curves and architectural contours, it allows you to sculpt light with complete creative freedom. Perfect for elevating ambient accents or crafting striking visual feature lines, this versatile channel provides the ideal foundation to let your bespoke lighting designs shine with effortless sophistication.</v>
      </c>
      <c r="G32" s="11" t="s">
        <v>179</v>
      </c>
      <c r="H32" s="9" t="str">
        <f>IFERROR(__xludf.DUMMYFUNCTION("AI(""Give me a paragraph marketing spiel for product in this row, no tech specs just marketing fluff under 180 characters "")"),"Sculpt light with complete freedom using flexible aluminium profiles designed for dynamic, modern illumination.")</f>
        <v>Sculpt light with complete freedom using flexible aluminium profiles designed for dynamic, modern illumination.</v>
      </c>
      <c r="I32" s="11" t="s">
        <v>180</v>
      </c>
      <c r="J32" s="11"/>
      <c r="K32" s="11"/>
      <c r="L32" s="8"/>
      <c r="M32" s="11"/>
      <c r="N32" s="11"/>
      <c r="O32" s="11"/>
      <c r="P32" s="11"/>
      <c r="Q32" s="11"/>
      <c r="R32" s="11"/>
      <c r="S32" s="11"/>
      <c r="T32" s="11"/>
      <c r="U32" s="11"/>
      <c r="V32" s="11"/>
      <c r="W32" s="8" t="s">
        <v>33</v>
      </c>
      <c r="X32" s="8" t="s">
        <v>181</v>
      </c>
      <c r="Y32" s="8" t="s">
        <v>35</v>
      </c>
      <c r="Z32" s="11"/>
    </row>
    <row r="33">
      <c r="A33" s="8" t="s">
        <v>182</v>
      </c>
      <c r="B33" s="8" t="s">
        <v>183</v>
      </c>
      <c r="C33" s="8" t="s">
        <v>28</v>
      </c>
      <c r="D33" s="8" t="s">
        <v>29</v>
      </c>
      <c r="E33" s="8" t="s">
        <v>30</v>
      </c>
      <c r="F33" s="9" t="str">
        <f>IFERROR(__xludf.DUMMYFUNCTION("AI(""Give me a paragraph marketing spiel for product in this row, no tech specs just marketing fluff "")"),"Elevate your lighting design with our sleek corner aluminum profile, expertly crafted to turn overlooked edges into stunning visual highlights. Designed for effortless architectural integration, it frames your spaces with a soft, continuous glow that adds"&amp;" modern depth and sophisticated ambiance to any room. Perfectly accentuating angles and architectural features, this profile transforms ordinary corners into captivating focal points of pure, elegant light.")</f>
        <v>Elevate your lighting design with our sleek corner aluminum profile, expertly crafted to turn overlooked edges into stunning visual highlights. Designed for effortless architectural integration, it frames your spaces with a soft, continuous glow that adds modern depth and sophisticated ambiance to any room. Perfectly accentuating angles and architectural features, this profile transforms ordinary corners into captivating focal points of pure, elegant light.</v>
      </c>
      <c r="G33" s="11" t="s">
        <v>184</v>
      </c>
      <c r="H33" s="9" t="str">
        <f>IFERROR(__xludf.DUMMYFUNCTION("AI(""Give me a paragraph marketing spiel for product in this row, no tech specs just marketing fluff under 180 characters "")"),"Transform overlooked edges into stunning visual highlights with sleek corner profiles designed to frame your space in soft glow.")</f>
        <v>Transform overlooked edges into stunning visual highlights with sleek corner profiles designed to frame your space in soft glow.</v>
      </c>
      <c r="I33" s="11" t="s">
        <v>185</v>
      </c>
      <c r="J33" s="11"/>
      <c r="K33" s="11"/>
      <c r="L33" s="8"/>
      <c r="M33" s="11"/>
      <c r="N33" s="11"/>
      <c r="O33" s="11"/>
      <c r="P33" s="11"/>
      <c r="Q33" s="11"/>
      <c r="R33" s="11"/>
      <c r="S33" s="11"/>
      <c r="T33" s="11"/>
      <c r="U33" s="11"/>
      <c r="V33" s="11"/>
      <c r="W33" s="8" t="s">
        <v>33</v>
      </c>
      <c r="X33" s="8" t="s">
        <v>186</v>
      </c>
      <c r="Y33" s="8" t="s">
        <v>35</v>
      </c>
      <c r="Z33" s="11"/>
    </row>
    <row r="34">
      <c r="A34" s="8" t="s">
        <v>187</v>
      </c>
      <c r="B34" s="8" t="s">
        <v>188</v>
      </c>
      <c r="C34" s="8" t="s">
        <v>28</v>
      </c>
      <c r="D34" s="8" t="s">
        <v>29</v>
      </c>
      <c r="E34" s="8" t="s">
        <v>30</v>
      </c>
      <c r="F34" s="9" t="str">
        <f>IFERROR(__xludf.DUMMYFUNCTION("AI(""Give me a paragraph marketing spiel for product in this row, no tech specs just marketing fluff "")"),"Ensure a clean, flawless finish for your custom LED lighting installations with these essential open endcaps. Designed to provide a neat, professional transition for wiring while keeping your setup secure, they seamlessly blend into your architecture for "&amp;"a polished and modern aesthetic. Perfect for maintaining continuous lines of ambient glow, these endcaps give your tailored lighting projects the refined, high-end detail they deserve.")</f>
        <v>Ensure a clean, flawless finish for your custom LED lighting installations with these essential open endcaps. Designed to provide a neat, professional transition for wiring while keeping your setup secure, they seamlessly blend into your architecture for a polished and modern aesthetic. Perfect for maintaining continuous lines of ambient glow, these endcaps give your tailored lighting projects the refined, high-end detail they deserve.</v>
      </c>
      <c r="G34" s="11" t="s">
        <v>189</v>
      </c>
      <c r="H34" s="9" t="str">
        <f>IFERROR(__xludf.DUMMYFUNCTION("AI(""Give me a paragraph marketing spiel for product in this row, no tech specs just marketing fluff under 180 characters "")"),"Give your custom lighting a flawless, professional finish with these essential endcaps for a sleek, modern look.")</f>
        <v>Give your custom lighting a flawless, professional finish with these essential endcaps for a sleek, modern look.</v>
      </c>
      <c r="I34" s="11" t="s">
        <v>190</v>
      </c>
      <c r="J34" s="11"/>
      <c r="K34" s="11"/>
      <c r="L34" s="8"/>
      <c r="M34" s="11"/>
      <c r="N34" s="11"/>
      <c r="O34" s="11"/>
      <c r="P34" s="11"/>
      <c r="Q34" s="11"/>
      <c r="R34" s="11"/>
      <c r="S34" s="11"/>
      <c r="T34" s="11"/>
      <c r="U34" s="11"/>
      <c r="V34" s="11"/>
      <c r="W34" s="8" t="s">
        <v>33</v>
      </c>
      <c r="X34" s="8" t="s">
        <v>191</v>
      </c>
      <c r="Y34" s="8" t="s">
        <v>35</v>
      </c>
      <c r="Z34" s="11"/>
    </row>
    <row r="35">
      <c r="A35" s="8" t="s">
        <v>192</v>
      </c>
      <c r="B35" s="8" t="s">
        <v>193</v>
      </c>
      <c r="C35" s="8" t="s">
        <v>28</v>
      </c>
      <c r="D35" s="8" t="s">
        <v>29</v>
      </c>
      <c r="E35" s="8" t="s">
        <v>30</v>
      </c>
      <c r="F35" s="9" t="str">
        <f>IFERROR(__xludf.DUMMYFUNCTION("AI(""Give me a paragraph marketing spiel for product in this row, no tech specs just marketing fluff "")"),"Ensure a clean, flawless finish for your custom lighting installations with our premium closed endcaps. Perfectly designed to cap off your neon LED profiles, these essential accessories create a polished, complete look while protecting your setup. Effortl"&amp;"essly blending into your overall aesthetic, they add that final touch of refined sophistication to bring your modern lighting vision together with seamless perfection.")</f>
        <v>Ensure a clean, flawless finish for your custom lighting installations with our premium closed endcaps. Perfectly designed to cap off your neon LED profiles, these essential accessories create a polished, complete look while protecting your setup. Effortlessly blending into your overall aesthetic, they add that final touch of refined sophistication to bring your modern lighting vision together with seamless perfection.</v>
      </c>
      <c r="G35" s="11" t="s">
        <v>194</v>
      </c>
      <c r="H35" s="9" t="str">
        <f>IFERROR(__xludf.DUMMYFUNCTION("AI(""Give me a paragraph marketing spiel for product in this row, no tech specs just marketing fluff under 180 characters "")"),"Complete your custom lighting setup with our sleek closed endcaps, providing a polished, flawless finish to elevate your space with seamless elegance.")</f>
        <v>Complete your custom lighting setup with our sleek closed endcaps, providing a polished, flawless finish to elevate your space with seamless elegance.</v>
      </c>
      <c r="I35" s="11" t="s">
        <v>195</v>
      </c>
      <c r="J35" s="11"/>
      <c r="K35" s="11"/>
      <c r="L35" s="8"/>
      <c r="M35" s="11"/>
      <c r="N35" s="11"/>
      <c r="O35" s="11"/>
      <c r="P35" s="11"/>
      <c r="Q35" s="11"/>
      <c r="R35" s="11"/>
      <c r="S35" s="11"/>
      <c r="T35" s="11"/>
      <c r="U35" s="11"/>
      <c r="V35" s="11"/>
      <c r="W35" s="8" t="s">
        <v>33</v>
      </c>
      <c r="X35" s="8" t="s">
        <v>196</v>
      </c>
      <c r="Y35" s="8" t="s">
        <v>35</v>
      </c>
      <c r="Z35" s="11"/>
    </row>
    <row r="36">
      <c r="A36" s="8" t="s">
        <v>197</v>
      </c>
      <c r="B36" s="8" t="s">
        <v>198</v>
      </c>
      <c r="C36" s="8" t="s">
        <v>28</v>
      </c>
      <c r="D36" s="8" t="s">
        <v>29</v>
      </c>
      <c r="E36" s="8" t="s">
        <v>30</v>
      </c>
      <c r="F36" s="9" t="str">
        <f>IFERROR(__xludf.DUMMYFUNCTION("AI(""Give me a paragraph marketing spiel for product in this row, no tech specs just marketing fluff "")"),"Unlock endless creative possibilities with our ultra-flexible aluminum profile, masterfully designed to bend and shape around your unique architectural vision. Perfect for crafting custom curves and fluid, captivating lighting accents, this versatile trac"&amp;"k effortlessly integrates into any room to deliver a smooth, contemporary glow. Elevate your interior design with an elegant, modern framing solution that transforms ordinary spaces into stunning artistic statements.")</f>
        <v>Unlock endless creative possibilities with our ultra-flexible aluminum profile, masterfully designed to bend and shape around your unique architectural vision. Perfect for crafting custom curves and fluid, captivating lighting accents, this versatile track effortlessly integrates into any room to deliver a smooth, contemporary glow. Elevate your interior design with an elegant, modern framing solution that transforms ordinary spaces into stunning artistic statements.</v>
      </c>
      <c r="G36" s="11" t="s">
        <v>199</v>
      </c>
      <c r="H36" s="9" t="str">
        <f>IFERROR(__xludf.DUMMYFUNCTION("AI(""Give me a paragraph marketing spiel for product in this row, no tech specs just marketing fluff under 180 characters "")"),"Bend light to your vision with this flexible profile, crafting effortless curves and seamless elegance for any modern space.")</f>
        <v>Bend light to your vision with this flexible profile, crafting effortless curves and seamless elegance for any modern space.</v>
      </c>
      <c r="I36" s="11" t="s">
        <v>200</v>
      </c>
      <c r="J36" s="11"/>
      <c r="K36" s="11"/>
      <c r="L36" s="8"/>
      <c r="M36" s="11"/>
      <c r="N36" s="11"/>
      <c r="O36" s="11"/>
      <c r="P36" s="11"/>
      <c r="Q36" s="11"/>
      <c r="R36" s="11"/>
      <c r="S36" s="11"/>
      <c r="T36" s="11"/>
      <c r="U36" s="11"/>
      <c r="V36" s="11"/>
      <c r="W36" s="8" t="s">
        <v>33</v>
      </c>
      <c r="X36" s="8" t="s">
        <v>201</v>
      </c>
      <c r="Y36" s="8" t="s">
        <v>35</v>
      </c>
      <c r="Z36" s="11"/>
    </row>
    <row r="37">
      <c r="A37" s="8" t="s">
        <v>202</v>
      </c>
      <c r="B37" s="8" t="s">
        <v>203</v>
      </c>
      <c r="C37" s="8" t="s">
        <v>28</v>
      </c>
      <c r="D37" s="8" t="s">
        <v>29</v>
      </c>
      <c r="E37" s="8" t="s">
        <v>30</v>
      </c>
      <c r="F37" s="9" t="str">
        <f>IFERROR(__xludf.DUMMYFUNCTION("AI(""Give me a paragraph marketing spiel for product in this row, no tech specs just marketing fluff "")"),"Elevate your lighting design with our ultra-compact aluminum profile, engineered to deliver sleek, architectural precision in a surprisingly slim footprint. Designed to create flawless lines of light, it seamlessly integrates into any modern space to turn"&amp;" subtle ambient accents into captivating focal points. Perfectly framing your custom neon lighting, this refined profile adds an instant touch of high-end sophistication and clean elegance to your interior décor.")</f>
        <v>Elevate your lighting design with our ultra-compact aluminum profile, engineered to deliver sleek, architectural precision in a surprisingly slim footprint. Designed to create flawless lines of light, it seamlessly integrates into any modern space to turn subtle ambient accents into captivating focal points. Perfectly framing your custom neon lighting, this refined profile adds an instant touch of high-end sophistication and clean elegance to your interior décor.</v>
      </c>
      <c r="G37" s="11" t="s">
        <v>204</v>
      </c>
      <c r="H37" s="9" t="str">
        <f>IFERROR(__xludf.DUMMYFUNCTION("AI(""Give me a paragraph marketing spiel for product in this row, no tech specs just marketing fluff under 180 characters "")"),"Transform your space with sleek aluminium profiles designed to create seamless, modern lines of light for an elevated aesthetic.")</f>
        <v>Transform your space with sleek aluminium profiles designed to create seamless, modern lines of light for an elevated aesthetic.</v>
      </c>
      <c r="I37" s="11" t="s">
        <v>205</v>
      </c>
      <c r="J37" s="11"/>
      <c r="K37" s="11"/>
      <c r="L37" s="8"/>
      <c r="M37" s="11"/>
      <c r="N37" s="11"/>
      <c r="O37" s="11"/>
      <c r="P37" s="11"/>
      <c r="Q37" s="11"/>
      <c r="R37" s="11"/>
      <c r="S37" s="11"/>
      <c r="T37" s="11"/>
      <c r="U37" s="11"/>
      <c r="V37" s="11"/>
      <c r="W37" s="8" t="s">
        <v>33</v>
      </c>
      <c r="X37" s="8" t="s">
        <v>206</v>
      </c>
      <c r="Y37" s="8" t="s">
        <v>35</v>
      </c>
      <c r="Z37" s="11"/>
    </row>
    <row r="38">
      <c r="A38" s="8" t="s">
        <v>207</v>
      </c>
      <c r="B38" s="8" t="s">
        <v>208</v>
      </c>
      <c r="C38" s="8" t="s">
        <v>28</v>
      </c>
      <c r="D38" s="8" t="s">
        <v>29</v>
      </c>
      <c r="E38" s="8" t="s">
        <v>30</v>
      </c>
      <c r="F38" s="9" t="str">
        <f>IFERROR(__xludf.DUMMYFUNCTION("AI(""Give me a paragraph marketing spiel for product in this row, no tech specs just marketing fluff "")"),"Achieve seamless, professional lighting installations with these high-grade metal mounting clips, designed to provide strong, dependable support for your neon LED profiles. Crafted for effortless integration and a clean finish, they ensure your custom lig"&amp;"hting designs remain securely anchored while maintaining a sleek, modern aesthetic in any residential or commercial space.")</f>
        <v>Achieve seamless, professional lighting installations with these high-grade metal mounting clips, designed to provide strong, dependable support for your neon LED profiles. Crafted for effortless integration and a clean finish, they ensure your custom lighting designs remain securely anchored while maintaining a sleek, modern aesthetic in any residential or commercial space.</v>
      </c>
      <c r="G38" s="11" t="s">
        <v>209</v>
      </c>
      <c r="H38" s="9" t="str">
        <f>IFERROR(__xludf.DUMMYFUNCTION("AI(""Give me a paragraph marketing spiel for product in this row, no tech specs just marketing fluff under 180 characters "")"),"Securely mount your lighting with premium metal clips designed for reliable support, seamless installation, and a sleek, modern finish.")</f>
        <v>Securely mount your lighting with premium metal clips designed for reliable support, seamless installation, and a sleek, modern finish.</v>
      </c>
      <c r="I38" s="11" t="s">
        <v>210</v>
      </c>
      <c r="J38" s="11"/>
      <c r="K38" s="11"/>
      <c r="L38" s="8"/>
      <c r="M38" s="11"/>
      <c r="N38" s="11"/>
      <c r="O38" s="11"/>
      <c r="P38" s="11"/>
      <c r="Q38" s="11"/>
      <c r="R38" s="11"/>
      <c r="S38" s="11"/>
      <c r="T38" s="11"/>
      <c r="U38" s="11"/>
      <c r="V38" s="11"/>
      <c r="W38" s="8" t="s">
        <v>33</v>
      </c>
      <c r="X38" s="8" t="s">
        <v>211</v>
      </c>
      <c r="Y38" s="8" t="s">
        <v>35</v>
      </c>
      <c r="Z38" s="11"/>
    </row>
    <row r="39">
      <c r="A39" s="8" t="s">
        <v>212</v>
      </c>
      <c r="B39" s="8" t="s">
        <v>213</v>
      </c>
      <c r="C39" s="8" t="s">
        <v>28</v>
      </c>
      <c r="D39" s="8" t="s">
        <v>29</v>
      </c>
      <c r="E39" s="8" t="s">
        <v>30</v>
      </c>
      <c r="F39" s="9" t="str">
        <f>IFERROR(__xludf.DUMMYFUNCTION("AI(""Give me a paragraph marketing spiel for product in this row, no tech specs just marketing fluff "")"),"Unlock endless creative possibilities and effortlessly sculpt ambient light with our flexible aluminum profile. Designed to adapt gracefully to complex curves and unique architectural contours, this ultra-pliant channel seamlessly integrates into your spa"&amp;"ce for a breathtaking, custom lighting experience. It transforms ordinary interiors into extraordinary visual landscapes, surrounding your room with smooth, flowing ribbons of glow that captivate the senses and elevate your aesthetic to a high-end luxury "&amp;"feel.")</f>
        <v>Unlock endless creative possibilities and effortlessly sculpt ambient light with our flexible aluminum profile. Designed to adapt gracefully to complex curves and unique architectural contours, this ultra-pliant channel seamlessly integrates into your space for a breathtaking, custom lighting experience. It transforms ordinary interiors into extraordinary visual landscapes, surrounding your room with smooth, flowing ribbons of glow that captivate the senses and elevate your aesthetic to a high-end luxury feel.</v>
      </c>
      <c r="G39" s="11" t="s">
        <v>214</v>
      </c>
      <c r="H39" s="9" t="str">
        <f>IFERROR(__xludf.DUMMYFUNCTION("AI(""Give me a paragraph marketing spiel for product in this row, no tech specs just marketing fluff under 180 characters "")"),"Effortlessly sculpt mesmerizing curves of ambient light to transform your space with pure, seamless elegance.")</f>
        <v>Effortlessly sculpt mesmerizing curves of ambient light to transform your space with pure, seamless elegance.</v>
      </c>
      <c r="I39" s="11" t="s">
        <v>215</v>
      </c>
      <c r="J39" s="11"/>
      <c r="K39" s="11"/>
      <c r="L39" s="8"/>
      <c r="M39" s="11"/>
      <c r="N39" s="11"/>
      <c r="O39" s="11"/>
      <c r="P39" s="11"/>
      <c r="Q39" s="11"/>
      <c r="R39" s="11"/>
      <c r="S39" s="11"/>
      <c r="T39" s="11"/>
      <c r="U39" s="11"/>
      <c r="V39" s="11"/>
      <c r="W39" s="8" t="s">
        <v>33</v>
      </c>
      <c r="X39" s="8" t="s">
        <v>201</v>
      </c>
      <c r="Y39" s="8" t="s">
        <v>35</v>
      </c>
      <c r="Z39" s="11"/>
    </row>
    <row r="40">
      <c r="A40" s="8" t="s">
        <v>216</v>
      </c>
      <c r="B40" s="8" t="s">
        <v>217</v>
      </c>
      <c r="C40" s="8" t="s">
        <v>28</v>
      </c>
      <c r="D40" s="8" t="s">
        <v>29</v>
      </c>
      <c r="E40" s="8" t="s">
        <v>30</v>
      </c>
      <c r="F40" s="9" t="str">
        <f>IFERROR(__xludf.DUMMYFUNCTION("AI(""Give me a paragraph marketing spiel for product in this row, no tech specs just marketing fluff "")"),"Elevate your interior design with our ultra-compact aluminum profile, expertly designed to bring refined, seamless illumination to even the tightest architectural spaces. Crafted for modern aesthetics, this minimalist channel integrates effortlessly into "&amp;"your décor, transforming subtle lighting into a sophisticated ambient feature. Ideal for adding clean lines of light and a polished finish, it offers the ultimate canvas to let your creative lighting concepts shine with effortless elegance.")</f>
        <v>Elevate your interior design with our ultra-compact aluminum profile, expertly designed to bring refined, seamless illumination to even the tightest architectural spaces. Crafted for modern aesthetics, this minimalist channel integrates effortlessly into your décor, transforming subtle lighting into a sophisticated ambient feature. Ideal for adding clean lines of light and a polished finish, it offers the ultimate canvas to let your creative lighting concepts shine with effortless elegance.</v>
      </c>
      <c r="G40" s="11" t="s">
        <v>218</v>
      </c>
      <c r="H40" s="9" t="str">
        <f>IFERROR(__xludf.DUMMYFUNCTION("AI(""Give me a paragraph marketing spiel for product in this row, no tech specs just marketing fluff under 180 characters "")"),"Elevate tight spaces with sleek, ultra-compact profiles designed to bring smooth, modern lines of light for a refined finish.")</f>
        <v>Elevate tight spaces with sleek, ultra-compact profiles designed to bring smooth, modern lines of light for a refined finish.</v>
      </c>
      <c r="I40" s="11" t="s">
        <v>219</v>
      </c>
      <c r="J40" s="11"/>
      <c r="K40" s="11"/>
      <c r="L40" s="8"/>
      <c r="M40" s="11"/>
      <c r="N40" s="11"/>
      <c r="O40" s="11"/>
      <c r="P40" s="11"/>
      <c r="Q40" s="11"/>
      <c r="R40" s="11"/>
      <c r="S40" s="11"/>
      <c r="T40" s="11"/>
      <c r="U40" s="11"/>
      <c r="V40" s="11"/>
      <c r="W40" s="8" t="s">
        <v>33</v>
      </c>
      <c r="X40" s="8" t="s">
        <v>220</v>
      </c>
      <c r="Y40" s="8" t="s">
        <v>35</v>
      </c>
      <c r="Z40" s="11"/>
    </row>
    <row r="41">
      <c r="A41" s="8" t="s">
        <v>221</v>
      </c>
      <c r="B41" s="8" t="s">
        <v>222</v>
      </c>
      <c r="C41" s="8" t="s">
        <v>28</v>
      </c>
      <c r="D41" s="8" t="s">
        <v>29</v>
      </c>
      <c r="E41" s="8" t="s">
        <v>30</v>
      </c>
      <c r="F41" s="9" t="str">
        <f>IFERROR(__xludf.DUMMYFUNCTION("AI(""Give me a paragraph marketing spiel for product in this row, no tech specs just marketing fluff "")"),"Ensure a flawless, professional installation with these premium metal mounting clips, engineered to provide strong, reliable support for your compact neon LED profiles. Designed for effortless setup and a discreet, seamless finish, they keep your tailored"&amp;" lighting designs securely in place while preserving a clean, minimalist aesthetic across any residential or commercial space.")</f>
        <v>Ensure a flawless, professional installation with these premium metal mounting clips, engineered to provide strong, reliable support for your compact neon LED profiles. Designed for effortless setup and a discreet, seamless finish, they keep your tailored lighting designs securely in place while preserving a clean, minimalist aesthetic across any residential or commercial space.</v>
      </c>
      <c r="G41" s="11" t="s">
        <v>223</v>
      </c>
      <c r="H41" s="9" t="str">
        <f>IFERROR(__xludf.DUMMYFUNCTION("AI(""Give me a paragraph marketing spiel for product in this row, no tech specs just marketing fluff under 180 characters "")"),"Securely anchor your custom neon LED profiles with durable metal clips for a sleek, flawless, and professional finish.")</f>
        <v>Securely anchor your custom neon LED profiles with durable metal clips for a sleek, flawless, and professional finish.</v>
      </c>
      <c r="I41" s="11" t="s">
        <v>224</v>
      </c>
      <c r="J41" s="11"/>
      <c r="K41" s="11"/>
      <c r="L41" s="8"/>
      <c r="M41" s="11"/>
      <c r="N41" s="11"/>
      <c r="O41" s="11"/>
      <c r="P41" s="11"/>
      <c r="Q41" s="11"/>
      <c r="R41" s="11"/>
      <c r="S41" s="11"/>
      <c r="T41" s="11"/>
      <c r="U41" s="11"/>
      <c r="V41" s="11"/>
      <c r="W41" s="8" t="s">
        <v>33</v>
      </c>
      <c r="X41" s="8" t="s">
        <v>225</v>
      </c>
      <c r="Y41" s="8" t="s">
        <v>35</v>
      </c>
      <c r="Z41" s="11"/>
    </row>
    <row r="42">
      <c r="A42" s="11"/>
      <c r="B42" s="11"/>
      <c r="C42" s="11"/>
      <c r="D42" s="11"/>
      <c r="E42" s="11"/>
      <c r="F42" s="12"/>
      <c r="G42" s="12"/>
      <c r="H42" s="12"/>
      <c r="I42" s="12"/>
      <c r="J42" s="11"/>
      <c r="K42" s="11"/>
      <c r="L42" s="11"/>
      <c r="M42" s="11"/>
      <c r="N42" s="11"/>
      <c r="O42" s="11"/>
      <c r="P42" s="11"/>
      <c r="Q42" s="11"/>
      <c r="R42" s="11"/>
      <c r="S42" s="11"/>
      <c r="T42" s="11"/>
      <c r="U42" s="11"/>
      <c r="V42" s="11"/>
      <c r="W42" s="11"/>
      <c r="X42" s="11"/>
      <c r="Y42" s="11"/>
      <c r="Z42" s="11"/>
    </row>
    <row r="43">
      <c r="A43" s="11"/>
      <c r="B43" s="11"/>
      <c r="C43" s="11"/>
      <c r="D43" s="11"/>
      <c r="E43" s="11"/>
      <c r="F43" s="12"/>
      <c r="G43" s="12"/>
      <c r="H43" s="12"/>
      <c r="I43" s="12"/>
      <c r="J43" s="11"/>
      <c r="K43" s="11"/>
      <c r="L43" s="11"/>
      <c r="M43" s="11"/>
      <c r="N43" s="11"/>
      <c r="O43" s="11"/>
      <c r="P43" s="11"/>
      <c r="Q43" s="11"/>
      <c r="R43" s="11"/>
      <c r="S43" s="11"/>
      <c r="T43" s="11"/>
      <c r="U43" s="11"/>
      <c r="V43" s="11"/>
      <c r="W43" s="11"/>
      <c r="X43" s="11"/>
      <c r="Y43" s="11"/>
      <c r="Z43" s="11"/>
    </row>
    <row r="44">
      <c r="A44" s="11"/>
      <c r="B44" s="11"/>
      <c r="C44" s="11"/>
      <c r="D44" s="11"/>
      <c r="E44" s="11"/>
      <c r="F44" s="12"/>
      <c r="G44" s="12"/>
      <c r="H44" s="12"/>
      <c r="I44" s="12"/>
      <c r="J44" s="11"/>
      <c r="K44" s="11"/>
      <c r="L44" s="11"/>
      <c r="M44" s="11"/>
      <c r="N44" s="11"/>
      <c r="O44" s="11"/>
      <c r="P44" s="11"/>
      <c r="Q44" s="11"/>
      <c r="R44" s="11"/>
      <c r="S44" s="11"/>
      <c r="T44" s="11"/>
      <c r="U44" s="11"/>
      <c r="V44" s="11"/>
      <c r="W44" s="11"/>
      <c r="X44" s="11"/>
      <c r="Y44" s="11"/>
      <c r="Z44" s="11"/>
    </row>
    <row r="45">
      <c r="A45" s="11"/>
      <c r="B45" s="11"/>
      <c r="C45" s="11"/>
      <c r="D45" s="11"/>
      <c r="E45" s="11"/>
      <c r="F45" s="12"/>
      <c r="G45" s="12"/>
      <c r="H45" s="12"/>
      <c r="I45" s="12"/>
      <c r="J45" s="11"/>
      <c r="K45" s="11"/>
      <c r="L45" s="11"/>
      <c r="M45" s="11"/>
      <c r="N45" s="11"/>
      <c r="O45" s="11"/>
      <c r="P45" s="11"/>
      <c r="Q45" s="11"/>
      <c r="R45" s="11"/>
      <c r="S45" s="11"/>
      <c r="T45" s="11"/>
      <c r="U45" s="11"/>
      <c r="V45" s="11"/>
      <c r="W45" s="11"/>
      <c r="X45" s="11"/>
      <c r="Y45" s="11"/>
      <c r="Z45" s="11"/>
    </row>
    <row r="46">
      <c r="A46" s="11"/>
      <c r="B46" s="11"/>
      <c r="C46" s="11"/>
      <c r="D46" s="11"/>
      <c r="E46" s="11"/>
      <c r="F46" s="12"/>
      <c r="G46" s="12"/>
      <c r="H46" s="12"/>
      <c r="I46" s="12"/>
      <c r="J46" s="11"/>
      <c r="K46" s="11"/>
      <c r="L46" s="11"/>
      <c r="M46" s="11"/>
      <c r="N46" s="11"/>
      <c r="O46" s="11"/>
      <c r="P46" s="11"/>
      <c r="Q46" s="11"/>
      <c r="R46" s="11"/>
      <c r="S46" s="11"/>
      <c r="T46" s="11"/>
      <c r="U46" s="11"/>
      <c r="V46" s="11"/>
      <c r="W46" s="11"/>
      <c r="X46" s="11"/>
      <c r="Y46" s="11"/>
      <c r="Z46" s="11"/>
    </row>
    <row r="47">
      <c r="A47" s="11"/>
      <c r="B47" s="11"/>
      <c r="C47" s="11"/>
      <c r="D47" s="11"/>
      <c r="E47" s="11"/>
      <c r="F47" s="12"/>
      <c r="G47" s="12"/>
      <c r="H47" s="12"/>
      <c r="I47" s="12"/>
      <c r="J47" s="11"/>
      <c r="K47" s="11"/>
      <c r="L47" s="11"/>
      <c r="M47" s="11"/>
      <c r="N47" s="11"/>
      <c r="O47" s="11"/>
      <c r="P47" s="11"/>
      <c r="Q47" s="11"/>
      <c r="R47" s="11"/>
      <c r="S47" s="11"/>
      <c r="T47" s="11"/>
      <c r="U47" s="11"/>
      <c r="V47" s="11"/>
      <c r="W47" s="11"/>
      <c r="X47" s="11"/>
      <c r="Y47" s="11"/>
      <c r="Z47" s="11"/>
    </row>
    <row r="48">
      <c r="A48" s="11"/>
      <c r="B48" s="11"/>
      <c r="C48" s="11"/>
      <c r="D48" s="11"/>
      <c r="E48" s="11"/>
      <c r="F48" s="12"/>
      <c r="G48" s="12"/>
      <c r="H48" s="12"/>
      <c r="I48" s="12"/>
      <c r="J48" s="11"/>
      <c r="K48" s="11"/>
      <c r="L48" s="11"/>
      <c r="M48" s="11"/>
      <c r="N48" s="11"/>
      <c r="O48" s="11"/>
      <c r="P48" s="11"/>
      <c r="Q48" s="11"/>
      <c r="R48" s="11"/>
      <c r="S48" s="11"/>
      <c r="T48" s="11"/>
      <c r="U48" s="11"/>
      <c r="V48" s="11"/>
      <c r="W48" s="11"/>
      <c r="X48" s="11"/>
      <c r="Y48" s="11"/>
      <c r="Z48" s="11"/>
    </row>
    <row r="49">
      <c r="A49" s="11"/>
      <c r="B49" s="11"/>
      <c r="C49" s="11"/>
      <c r="D49" s="11"/>
      <c r="E49" s="11"/>
      <c r="F49" s="12"/>
      <c r="G49" s="12"/>
      <c r="H49" s="12"/>
      <c r="I49" s="12"/>
      <c r="J49" s="11"/>
      <c r="K49" s="11"/>
      <c r="L49" s="11"/>
      <c r="M49" s="11"/>
      <c r="N49" s="11"/>
      <c r="O49" s="11"/>
      <c r="P49" s="11"/>
      <c r="Q49" s="11"/>
      <c r="R49" s="11"/>
      <c r="S49" s="11"/>
      <c r="T49" s="11"/>
      <c r="U49" s="11"/>
      <c r="V49" s="11"/>
      <c r="W49" s="11"/>
      <c r="X49" s="11"/>
      <c r="Y49" s="11"/>
      <c r="Z49" s="11"/>
    </row>
    <row r="50">
      <c r="A50" s="11"/>
      <c r="B50" s="11"/>
      <c r="C50" s="11"/>
      <c r="D50" s="11"/>
      <c r="E50" s="11"/>
      <c r="F50" s="12"/>
      <c r="G50" s="12"/>
      <c r="H50" s="12"/>
      <c r="I50" s="12"/>
      <c r="J50" s="11"/>
      <c r="K50" s="11"/>
      <c r="L50" s="11"/>
      <c r="M50" s="11"/>
      <c r="N50" s="11"/>
      <c r="O50" s="11"/>
      <c r="P50" s="11"/>
      <c r="Q50" s="11"/>
      <c r="R50" s="11"/>
      <c r="S50" s="11"/>
      <c r="T50" s="11"/>
      <c r="U50" s="11"/>
      <c r="V50" s="11"/>
      <c r="W50" s="11"/>
      <c r="X50" s="11"/>
      <c r="Y50" s="11"/>
      <c r="Z50" s="11"/>
    </row>
    <row r="51">
      <c r="A51" s="11"/>
      <c r="B51" s="11"/>
      <c r="C51" s="11"/>
      <c r="D51" s="11"/>
      <c r="E51" s="11"/>
      <c r="F51" s="12"/>
      <c r="G51" s="12"/>
      <c r="H51" s="12"/>
      <c r="I51" s="12"/>
      <c r="J51" s="11"/>
      <c r="K51" s="11"/>
      <c r="L51" s="11"/>
      <c r="M51" s="11"/>
      <c r="N51" s="11"/>
      <c r="O51" s="11"/>
      <c r="P51" s="11"/>
      <c r="Q51" s="11"/>
      <c r="R51" s="11"/>
      <c r="S51" s="11"/>
      <c r="T51" s="11"/>
      <c r="U51" s="11"/>
      <c r="V51" s="11"/>
      <c r="W51" s="11"/>
      <c r="X51" s="11"/>
      <c r="Y51" s="11"/>
      <c r="Z51" s="11"/>
    </row>
    <row r="52">
      <c r="A52" s="11"/>
      <c r="B52" s="11"/>
      <c r="C52" s="11"/>
      <c r="D52" s="11"/>
      <c r="E52" s="11"/>
      <c r="F52" s="12"/>
      <c r="G52" s="12"/>
      <c r="H52" s="12"/>
      <c r="I52" s="12"/>
      <c r="J52" s="11"/>
      <c r="K52" s="11"/>
      <c r="L52" s="11"/>
      <c r="M52" s="11"/>
      <c r="N52" s="11"/>
      <c r="O52" s="11"/>
      <c r="P52" s="11"/>
      <c r="Q52" s="11"/>
      <c r="R52" s="11"/>
      <c r="S52" s="11"/>
      <c r="T52" s="11"/>
      <c r="U52" s="11"/>
      <c r="V52" s="11"/>
      <c r="W52" s="11"/>
      <c r="X52" s="11"/>
      <c r="Y52" s="11"/>
      <c r="Z52" s="11"/>
    </row>
    <row r="53">
      <c r="A53" s="11"/>
      <c r="B53" s="11"/>
      <c r="C53" s="11"/>
      <c r="D53" s="11"/>
      <c r="E53" s="11"/>
      <c r="F53" s="12"/>
      <c r="G53" s="12"/>
      <c r="H53" s="12"/>
      <c r="I53" s="12"/>
      <c r="J53" s="11"/>
      <c r="K53" s="11"/>
      <c r="L53" s="11"/>
      <c r="M53" s="11"/>
      <c r="N53" s="11"/>
      <c r="O53" s="11"/>
      <c r="P53" s="11"/>
      <c r="Q53" s="11"/>
      <c r="R53" s="11"/>
      <c r="S53" s="11"/>
      <c r="T53" s="11"/>
      <c r="U53" s="11"/>
      <c r="V53" s="11"/>
      <c r="W53" s="11"/>
      <c r="X53" s="11"/>
      <c r="Y53" s="11"/>
      <c r="Z53" s="11"/>
    </row>
    <row r="54">
      <c r="A54" s="11"/>
      <c r="B54" s="11"/>
      <c r="C54" s="11"/>
      <c r="D54" s="11"/>
      <c r="E54" s="11"/>
      <c r="F54" s="12"/>
      <c r="G54" s="12"/>
      <c r="H54" s="12"/>
      <c r="I54" s="12"/>
      <c r="J54" s="11"/>
      <c r="K54" s="11"/>
      <c r="L54" s="11"/>
      <c r="M54" s="11"/>
      <c r="N54" s="11"/>
      <c r="O54" s="11"/>
      <c r="P54" s="11"/>
      <c r="Q54" s="11"/>
      <c r="R54" s="11"/>
      <c r="S54" s="11"/>
      <c r="T54" s="11"/>
      <c r="U54" s="11"/>
      <c r="V54" s="11"/>
      <c r="W54" s="11"/>
      <c r="X54" s="11"/>
      <c r="Y54" s="11"/>
      <c r="Z54" s="11"/>
    </row>
    <row r="55">
      <c r="A55" s="11"/>
      <c r="B55" s="11"/>
      <c r="C55" s="11"/>
      <c r="D55" s="11"/>
      <c r="E55" s="11"/>
      <c r="F55" s="12"/>
      <c r="G55" s="12"/>
      <c r="H55" s="12"/>
      <c r="I55" s="12"/>
      <c r="J55" s="11"/>
      <c r="K55" s="11"/>
      <c r="L55" s="11"/>
      <c r="M55" s="11"/>
      <c r="N55" s="11"/>
      <c r="O55" s="11"/>
      <c r="P55" s="11"/>
      <c r="Q55" s="11"/>
      <c r="R55" s="11"/>
      <c r="S55" s="11"/>
      <c r="T55" s="11"/>
      <c r="U55" s="11"/>
      <c r="V55" s="11"/>
      <c r="W55" s="11"/>
      <c r="X55" s="11"/>
      <c r="Y55" s="11"/>
      <c r="Z55" s="11"/>
    </row>
    <row r="56">
      <c r="A56" s="11"/>
      <c r="B56" s="11"/>
      <c r="C56" s="11"/>
      <c r="D56" s="11"/>
      <c r="E56" s="11"/>
      <c r="F56" s="12"/>
      <c r="G56" s="12"/>
      <c r="H56" s="12"/>
      <c r="I56" s="12"/>
      <c r="J56" s="11"/>
      <c r="K56" s="11"/>
      <c r="L56" s="11"/>
      <c r="M56" s="11"/>
      <c r="N56" s="11"/>
      <c r="O56" s="11"/>
      <c r="P56" s="11"/>
      <c r="Q56" s="11"/>
      <c r="R56" s="11"/>
      <c r="S56" s="11"/>
      <c r="T56" s="11"/>
      <c r="U56" s="11"/>
      <c r="V56" s="11"/>
      <c r="W56" s="11"/>
      <c r="X56" s="11"/>
      <c r="Y56" s="11"/>
      <c r="Z56" s="11"/>
    </row>
    <row r="57">
      <c r="A57" s="11"/>
      <c r="B57" s="11"/>
      <c r="C57" s="11"/>
      <c r="D57" s="11"/>
      <c r="E57" s="11"/>
      <c r="F57" s="12"/>
      <c r="G57" s="12"/>
      <c r="H57" s="12"/>
      <c r="I57" s="12"/>
      <c r="J57" s="11"/>
      <c r="K57" s="11"/>
      <c r="L57" s="11"/>
      <c r="M57" s="11"/>
      <c r="N57" s="11"/>
      <c r="O57" s="11"/>
      <c r="P57" s="11"/>
      <c r="Q57" s="11"/>
      <c r="R57" s="11"/>
      <c r="S57" s="11"/>
      <c r="T57" s="11"/>
      <c r="U57" s="11"/>
      <c r="V57" s="11"/>
      <c r="W57" s="11"/>
      <c r="X57" s="11"/>
      <c r="Y57" s="11"/>
      <c r="Z57" s="11"/>
    </row>
    <row r="58">
      <c r="A58" s="11"/>
      <c r="B58" s="11"/>
      <c r="C58" s="11"/>
      <c r="D58" s="11"/>
      <c r="E58" s="11"/>
      <c r="F58" s="12"/>
      <c r="G58" s="12"/>
      <c r="H58" s="12"/>
      <c r="I58" s="12"/>
      <c r="J58" s="11"/>
      <c r="K58" s="11"/>
      <c r="L58" s="11"/>
      <c r="M58" s="11"/>
      <c r="N58" s="11"/>
      <c r="O58" s="11"/>
      <c r="P58" s="11"/>
      <c r="Q58" s="11"/>
      <c r="R58" s="11"/>
      <c r="S58" s="11"/>
      <c r="T58" s="11"/>
      <c r="U58" s="11"/>
      <c r="V58" s="11"/>
      <c r="W58" s="11"/>
      <c r="X58" s="11"/>
      <c r="Y58" s="11"/>
      <c r="Z58" s="11"/>
    </row>
    <row r="59">
      <c r="A59" s="11"/>
      <c r="B59" s="11"/>
      <c r="C59" s="11"/>
      <c r="D59" s="11"/>
      <c r="E59" s="11"/>
      <c r="F59" s="12"/>
      <c r="G59" s="12"/>
      <c r="H59" s="12"/>
      <c r="I59" s="12"/>
      <c r="J59" s="11"/>
      <c r="K59" s="11"/>
      <c r="L59" s="11"/>
      <c r="M59" s="11"/>
      <c r="N59" s="11"/>
      <c r="O59" s="11"/>
      <c r="P59" s="11"/>
      <c r="Q59" s="11"/>
      <c r="R59" s="11"/>
      <c r="S59" s="11"/>
      <c r="T59" s="11"/>
      <c r="U59" s="11"/>
      <c r="V59" s="11"/>
      <c r="W59" s="11"/>
      <c r="X59" s="11"/>
      <c r="Y59" s="11"/>
      <c r="Z59" s="11"/>
    </row>
    <row r="60">
      <c r="A60" s="11"/>
      <c r="B60" s="11"/>
      <c r="C60" s="11"/>
      <c r="D60" s="11"/>
      <c r="E60" s="11"/>
      <c r="F60" s="12"/>
      <c r="G60" s="12"/>
      <c r="H60" s="12"/>
      <c r="I60" s="12"/>
      <c r="J60" s="11"/>
      <c r="K60" s="11"/>
      <c r="L60" s="11"/>
      <c r="M60" s="11"/>
      <c r="N60" s="11"/>
      <c r="O60" s="11"/>
      <c r="P60" s="11"/>
      <c r="Q60" s="11"/>
      <c r="R60" s="11"/>
      <c r="S60" s="11"/>
      <c r="T60" s="11"/>
      <c r="U60" s="11"/>
      <c r="V60" s="11"/>
      <c r="W60" s="11"/>
      <c r="X60" s="11"/>
      <c r="Y60" s="11"/>
      <c r="Z60" s="11"/>
    </row>
    <row r="61">
      <c r="A61" s="11"/>
      <c r="B61" s="11"/>
      <c r="C61" s="11"/>
      <c r="D61" s="11"/>
      <c r="E61" s="11"/>
      <c r="F61" s="12"/>
      <c r="G61" s="12"/>
      <c r="H61" s="12"/>
      <c r="I61" s="12"/>
      <c r="J61" s="11"/>
      <c r="K61" s="11"/>
      <c r="L61" s="11"/>
      <c r="M61" s="11"/>
      <c r="N61" s="11"/>
      <c r="O61" s="11"/>
      <c r="P61" s="11"/>
      <c r="Q61" s="11"/>
      <c r="R61" s="11"/>
      <c r="S61" s="11"/>
      <c r="T61" s="11"/>
      <c r="U61" s="11"/>
      <c r="V61" s="11"/>
      <c r="W61" s="11"/>
      <c r="X61" s="11"/>
      <c r="Y61" s="11"/>
      <c r="Z61" s="11"/>
    </row>
    <row r="62">
      <c r="A62" s="11"/>
      <c r="B62" s="11"/>
      <c r="C62" s="11"/>
      <c r="D62" s="11"/>
      <c r="E62" s="11"/>
      <c r="F62" s="12"/>
      <c r="G62" s="12"/>
      <c r="H62" s="12"/>
      <c r="I62" s="12"/>
      <c r="J62" s="11"/>
      <c r="K62" s="11"/>
      <c r="L62" s="11"/>
      <c r="M62" s="11"/>
      <c r="N62" s="11"/>
      <c r="O62" s="11"/>
      <c r="P62" s="11"/>
      <c r="Q62" s="11"/>
      <c r="R62" s="11"/>
      <c r="S62" s="11"/>
      <c r="T62" s="11"/>
      <c r="U62" s="11"/>
      <c r="V62" s="11"/>
      <c r="W62" s="11"/>
      <c r="X62" s="11"/>
      <c r="Y62" s="11"/>
      <c r="Z62" s="11"/>
    </row>
    <row r="63">
      <c r="A63" s="11"/>
      <c r="B63" s="11"/>
      <c r="C63" s="11"/>
      <c r="D63" s="11"/>
      <c r="E63" s="11"/>
      <c r="F63" s="12"/>
      <c r="G63" s="12"/>
      <c r="H63" s="12"/>
      <c r="I63" s="12"/>
      <c r="J63" s="11"/>
      <c r="K63" s="11"/>
      <c r="L63" s="11"/>
      <c r="M63" s="11"/>
      <c r="N63" s="11"/>
      <c r="O63" s="11"/>
      <c r="P63" s="11"/>
      <c r="Q63" s="11"/>
      <c r="R63" s="11"/>
      <c r="S63" s="11"/>
      <c r="T63" s="11"/>
      <c r="U63" s="11"/>
      <c r="V63" s="11"/>
      <c r="W63" s="11"/>
      <c r="X63" s="11"/>
      <c r="Y63" s="11"/>
      <c r="Z63" s="11"/>
    </row>
    <row r="64">
      <c r="A64" s="11"/>
      <c r="B64" s="11"/>
      <c r="C64" s="11"/>
      <c r="D64" s="11"/>
      <c r="E64" s="11"/>
      <c r="F64" s="12"/>
      <c r="G64" s="12"/>
      <c r="H64" s="12"/>
      <c r="I64" s="12"/>
      <c r="J64" s="11"/>
      <c r="K64" s="11"/>
      <c r="L64" s="11"/>
      <c r="M64" s="11"/>
      <c r="N64" s="11"/>
      <c r="O64" s="11"/>
      <c r="P64" s="11"/>
      <c r="Q64" s="11"/>
      <c r="R64" s="11"/>
      <c r="S64" s="11"/>
      <c r="T64" s="11"/>
      <c r="U64" s="11"/>
      <c r="V64" s="11"/>
      <c r="W64" s="11"/>
      <c r="X64" s="11"/>
      <c r="Y64" s="11"/>
      <c r="Z64" s="11"/>
    </row>
    <row r="65">
      <c r="A65" s="11"/>
      <c r="B65" s="11"/>
      <c r="C65" s="11"/>
      <c r="D65" s="11"/>
      <c r="E65" s="11"/>
      <c r="F65" s="12"/>
      <c r="G65" s="12"/>
      <c r="H65" s="12"/>
      <c r="I65" s="12"/>
      <c r="J65" s="11"/>
      <c r="K65" s="11"/>
      <c r="L65" s="11"/>
      <c r="M65" s="11"/>
      <c r="N65" s="11"/>
      <c r="O65" s="11"/>
      <c r="P65" s="11"/>
      <c r="Q65" s="11"/>
      <c r="R65" s="11"/>
      <c r="S65" s="11"/>
      <c r="T65" s="11"/>
      <c r="U65" s="11"/>
      <c r="V65" s="11"/>
      <c r="W65" s="11"/>
      <c r="X65" s="11"/>
      <c r="Y65" s="11"/>
      <c r="Z65" s="11"/>
    </row>
    <row r="66">
      <c r="A66" s="11"/>
      <c r="B66" s="11"/>
      <c r="C66" s="11"/>
      <c r="D66" s="11"/>
      <c r="E66" s="11"/>
      <c r="F66" s="12"/>
      <c r="G66" s="12"/>
      <c r="H66" s="12"/>
      <c r="I66" s="12"/>
      <c r="J66" s="11"/>
      <c r="K66" s="11"/>
      <c r="L66" s="11"/>
      <c r="M66" s="11"/>
      <c r="N66" s="11"/>
      <c r="O66" s="11"/>
      <c r="P66" s="11"/>
      <c r="Q66" s="11"/>
      <c r="R66" s="11"/>
      <c r="S66" s="11"/>
      <c r="T66" s="11"/>
      <c r="U66" s="11"/>
      <c r="V66" s="11"/>
      <c r="W66" s="11"/>
      <c r="X66" s="11"/>
      <c r="Y66" s="11"/>
      <c r="Z66" s="11"/>
    </row>
    <row r="67">
      <c r="A67" s="11"/>
      <c r="B67" s="11"/>
      <c r="C67" s="11"/>
      <c r="D67" s="11"/>
      <c r="E67" s="11"/>
      <c r="F67" s="12"/>
      <c r="G67" s="12"/>
      <c r="H67" s="12"/>
      <c r="I67" s="12"/>
      <c r="J67" s="11"/>
      <c r="K67" s="11"/>
      <c r="L67" s="11"/>
      <c r="M67" s="11"/>
      <c r="N67" s="11"/>
      <c r="O67" s="11"/>
      <c r="P67" s="11"/>
      <c r="Q67" s="11"/>
      <c r="R67" s="11"/>
      <c r="S67" s="11"/>
      <c r="T67" s="11"/>
      <c r="U67" s="11"/>
      <c r="V67" s="11"/>
      <c r="W67" s="11"/>
      <c r="X67" s="11"/>
      <c r="Y67" s="11"/>
      <c r="Z67" s="11"/>
    </row>
    <row r="68">
      <c r="A68" s="11"/>
      <c r="B68" s="11"/>
      <c r="C68" s="11"/>
      <c r="D68" s="11"/>
      <c r="E68" s="11"/>
      <c r="F68" s="12"/>
      <c r="G68" s="12"/>
      <c r="H68" s="12"/>
      <c r="I68" s="12"/>
      <c r="J68" s="11"/>
      <c r="K68" s="11"/>
      <c r="L68" s="11"/>
      <c r="M68" s="11"/>
      <c r="N68" s="11"/>
      <c r="O68" s="11"/>
      <c r="P68" s="11"/>
      <c r="Q68" s="11"/>
      <c r="R68" s="11"/>
      <c r="S68" s="11"/>
      <c r="T68" s="11"/>
      <c r="U68" s="11"/>
      <c r="V68" s="11"/>
      <c r="W68" s="11"/>
      <c r="X68" s="11"/>
      <c r="Y68" s="11"/>
      <c r="Z68" s="11"/>
    </row>
    <row r="69">
      <c r="A69" s="11"/>
      <c r="B69" s="11"/>
      <c r="C69" s="11"/>
      <c r="D69" s="11"/>
      <c r="E69" s="11"/>
      <c r="F69" s="12"/>
      <c r="G69" s="12"/>
      <c r="H69" s="12"/>
      <c r="I69" s="12"/>
      <c r="J69" s="11"/>
      <c r="K69" s="11"/>
      <c r="L69" s="11"/>
      <c r="M69" s="11"/>
      <c r="N69" s="11"/>
      <c r="O69" s="11"/>
      <c r="P69" s="11"/>
      <c r="Q69" s="11"/>
      <c r="R69" s="11"/>
      <c r="S69" s="11"/>
      <c r="T69" s="11"/>
      <c r="U69" s="11"/>
      <c r="V69" s="11"/>
      <c r="W69" s="11"/>
      <c r="X69" s="11"/>
      <c r="Y69" s="11"/>
      <c r="Z69" s="11"/>
    </row>
    <row r="70">
      <c r="A70" s="11"/>
      <c r="B70" s="11"/>
      <c r="C70" s="11"/>
      <c r="D70" s="11"/>
      <c r="E70" s="11"/>
      <c r="F70" s="12"/>
      <c r="G70" s="12"/>
      <c r="H70" s="12"/>
      <c r="I70" s="12"/>
      <c r="J70" s="11"/>
      <c r="K70" s="11"/>
      <c r="L70" s="11"/>
      <c r="M70" s="11"/>
      <c r="N70" s="11"/>
      <c r="O70" s="11"/>
      <c r="P70" s="11"/>
      <c r="Q70" s="11"/>
      <c r="R70" s="11"/>
      <c r="S70" s="11"/>
      <c r="T70" s="11"/>
      <c r="U70" s="11"/>
      <c r="V70" s="11"/>
      <c r="W70" s="11"/>
      <c r="X70" s="11"/>
      <c r="Y70" s="11"/>
      <c r="Z70" s="11"/>
    </row>
    <row r="71">
      <c r="A71" s="11"/>
      <c r="B71" s="11"/>
      <c r="C71" s="11"/>
      <c r="D71" s="11"/>
      <c r="E71" s="11"/>
      <c r="F71" s="12"/>
      <c r="G71" s="12"/>
      <c r="H71" s="12"/>
      <c r="I71" s="12"/>
      <c r="J71" s="11"/>
      <c r="K71" s="11"/>
      <c r="L71" s="11"/>
      <c r="M71" s="11"/>
      <c r="N71" s="11"/>
      <c r="O71" s="11"/>
      <c r="P71" s="11"/>
      <c r="Q71" s="11"/>
      <c r="R71" s="11"/>
      <c r="S71" s="11"/>
      <c r="T71" s="11"/>
      <c r="U71" s="11"/>
      <c r="V71" s="11"/>
      <c r="W71" s="11"/>
      <c r="X71" s="11"/>
      <c r="Y71" s="11"/>
      <c r="Z71" s="11"/>
    </row>
    <row r="72">
      <c r="A72" s="11"/>
      <c r="B72" s="11"/>
      <c r="C72" s="11"/>
      <c r="D72" s="11"/>
      <c r="E72" s="11"/>
      <c r="F72" s="12"/>
      <c r="G72" s="12"/>
      <c r="H72" s="12"/>
      <c r="I72" s="12"/>
      <c r="J72" s="11"/>
      <c r="K72" s="11"/>
      <c r="L72" s="11"/>
      <c r="M72" s="11"/>
      <c r="N72" s="11"/>
      <c r="O72" s="11"/>
      <c r="P72" s="11"/>
      <c r="Q72" s="11"/>
      <c r="R72" s="11"/>
      <c r="S72" s="11"/>
      <c r="T72" s="11"/>
      <c r="U72" s="11"/>
      <c r="V72" s="11"/>
      <c r="W72" s="11"/>
      <c r="X72" s="11"/>
      <c r="Y72" s="11"/>
      <c r="Z72" s="11"/>
    </row>
    <row r="73">
      <c r="A73" s="11"/>
      <c r="B73" s="11"/>
      <c r="C73" s="11"/>
      <c r="D73" s="11"/>
      <c r="E73" s="11"/>
      <c r="F73" s="12"/>
      <c r="G73" s="12"/>
      <c r="H73" s="12"/>
      <c r="I73" s="12"/>
      <c r="J73" s="11"/>
      <c r="K73" s="11"/>
      <c r="L73" s="11"/>
      <c r="M73" s="11"/>
      <c r="N73" s="11"/>
      <c r="O73" s="11"/>
      <c r="P73" s="11"/>
      <c r="Q73" s="11"/>
      <c r="R73" s="11"/>
      <c r="S73" s="11"/>
      <c r="T73" s="11"/>
      <c r="U73" s="11"/>
      <c r="V73" s="11"/>
      <c r="W73" s="11"/>
      <c r="X73" s="11"/>
      <c r="Y73" s="11"/>
      <c r="Z73" s="11"/>
    </row>
    <row r="74">
      <c r="A74" s="11"/>
      <c r="B74" s="11"/>
      <c r="C74" s="11"/>
      <c r="D74" s="11"/>
      <c r="E74" s="11"/>
      <c r="F74" s="12"/>
      <c r="G74" s="12"/>
      <c r="H74" s="12"/>
      <c r="I74" s="12"/>
      <c r="J74" s="11"/>
      <c r="K74" s="11"/>
      <c r="L74" s="11"/>
      <c r="M74" s="11"/>
      <c r="N74" s="11"/>
      <c r="O74" s="11"/>
      <c r="P74" s="11"/>
      <c r="Q74" s="11"/>
      <c r="R74" s="11"/>
      <c r="S74" s="11"/>
      <c r="T74" s="11"/>
      <c r="U74" s="11"/>
      <c r="V74" s="11"/>
      <c r="W74" s="11"/>
      <c r="X74" s="11"/>
      <c r="Y74" s="11"/>
      <c r="Z74" s="11"/>
    </row>
    <row r="75">
      <c r="A75" s="11"/>
      <c r="B75" s="11"/>
      <c r="C75" s="11"/>
      <c r="D75" s="11"/>
      <c r="E75" s="11"/>
      <c r="F75" s="12"/>
      <c r="G75" s="12"/>
      <c r="H75" s="12"/>
      <c r="I75" s="12"/>
      <c r="J75" s="11"/>
      <c r="K75" s="11"/>
      <c r="L75" s="11"/>
      <c r="M75" s="11"/>
      <c r="N75" s="11"/>
      <c r="O75" s="11"/>
      <c r="P75" s="11"/>
      <c r="Q75" s="11"/>
      <c r="R75" s="11"/>
      <c r="S75" s="11"/>
      <c r="T75" s="11"/>
      <c r="U75" s="11"/>
      <c r="V75" s="11"/>
      <c r="W75" s="11"/>
      <c r="X75" s="11"/>
      <c r="Y75" s="11"/>
      <c r="Z75" s="11"/>
    </row>
    <row r="76">
      <c r="A76" s="11"/>
      <c r="B76" s="11"/>
      <c r="C76" s="11"/>
      <c r="D76" s="11"/>
      <c r="E76" s="11"/>
      <c r="F76" s="12"/>
      <c r="G76" s="12"/>
      <c r="H76" s="12"/>
      <c r="I76" s="12"/>
      <c r="J76" s="11"/>
      <c r="K76" s="11"/>
      <c r="L76" s="11"/>
      <c r="M76" s="11"/>
      <c r="N76" s="11"/>
      <c r="O76" s="11"/>
      <c r="P76" s="11"/>
      <c r="Q76" s="11"/>
      <c r="R76" s="11"/>
      <c r="S76" s="11"/>
      <c r="T76" s="11"/>
      <c r="U76" s="11"/>
      <c r="V76" s="11"/>
      <c r="W76" s="11"/>
      <c r="X76" s="11"/>
      <c r="Y76" s="11"/>
      <c r="Z76" s="11"/>
    </row>
    <row r="77">
      <c r="A77" s="11"/>
      <c r="B77" s="11"/>
      <c r="C77" s="11"/>
      <c r="D77" s="11"/>
      <c r="E77" s="11"/>
      <c r="F77" s="12"/>
      <c r="G77" s="12"/>
      <c r="H77" s="12"/>
      <c r="I77" s="12"/>
      <c r="J77" s="11"/>
      <c r="K77" s="11"/>
      <c r="L77" s="11"/>
      <c r="M77" s="11"/>
      <c r="N77" s="11"/>
      <c r="O77" s="11"/>
      <c r="P77" s="11"/>
      <c r="Q77" s="11"/>
      <c r="R77" s="11"/>
      <c r="S77" s="11"/>
      <c r="T77" s="11"/>
      <c r="U77" s="11"/>
      <c r="V77" s="11"/>
      <c r="W77" s="11"/>
      <c r="X77" s="11"/>
      <c r="Y77" s="11"/>
      <c r="Z77" s="11"/>
    </row>
    <row r="78">
      <c r="A78" s="11"/>
      <c r="B78" s="11"/>
      <c r="C78" s="11"/>
      <c r="D78" s="11"/>
      <c r="E78" s="11"/>
      <c r="F78" s="12"/>
      <c r="G78" s="12"/>
      <c r="H78" s="12"/>
      <c r="I78" s="12"/>
      <c r="J78" s="11"/>
      <c r="K78" s="11"/>
      <c r="L78" s="11"/>
      <c r="M78" s="11"/>
      <c r="N78" s="11"/>
      <c r="O78" s="11"/>
      <c r="P78" s="11"/>
      <c r="Q78" s="11"/>
      <c r="R78" s="11"/>
      <c r="S78" s="11"/>
      <c r="T78" s="11"/>
      <c r="U78" s="11"/>
      <c r="V78" s="11"/>
      <c r="W78" s="11"/>
      <c r="X78" s="11"/>
      <c r="Y78" s="11"/>
      <c r="Z78" s="11"/>
    </row>
    <row r="79">
      <c r="A79" s="11"/>
      <c r="B79" s="11"/>
      <c r="C79" s="11"/>
      <c r="D79" s="11"/>
      <c r="E79" s="11"/>
      <c r="F79" s="12"/>
      <c r="G79" s="12"/>
      <c r="H79" s="12"/>
      <c r="I79" s="12"/>
      <c r="J79" s="11"/>
      <c r="K79" s="11"/>
      <c r="L79" s="11"/>
      <c r="M79" s="11"/>
      <c r="N79" s="11"/>
      <c r="O79" s="11"/>
      <c r="P79" s="11"/>
      <c r="Q79" s="11"/>
      <c r="R79" s="11"/>
      <c r="S79" s="11"/>
      <c r="T79" s="11"/>
      <c r="U79" s="11"/>
      <c r="V79" s="11"/>
      <c r="W79" s="11"/>
      <c r="X79" s="11"/>
      <c r="Y79" s="11"/>
      <c r="Z79" s="11"/>
    </row>
    <row r="80">
      <c r="A80" s="11"/>
      <c r="B80" s="11"/>
      <c r="C80" s="11"/>
      <c r="D80" s="11"/>
      <c r="E80" s="11"/>
      <c r="F80" s="12"/>
      <c r="G80" s="12"/>
      <c r="H80" s="12"/>
      <c r="I80" s="12"/>
      <c r="J80" s="11"/>
      <c r="K80" s="11"/>
      <c r="L80" s="11"/>
      <c r="M80" s="11"/>
      <c r="N80" s="11"/>
      <c r="O80" s="11"/>
      <c r="P80" s="11"/>
      <c r="Q80" s="11"/>
      <c r="R80" s="11"/>
      <c r="S80" s="11"/>
      <c r="T80" s="11"/>
      <c r="U80" s="11"/>
      <c r="V80" s="11"/>
      <c r="W80" s="11"/>
      <c r="X80" s="11"/>
      <c r="Y80" s="11"/>
      <c r="Z80" s="11"/>
    </row>
    <row r="81">
      <c r="A81" s="11"/>
      <c r="B81" s="11"/>
      <c r="C81" s="11"/>
      <c r="D81" s="11"/>
      <c r="E81" s="11"/>
      <c r="F81" s="12"/>
      <c r="G81" s="12"/>
      <c r="H81" s="12"/>
      <c r="I81" s="12"/>
      <c r="J81" s="11"/>
      <c r="K81" s="11"/>
      <c r="L81" s="11"/>
      <c r="M81" s="11"/>
      <c r="N81" s="11"/>
      <c r="O81" s="11"/>
      <c r="P81" s="11"/>
      <c r="Q81" s="11"/>
      <c r="R81" s="11"/>
      <c r="S81" s="11"/>
      <c r="T81" s="11"/>
      <c r="U81" s="11"/>
      <c r="V81" s="11"/>
      <c r="W81" s="11"/>
      <c r="X81" s="11"/>
      <c r="Y81" s="11"/>
      <c r="Z81" s="11"/>
    </row>
    <row r="82">
      <c r="A82" s="11"/>
      <c r="B82" s="11"/>
      <c r="C82" s="11"/>
      <c r="D82" s="11"/>
      <c r="E82" s="11"/>
      <c r="F82" s="12"/>
      <c r="G82" s="12"/>
      <c r="H82" s="12"/>
      <c r="I82" s="12"/>
      <c r="J82" s="11"/>
      <c r="K82" s="11"/>
      <c r="L82" s="11"/>
      <c r="M82" s="11"/>
      <c r="N82" s="11"/>
      <c r="O82" s="11"/>
      <c r="P82" s="11"/>
      <c r="Q82" s="11"/>
      <c r="R82" s="11"/>
      <c r="S82" s="11"/>
      <c r="T82" s="11"/>
      <c r="U82" s="11"/>
      <c r="V82" s="11"/>
      <c r="W82" s="11"/>
      <c r="X82" s="11"/>
      <c r="Y82" s="11"/>
      <c r="Z82" s="11"/>
    </row>
    <row r="83">
      <c r="A83" s="11"/>
      <c r="B83" s="11"/>
      <c r="C83" s="11"/>
      <c r="D83" s="11"/>
      <c r="E83" s="11"/>
      <c r="F83" s="12"/>
      <c r="G83" s="12"/>
      <c r="H83" s="12"/>
      <c r="I83" s="12"/>
      <c r="J83" s="11"/>
      <c r="K83" s="11"/>
      <c r="L83" s="11"/>
      <c r="M83" s="11"/>
      <c r="N83" s="11"/>
      <c r="O83" s="11"/>
      <c r="P83" s="11"/>
      <c r="Q83" s="11"/>
      <c r="R83" s="11"/>
      <c r="S83" s="11"/>
      <c r="T83" s="11"/>
      <c r="U83" s="11"/>
      <c r="V83" s="11"/>
      <c r="W83" s="11"/>
      <c r="X83" s="11"/>
      <c r="Y83" s="11"/>
      <c r="Z83" s="11"/>
    </row>
    <row r="84">
      <c r="A84" s="11"/>
      <c r="B84" s="11"/>
      <c r="C84" s="11"/>
      <c r="D84" s="11"/>
      <c r="E84" s="11"/>
      <c r="F84" s="12"/>
      <c r="G84" s="12"/>
      <c r="H84" s="12"/>
      <c r="I84" s="12"/>
      <c r="J84" s="11"/>
      <c r="K84" s="11"/>
      <c r="L84" s="11"/>
      <c r="M84" s="11"/>
      <c r="N84" s="11"/>
      <c r="O84" s="11"/>
      <c r="P84" s="11"/>
      <c r="Q84" s="11"/>
      <c r="R84" s="11"/>
      <c r="S84" s="11"/>
      <c r="T84" s="11"/>
      <c r="U84" s="11"/>
      <c r="V84" s="11"/>
      <c r="W84" s="11"/>
      <c r="X84" s="11"/>
      <c r="Y84" s="11"/>
      <c r="Z84" s="11"/>
    </row>
    <row r="85">
      <c r="A85" s="11"/>
      <c r="B85" s="11"/>
      <c r="C85" s="11"/>
      <c r="D85" s="11"/>
      <c r="E85" s="11"/>
      <c r="F85" s="12"/>
      <c r="G85" s="12"/>
      <c r="H85" s="12"/>
      <c r="I85" s="12"/>
      <c r="J85" s="11"/>
      <c r="K85" s="11"/>
      <c r="L85" s="11"/>
      <c r="M85" s="11"/>
      <c r="N85" s="11"/>
      <c r="O85" s="11"/>
      <c r="P85" s="11"/>
      <c r="Q85" s="11"/>
      <c r="R85" s="11"/>
      <c r="S85" s="11"/>
      <c r="T85" s="11"/>
      <c r="U85" s="11"/>
      <c r="V85" s="11"/>
      <c r="W85" s="11"/>
      <c r="X85" s="11"/>
      <c r="Y85" s="11"/>
      <c r="Z85" s="11"/>
    </row>
    <row r="86">
      <c r="A86" s="11"/>
      <c r="B86" s="11"/>
      <c r="C86" s="11"/>
      <c r="D86" s="11"/>
      <c r="E86" s="11"/>
      <c r="F86" s="12"/>
      <c r="G86" s="12"/>
      <c r="H86" s="12"/>
      <c r="I86" s="12"/>
      <c r="J86" s="11"/>
      <c r="K86" s="11"/>
      <c r="L86" s="11"/>
      <c r="M86" s="11"/>
      <c r="N86" s="11"/>
      <c r="O86" s="11"/>
      <c r="P86" s="11"/>
      <c r="Q86" s="11"/>
      <c r="R86" s="11"/>
      <c r="S86" s="11"/>
      <c r="T86" s="11"/>
      <c r="U86" s="11"/>
      <c r="V86" s="11"/>
      <c r="W86" s="11"/>
      <c r="X86" s="11"/>
      <c r="Y86" s="11"/>
      <c r="Z86" s="11"/>
    </row>
    <row r="87">
      <c r="A87" s="11"/>
      <c r="B87" s="11"/>
      <c r="C87" s="11"/>
      <c r="D87" s="11"/>
      <c r="E87" s="11"/>
      <c r="F87" s="12"/>
      <c r="G87" s="12"/>
      <c r="H87" s="12"/>
      <c r="I87" s="12"/>
      <c r="J87" s="11"/>
      <c r="K87" s="11"/>
      <c r="L87" s="11"/>
      <c r="M87" s="11"/>
      <c r="N87" s="11"/>
      <c r="O87" s="11"/>
      <c r="P87" s="11"/>
      <c r="Q87" s="11"/>
      <c r="R87" s="11"/>
      <c r="S87" s="11"/>
      <c r="T87" s="11"/>
      <c r="U87" s="11"/>
      <c r="V87" s="11"/>
      <c r="W87" s="11"/>
      <c r="X87" s="11"/>
      <c r="Y87" s="11"/>
      <c r="Z87" s="11"/>
    </row>
    <row r="88">
      <c r="A88" s="11"/>
      <c r="B88" s="11"/>
      <c r="C88" s="11"/>
      <c r="D88" s="11"/>
      <c r="E88" s="11"/>
      <c r="F88" s="12"/>
      <c r="G88" s="12"/>
      <c r="H88" s="12"/>
      <c r="I88" s="12"/>
      <c r="J88" s="11"/>
      <c r="K88" s="11"/>
      <c r="L88" s="11"/>
      <c r="M88" s="11"/>
      <c r="N88" s="11"/>
      <c r="O88" s="11"/>
      <c r="P88" s="11"/>
      <c r="Q88" s="11"/>
      <c r="R88" s="11"/>
      <c r="S88" s="11"/>
      <c r="T88" s="11"/>
      <c r="U88" s="11"/>
      <c r="V88" s="11"/>
      <c r="W88" s="11"/>
      <c r="X88" s="11"/>
      <c r="Y88" s="11"/>
      <c r="Z88" s="11"/>
    </row>
    <row r="89">
      <c r="A89" s="11"/>
      <c r="B89" s="11"/>
      <c r="C89" s="11"/>
      <c r="D89" s="11"/>
      <c r="E89" s="11"/>
      <c r="F89" s="12"/>
      <c r="G89" s="12"/>
      <c r="H89" s="12"/>
      <c r="I89" s="12"/>
      <c r="J89" s="11"/>
      <c r="K89" s="11"/>
      <c r="L89" s="11"/>
      <c r="M89" s="11"/>
      <c r="N89" s="11"/>
      <c r="O89" s="11"/>
      <c r="P89" s="11"/>
      <c r="Q89" s="11"/>
      <c r="R89" s="11"/>
      <c r="S89" s="11"/>
      <c r="T89" s="11"/>
      <c r="U89" s="11"/>
      <c r="V89" s="11"/>
      <c r="W89" s="11"/>
      <c r="X89" s="11"/>
      <c r="Y89" s="11"/>
      <c r="Z89" s="11"/>
    </row>
    <row r="90">
      <c r="A90" s="11"/>
      <c r="B90" s="11"/>
      <c r="C90" s="11"/>
      <c r="D90" s="11"/>
      <c r="E90" s="11"/>
      <c r="F90" s="12"/>
      <c r="G90" s="12"/>
      <c r="H90" s="12"/>
      <c r="I90" s="12"/>
      <c r="J90" s="11"/>
      <c r="K90" s="11"/>
      <c r="L90" s="11"/>
      <c r="M90" s="11"/>
      <c r="N90" s="11"/>
      <c r="O90" s="11"/>
      <c r="P90" s="11"/>
      <c r="Q90" s="11"/>
      <c r="R90" s="11"/>
      <c r="S90" s="11"/>
      <c r="T90" s="11"/>
      <c r="U90" s="11"/>
      <c r="V90" s="11"/>
      <c r="W90" s="11"/>
      <c r="X90" s="11"/>
      <c r="Y90" s="11"/>
      <c r="Z90" s="11"/>
    </row>
    <row r="91">
      <c r="A91" s="11"/>
      <c r="B91" s="11"/>
      <c r="C91" s="11"/>
      <c r="D91" s="11"/>
      <c r="E91" s="11"/>
      <c r="F91" s="12"/>
      <c r="G91" s="12"/>
      <c r="H91" s="12"/>
      <c r="I91" s="12"/>
      <c r="J91" s="11"/>
      <c r="K91" s="11"/>
      <c r="L91" s="11"/>
      <c r="M91" s="11"/>
      <c r="N91" s="11"/>
      <c r="O91" s="11"/>
      <c r="P91" s="11"/>
      <c r="Q91" s="11"/>
      <c r="R91" s="11"/>
      <c r="S91" s="11"/>
      <c r="T91" s="11"/>
      <c r="U91" s="11"/>
      <c r="V91" s="11"/>
      <c r="W91" s="11"/>
      <c r="X91" s="11"/>
      <c r="Y91" s="11"/>
      <c r="Z91" s="11"/>
    </row>
    <row r="92">
      <c r="A92" s="11"/>
      <c r="B92" s="11"/>
      <c r="C92" s="11"/>
      <c r="D92" s="11"/>
      <c r="E92" s="11"/>
      <c r="F92" s="12"/>
      <c r="G92" s="12"/>
      <c r="H92" s="12"/>
      <c r="I92" s="12"/>
      <c r="J92" s="11"/>
      <c r="K92" s="11"/>
      <c r="L92" s="11"/>
      <c r="M92" s="11"/>
      <c r="N92" s="11"/>
      <c r="O92" s="11"/>
      <c r="P92" s="11"/>
      <c r="Q92" s="11"/>
      <c r="R92" s="11"/>
      <c r="S92" s="11"/>
      <c r="T92" s="11"/>
      <c r="U92" s="11"/>
      <c r="V92" s="11"/>
      <c r="W92" s="11"/>
      <c r="X92" s="11"/>
      <c r="Y92" s="11"/>
      <c r="Z92" s="11"/>
    </row>
    <row r="93">
      <c r="A93" s="11"/>
      <c r="B93" s="11"/>
      <c r="C93" s="11"/>
      <c r="D93" s="11"/>
      <c r="E93" s="11"/>
      <c r="F93" s="12"/>
      <c r="G93" s="12"/>
      <c r="H93" s="12"/>
      <c r="I93" s="12"/>
      <c r="J93" s="11"/>
      <c r="K93" s="11"/>
      <c r="L93" s="11"/>
      <c r="M93" s="11"/>
      <c r="N93" s="11"/>
      <c r="O93" s="11"/>
      <c r="P93" s="11"/>
      <c r="Q93" s="11"/>
      <c r="R93" s="11"/>
      <c r="S93" s="11"/>
      <c r="T93" s="11"/>
      <c r="U93" s="11"/>
      <c r="V93" s="11"/>
      <c r="W93" s="11"/>
      <c r="X93" s="11"/>
      <c r="Y93" s="11"/>
      <c r="Z93" s="11"/>
    </row>
    <row r="94">
      <c r="A94" s="11"/>
      <c r="B94" s="11"/>
      <c r="C94" s="11"/>
      <c r="D94" s="11"/>
      <c r="E94" s="11"/>
      <c r="F94" s="12"/>
      <c r="G94" s="12"/>
      <c r="H94" s="12"/>
      <c r="I94" s="12"/>
      <c r="J94" s="11"/>
      <c r="K94" s="11"/>
      <c r="L94" s="11"/>
      <c r="M94" s="11"/>
      <c r="N94" s="11"/>
      <c r="O94" s="11"/>
      <c r="P94" s="11"/>
      <c r="Q94" s="11"/>
      <c r="R94" s="11"/>
      <c r="S94" s="11"/>
      <c r="T94" s="11"/>
      <c r="U94" s="11"/>
      <c r="V94" s="11"/>
      <c r="W94" s="11"/>
      <c r="X94" s="11"/>
      <c r="Y94" s="11"/>
      <c r="Z94" s="11"/>
    </row>
    <row r="95">
      <c r="A95" s="11"/>
      <c r="B95" s="11"/>
      <c r="C95" s="11"/>
      <c r="D95" s="11"/>
      <c r="E95" s="11"/>
      <c r="F95" s="12"/>
      <c r="G95" s="12"/>
      <c r="H95" s="12"/>
      <c r="I95" s="12"/>
      <c r="J95" s="11"/>
      <c r="K95" s="11"/>
      <c r="L95" s="11"/>
      <c r="M95" s="11"/>
      <c r="N95" s="11"/>
      <c r="O95" s="11"/>
      <c r="P95" s="11"/>
      <c r="Q95" s="11"/>
      <c r="R95" s="11"/>
      <c r="S95" s="11"/>
      <c r="T95" s="11"/>
      <c r="U95" s="11"/>
      <c r="V95" s="11"/>
      <c r="W95" s="11"/>
      <c r="X95" s="11"/>
      <c r="Y95" s="11"/>
      <c r="Z95" s="11"/>
    </row>
    <row r="96">
      <c r="A96" s="11"/>
      <c r="B96" s="11"/>
      <c r="C96" s="11"/>
      <c r="D96" s="11"/>
      <c r="E96" s="11"/>
      <c r="F96" s="12"/>
      <c r="G96" s="12"/>
      <c r="H96" s="12"/>
      <c r="I96" s="12"/>
      <c r="J96" s="11"/>
      <c r="K96" s="11"/>
      <c r="L96" s="11"/>
      <c r="M96" s="11"/>
      <c r="N96" s="11"/>
      <c r="O96" s="11"/>
      <c r="P96" s="11"/>
      <c r="Q96" s="11"/>
      <c r="R96" s="11"/>
      <c r="S96" s="11"/>
      <c r="T96" s="11"/>
      <c r="U96" s="11"/>
      <c r="V96" s="11"/>
      <c r="W96" s="11"/>
      <c r="X96" s="11"/>
      <c r="Y96" s="11"/>
      <c r="Z96" s="11"/>
    </row>
    <row r="97">
      <c r="A97" s="11"/>
      <c r="B97" s="11"/>
      <c r="C97" s="11"/>
      <c r="D97" s="11"/>
      <c r="E97" s="11"/>
      <c r="F97" s="12"/>
      <c r="G97" s="12"/>
      <c r="H97" s="12"/>
      <c r="I97" s="12"/>
      <c r="J97" s="11"/>
      <c r="K97" s="11"/>
      <c r="L97" s="11"/>
      <c r="M97" s="11"/>
      <c r="N97" s="11"/>
      <c r="O97" s="11"/>
      <c r="P97" s="11"/>
      <c r="Q97" s="11"/>
      <c r="R97" s="11"/>
      <c r="S97" s="11"/>
      <c r="T97" s="11"/>
      <c r="U97" s="11"/>
      <c r="V97" s="11"/>
      <c r="W97" s="11"/>
      <c r="X97" s="11"/>
      <c r="Y97" s="11"/>
      <c r="Z97" s="11"/>
    </row>
    <row r="98">
      <c r="A98" s="11"/>
      <c r="B98" s="11"/>
      <c r="C98" s="11"/>
      <c r="D98" s="11"/>
      <c r="E98" s="11"/>
      <c r="F98" s="12"/>
      <c r="G98" s="12"/>
      <c r="H98" s="12"/>
      <c r="I98" s="12"/>
      <c r="J98" s="11"/>
      <c r="K98" s="11"/>
      <c r="L98" s="11"/>
      <c r="M98" s="11"/>
      <c r="N98" s="11"/>
      <c r="O98" s="11"/>
      <c r="P98" s="11"/>
      <c r="Q98" s="11"/>
      <c r="R98" s="11"/>
      <c r="S98" s="11"/>
      <c r="T98" s="11"/>
      <c r="U98" s="11"/>
      <c r="V98" s="11"/>
      <c r="W98" s="11"/>
      <c r="X98" s="11"/>
      <c r="Y98" s="11"/>
      <c r="Z98" s="11"/>
    </row>
    <row r="99">
      <c r="A99" s="11"/>
      <c r="B99" s="11"/>
      <c r="C99" s="11"/>
      <c r="D99" s="11"/>
      <c r="E99" s="11"/>
      <c r="F99" s="12"/>
      <c r="G99" s="12"/>
      <c r="H99" s="12"/>
      <c r="I99" s="12"/>
      <c r="J99" s="11"/>
      <c r="K99" s="11"/>
      <c r="L99" s="11"/>
      <c r="M99" s="11"/>
      <c r="N99" s="11"/>
      <c r="O99" s="11"/>
      <c r="P99" s="11"/>
      <c r="Q99" s="11"/>
      <c r="R99" s="11"/>
      <c r="S99" s="11"/>
      <c r="T99" s="11"/>
      <c r="U99" s="11"/>
      <c r="V99" s="11"/>
      <c r="W99" s="11"/>
      <c r="X99" s="11"/>
      <c r="Y99" s="11"/>
      <c r="Z99" s="11"/>
    </row>
    <row r="100">
      <c r="A100" s="11"/>
      <c r="B100" s="11"/>
      <c r="C100" s="11"/>
      <c r="D100" s="11"/>
      <c r="E100" s="11"/>
      <c r="F100" s="12"/>
      <c r="G100" s="12"/>
      <c r="H100" s="12"/>
      <c r="I100" s="12"/>
      <c r="J100" s="11"/>
      <c r="K100" s="11"/>
      <c r="L100" s="11"/>
      <c r="M100" s="11"/>
      <c r="N100" s="11"/>
      <c r="O100" s="11"/>
      <c r="P100" s="11"/>
      <c r="Q100" s="11"/>
      <c r="R100" s="11"/>
      <c r="S100" s="11"/>
      <c r="T100" s="11"/>
      <c r="U100" s="11"/>
      <c r="V100" s="11"/>
      <c r="W100" s="11"/>
      <c r="X100" s="11"/>
      <c r="Y100" s="11"/>
      <c r="Z100" s="11"/>
    </row>
    <row r="101">
      <c r="A101" s="11"/>
      <c r="B101" s="11"/>
      <c r="C101" s="11"/>
      <c r="D101" s="11"/>
      <c r="E101" s="11"/>
      <c r="F101" s="12"/>
      <c r="G101" s="12"/>
      <c r="H101" s="12"/>
      <c r="I101" s="12"/>
      <c r="J101" s="11"/>
      <c r="K101" s="11"/>
      <c r="L101" s="11"/>
      <c r="M101" s="11"/>
      <c r="N101" s="11"/>
      <c r="O101" s="11"/>
      <c r="P101" s="11"/>
      <c r="Q101" s="11"/>
      <c r="R101" s="11"/>
      <c r="S101" s="11"/>
      <c r="T101" s="11"/>
      <c r="U101" s="11"/>
      <c r="V101" s="11"/>
      <c r="W101" s="11"/>
      <c r="X101" s="11"/>
      <c r="Y101" s="11"/>
      <c r="Z101" s="11"/>
    </row>
    <row r="102">
      <c r="A102" s="11"/>
      <c r="B102" s="11"/>
      <c r="C102" s="11"/>
      <c r="D102" s="11"/>
      <c r="E102" s="11"/>
      <c r="F102" s="12"/>
      <c r="G102" s="12"/>
      <c r="H102" s="12"/>
      <c r="I102" s="12"/>
      <c r="J102" s="11"/>
      <c r="K102" s="11"/>
      <c r="L102" s="11"/>
      <c r="M102" s="11"/>
      <c r="N102" s="11"/>
      <c r="O102" s="11"/>
      <c r="P102" s="11"/>
      <c r="Q102" s="11"/>
      <c r="R102" s="11"/>
      <c r="S102" s="11"/>
      <c r="T102" s="11"/>
      <c r="U102" s="11"/>
      <c r="V102" s="11"/>
      <c r="W102" s="11"/>
      <c r="X102" s="11"/>
      <c r="Y102" s="11"/>
      <c r="Z102" s="11"/>
    </row>
    <row r="103">
      <c r="A103" s="11"/>
      <c r="B103" s="11"/>
      <c r="C103" s="11"/>
      <c r="D103" s="11"/>
      <c r="E103" s="11"/>
      <c r="F103" s="12"/>
      <c r="G103" s="12"/>
      <c r="H103" s="12"/>
      <c r="I103" s="12"/>
      <c r="J103" s="11"/>
      <c r="K103" s="11"/>
      <c r="L103" s="11"/>
      <c r="M103" s="11"/>
      <c r="N103" s="11"/>
      <c r="O103" s="11"/>
      <c r="P103" s="11"/>
      <c r="Q103" s="11"/>
      <c r="R103" s="11"/>
      <c r="S103" s="11"/>
      <c r="T103" s="11"/>
      <c r="U103" s="11"/>
      <c r="V103" s="11"/>
      <c r="W103" s="11"/>
      <c r="X103" s="11"/>
      <c r="Y103" s="11"/>
      <c r="Z103" s="11"/>
    </row>
    <row r="104">
      <c r="A104" s="11"/>
      <c r="B104" s="11"/>
      <c r="C104" s="11"/>
      <c r="D104" s="11"/>
      <c r="E104" s="11"/>
      <c r="F104" s="12"/>
      <c r="G104" s="12"/>
      <c r="H104" s="12"/>
      <c r="I104" s="12"/>
      <c r="J104" s="11"/>
      <c r="K104" s="11"/>
      <c r="L104" s="11"/>
      <c r="M104" s="11"/>
      <c r="N104" s="11"/>
      <c r="O104" s="11"/>
      <c r="P104" s="11"/>
      <c r="Q104" s="11"/>
      <c r="R104" s="11"/>
      <c r="S104" s="11"/>
      <c r="T104" s="11"/>
      <c r="U104" s="11"/>
      <c r="V104" s="11"/>
      <c r="W104" s="11"/>
      <c r="X104" s="11"/>
      <c r="Y104" s="11"/>
      <c r="Z104" s="11"/>
    </row>
    <row r="105">
      <c r="A105" s="11"/>
      <c r="B105" s="11"/>
      <c r="C105" s="11"/>
      <c r="D105" s="11"/>
      <c r="E105" s="11"/>
      <c r="F105" s="12"/>
      <c r="G105" s="12"/>
      <c r="H105" s="12"/>
      <c r="I105" s="12"/>
      <c r="J105" s="11"/>
      <c r="K105" s="11"/>
      <c r="L105" s="11"/>
      <c r="M105" s="11"/>
      <c r="N105" s="11"/>
      <c r="O105" s="11"/>
      <c r="P105" s="11"/>
      <c r="Q105" s="11"/>
      <c r="R105" s="11"/>
      <c r="S105" s="11"/>
      <c r="T105" s="11"/>
      <c r="U105" s="11"/>
      <c r="V105" s="11"/>
      <c r="W105" s="11"/>
      <c r="X105" s="11"/>
      <c r="Y105" s="11"/>
      <c r="Z105" s="11"/>
    </row>
    <row r="106">
      <c r="A106" s="11"/>
      <c r="B106" s="11"/>
      <c r="C106" s="11"/>
      <c r="D106" s="11"/>
      <c r="E106" s="11"/>
      <c r="F106" s="12"/>
      <c r="G106" s="12"/>
      <c r="H106" s="12"/>
      <c r="I106" s="12"/>
      <c r="J106" s="11"/>
      <c r="K106" s="11"/>
      <c r="L106" s="11"/>
      <c r="M106" s="11"/>
      <c r="N106" s="11"/>
      <c r="O106" s="11"/>
      <c r="P106" s="11"/>
      <c r="Q106" s="11"/>
      <c r="R106" s="11"/>
      <c r="S106" s="11"/>
      <c r="T106" s="11"/>
      <c r="U106" s="11"/>
      <c r="V106" s="11"/>
      <c r="W106" s="11"/>
      <c r="X106" s="11"/>
      <c r="Y106" s="11"/>
      <c r="Z106" s="11"/>
    </row>
    <row r="107">
      <c r="A107" s="11"/>
      <c r="B107" s="11"/>
      <c r="C107" s="11"/>
      <c r="D107" s="11"/>
      <c r="E107" s="11"/>
      <c r="F107" s="12"/>
      <c r="G107" s="12"/>
      <c r="H107" s="12"/>
      <c r="I107" s="12"/>
      <c r="J107" s="11"/>
      <c r="K107" s="11"/>
      <c r="L107" s="11"/>
      <c r="M107" s="11"/>
      <c r="N107" s="11"/>
      <c r="O107" s="11"/>
      <c r="P107" s="11"/>
      <c r="Q107" s="11"/>
      <c r="R107" s="11"/>
      <c r="S107" s="11"/>
      <c r="T107" s="11"/>
      <c r="U107" s="11"/>
      <c r="V107" s="11"/>
      <c r="W107" s="11"/>
      <c r="X107" s="11"/>
      <c r="Y107" s="11"/>
      <c r="Z107" s="11"/>
    </row>
    <row r="108">
      <c r="A108" s="11"/>
      <c r="B108" s="11"/>
      <c r="C108" s="11"/>
      <c r="D108" s="11"/>
      <c r="E108" s="11"/>
      <c r="F108" s="12"/>
      <c r="G108" s="12"/>
      <c r="H108" s="12"/>
      <c r="I108" s="12"/>
      <c r="J108" s="11"/>
      <c r="K108" s="11"/>
      <c r="L108" s="11"/>
      <c r="M108" s="11"/>
      <c r="N108" s="11"/>
      <c r="O108" s="11"/>
      <c r="P108" s="11"/>
      <c r="Q108" s="11"/>
      <c r="R108" s="11"/>
      <c r="S108" s="11"/>
      <c r="T108" s="11"/>
      <c r="U108" s="11"/>
      <c r="V108" s="11"/>
      <c r="W108" s="11"/>
      <c r="X108" s="11"/>
      <c r="Y108" s="11"/>
      <c r="Z108" s="11"/>
    </row>
    <row r="109">
      <c r="A109" s="11"/>
      <c r="B109" s="11"/>
      <c r="C109" s="11"/>
      <c r="D109" s="11"/>
      <c r="E109" s="11"/>
      <c r="F109" s="12"/>
      <c r="G109" s="12"/>
      <c r="H109" s="12"/>
      <c r="I109" s="12"/>
      <c r="J109" s="11"/>
      <c r="K109" s="11"/>
      <c r="L109" s="11"/>
      <c r="M109" s="11"/>
      <c r="N109" s="11"/>
      <c r="O109" s="11"/>
      <c r="P109" s="11"/>
      <c r="Q109" s="11"/>
      <c r="R109" s="11"/>
      <c r="S109" s="11"/>
      <c r="T109" s="11"/>
      <c r="U109" s="11"/>
      <c r="V109" s="11"/>
      <c r="W109" s="11"/>
      <c r="X109" s="11"/>
      <c r="Y109" s="11"/>
      <c r="Z109" s="11"/>
    </row>
    <row r="110">
      <c r="A110" s="11"/>
      <c r="B110" s="11"/>
      <c r="C110" s="11"/>
      <c r="D110" s="11"/>
      <c r="E110" s="11"/>
      <c r="F110" s="12"/>
      <c r="G110" s="12"/>
      <c r="H110" s="12"/>
      <c r="I110" s="12"/>
      <c r="J110" s="11"/>
      <c r="K110" s="11"/>
      <c r="L110" s="11"/>
      <c r="M110" s="11"/>
      <c r="N110" s="11"/>
      <c r="O110" s="11"/>
      <c r="P110" s="11"/>
      <c r="Q110" s="11"/>
      <c r="R110" s="11"/>
      <c r="S110" s="11"/>
      <c r="T110" s="11"/>
      <c r="U110" s="11"/>
      <c r="V110" s="11"/>
      <c r="W110" s="11"/>
      <c r="X110" s="11"/>
      <c r="Y110" s="11"/>
      <c r="Z110" s="11"/>
    </row>
    <row r="111">
      <c r="A111" s="11"/>
      <c r="B111" s="11"/>
      <c r="C111" s="11"/>
      <c r="D111" s="11"/>
      <c r="E111" s="11"/>
      <c r="F111" s="12"/>
      <c r="G111" s="12"/>
      <c r="H111" s="12"/>
      <c r="I111" s="12"/>
      <c r="J111" s="11"/>
      <c r="K111" s="11"/>
      <c r="L111" s="11"/>
      <c r="M111" s="11"/>
      <c r="N111" s="11"/>
      <c r="O111" s="11"/>
      <c r="P111" s="11"/>
      <c r="Q111" s="11"/>
      <c r="R111" s="11"/>
      <c r="S111" s="11"/>
      <c r="T111" s="11"/>
      <c r="U111" s="11"/>
      <c r="V111" s="11"/>
      <c r="W111" s="11"/>
      <c r="X111" s="11"/>
      <c r="Y111" s="11"/>
      <c r="Z111" s="11"/>
    </row>
    <row r="112">
      <c r="A112" s="11"/>
      <c r="B112" s="11"/>
      <c r="C112" s="11"/>
      <c r="D112" s="11"/>
      <c r="E112" s="11"/>
      <c r="F112" s="12"/>
      <c r="G112" s="12"/>
      <c r="H112" s="12"/>
      <c r="I112" s="12"/>
      <c r="J112" s="11"/>
      <c r="K112" s="11"/>
      <c r="L112" s="11"/>
      <c r="M112" s="11"/>
      <c r="N112" s="11"/>
      <c r="O112" s="11"/>
      <c r="P112" s="11"/>
      <c r="Q112" s="11"/>
      <c r="R112" s="11"/>
      <c r="S112" s="11"/>
      <c r="T112" s="11"/>
      <c r="U112" s="11"/>
      <c r="V112" s="11"/>
      <c r="W112" s="11"/>
      <c r="X112" s="11"/>
      <c r="Y112" s="11"/>
      <c r="Z112" s="11"/>
    </row>
    <row r="113">
      <c r="A113" s="11"/>
      <c r="B113" s="11"/>
      <c r="C113" s="11"/>
      <c r="D113" s="11"/>
      <c r="E113" s="11"/>
      <c r="F113" s="12"/>
      <c r="G113" s="12"/>
      <c r="H113" s="12"/>
      <c r="I113" s="12"/>
      <c r="J113" s="11"/>
      <c r="K113" s="11"/>
      <c r="L113" s="11"/>
      <c r="M113" s="11"/>
      <c r="N113" s="11"/>
      <c r="O113" s="11"/>
      <c r="P113" s="11"/>
      <c r="Q113" s="11"/>
      <c r="R113" s="11"/>
      <c r="S113" s="11"/>
      <c r="T113" s="11"/>
      <c r="U113" s="11"/>
      <c r="V113" s="11"/>
      <c r="W113" s="11"/>
      <c r="X113" s="11"/>
      <c r="Y113" s="11"/>
      <c r="Z113" s="11"/>
    </row>
    <row r="114">
      <c r="A114" s="11"/>
      <c r="B114" s="11"/>
      <c r="C114" s="11"/>
      <c r="D114" s="11"/>
      <c r="E114" s="11"/>
      <c r="F114" s="12"/>
      <c r="G114" s="12"/>
      <c r="H114" s="12"/>
      <c r="I114" s="12"/>
      <c r="J114" s="11"/>
      <c r="K114" s="11"/>
      <c r="L114" s="11"/>
      <c r="M114" s="11"/>
      <c r="N114" s="11"/>
      <c r="O114" s="11"/>
      <c r="P114" s="11"/>
      <c r="Q114" s="11"/>
      <c r="R114" s="11"/>
      <c r="S114" s="11"/>
      <c r="T114" s="11"/>
      <c r="U114" s="11"/>
      <c r="V114" s="11"/>
      <c r="W114" s="11"/>
      <c r="X114" s="11"/>
      <c r="Y114" s="11"/>
      <c r="Z114" s="11"/>
    </row>
    <row r="115">
      <c r="A115" s="11"/>
      <c r="B115" s="11"/>
      <c r="C115" s="11"/>
      <c r="D115" s="11"/>
      <c r="E115" s="11"/>
      <c r="F115" s="12"/>
      <c r="G115" s="12"/>
      <c r="H115" s="12"/>
      <c r="I115" s="12"/>
      <c r="J115" s="11"/>
      <c r="K115" s="11"/>
      <c r="L115" s="11"/>
      <c r="M115" s="11"/>
      <c r="N115" s="11"/>
      <c r="O115" s="11"/>
      <c r="P115" s="11"/>
      <c r="Q115" s="11"/>
      <c r="R115" s="11"/>
      <c r="S115" s="11"/>
      <c r="T115" s="11"/>
      <c r="U115" s="11"/>
      <c r="V115" s="11"/>
      <c r="W115" s="11"/>
      <c r="X115" s="11"/>
      <c r="Y115" s="11"/>
      <c r="Z115" s="11"/>
    </row>
    <row r="116">
      <c r="A116" s="11"/>
      <c r="B116" s="11"/>
      <c r="C116" s="11"/>
      <c r="D116" s="11"/>
      <c r="E116" s="11"/>
      <c r="F116" s="12"/>
      <c r="G116" s="12"/>
      <c r="H116" s="12"/>
      <c r="I116" s="12"/>
      <c r="J116" s="11"/>
      <c r="K116" s="11"/>
      <c r="L116" s="11"/>
      <c r="M116" s="11"/>
      <c r="N116" s="11"/>
      <c r="O116" s="11"/>
      <c r="P116" s="11"/>
      <c r="Q116" s="11"/>
      <c r="R116" s="11"/>
      <c r="S116" s="11"/>
      <c r="T116" s="11"/>
      <c r="U116" s="11"/>
      <c r="V116" s="11"/>
      <c r="W116" s="11"/>
      <c r="X116" s="11"/>
      <c r="Y116" s="11"/>
      <c r="Z116" s="11"/>
    </row>
    <row r="117">
      <c r="A117" s="11"/>
      <c r="B117" s="11"/>
      <c r="C117" s="11"/>
      <c r="D117" s="11"/>
      <c r="E117" s="11"/>
      <c r="F117" s="12"/>
      <c r="G117" s="12"/>
      <c r="H117" s="12"/>
      <c r="I117" s="12"/>
      <c r="J117" s="11"/>
      <c r="K117" s="11"/>
      <c r="L117" s="11"/>
      <c r="M117" s="11"/>
      <c r="N117" s="11"/>
      <c r="O117" s="11"/>
      <c r="P117" s="11"/>
      <c r="Q117" s="11"/>
      <c r="R117" s="11"/>
      <c r="S117" s="11"/>
      <c r="T117" s="11"/>
      <c r="U117" s="11"/>
      <c r="V117" s="11"/>
      <c r="W117" s="11"/>
      <c r="X117" s="11"/>
      <c r="Y117" s="11"/>
      <c r="Z117" s="11"/>
    </row>
    <row r="118">
      <c r="A118" s="11"/>
      <c r="B118" s="11"/>
      <c r="C118" s="11"/>
      <c r="D118" s="11"/>
      <c r="E118" s="11"/>
      <c r="F118" s="12"/>
      <c r="G118" s="12"/>
      <c r="H118" s="12"/>
      <c r="I118" s="12"/>
      <c r="J118" s="11"/>
      <c r="K118" s="11"/>
      <c r="L118" s="11"/>
      <c r="M118" s="11"/>
      <c r="N118" s="11"/>
      <c r="O118" s="11"/>
      <c r="P118" s="11"/>
      <c r="Q118" s="11"/>
      <c r="R118" s="11"/>
      <c r="S118" s="11"/>
      <c r="T118" s="11"/>
      <c r="U118" s="11"/>
      <c r="V118" s="11"/>
      <c r="W118" s="11"/>
      <c r="X118" s="11"/>
      <c r="Y118" s="11"/>
      <c r="Z118" s="11"/>
    </row>
    <row r="119">
      <c r="A119" s="11"/>
      <c r="B119" s="11"/>
      <c r="C119" s="11"/>
      <c r="D119" s="11"/>
      <c r="E119" s="11"/>
      <c r="F119" s="12"/>
      <c r="G119" s="12"/>
      <c r="H119" s="12"/>
      <c r="I119" s="12"/>
      <c r="J119" s="11"/>
      <c r="K119" s="11"/>
      <c r="L119" s="11"/>
      <c r="M119" s="11"/>
      <c r="N119" s="11"/>
      <c r="O119" s="11"/>
      <c r="P119" s="11"/>
      <c r="Q119" s="11"/>
      <c r="R119" s="11"/>
      <c r="S119" s="11"/>
      <c r="T119" s="11"/>
      <c r="U119" s="11"/>
      <c r="V119" s="11"/>
      <c r="W119" s="11"/>
      <c r="X119" s="11"/>
      <c r="Y119" s="11"/>
      <c r="Z119" s="11"/>
    </row>
    <row r="120">
      <c r="A120" s="11"/>
      <c r="B120" s="11"/>
      <c r="C120" s="11"/>
      <c r="D120" s="11"/>
      <c r="E120" s="11"/>
      <c r="F120" s="12"/>
      <c r="G120" s="12"/>
      <c r="H120" s="12"/>
      <c r="I120" s="12"/>
      <c r="J120" s="11"/>
      <c r="K120" s="11"/>
      <c r="L120" s="11"/>
      <c r="M120" s="11"/>
      <c r="N120" s="11"/>
      <c r="O120" s="11"/>
      <c r="P120" s="11"/>
      <c r="Q120" s="11"/>
      <c r="R120" s="11"/>
      <c r="S120" s="11"/>
      <c r="T120" s="11"/>
      <c r="U120" s="11"/>
      <c r="V120" s="11"/>
      <c r="W120" s="11"/>
      <c r="X120" s="11"/>
      <c r="Y120" s="11"/>
      <c r="Z120" s="11"/>
    </row>
    <row r="121">
      <c r="A121" s="11"/>
      <c r="B121" s="11"/>
      <c r="C121" s="11"/>
      <c r="D121" s="11"/>
      <c r="E121" s="11"/>
      <c r="F121" s="12"/>
      <c r="G121" s="12"/>
      <c r="H121" s="12"/>
      <c r="I121" s="12"/>
      <c r="J121" s="11"/>
      <c r="K121" s="11"/>
      <c r="L121" s="11"/>
      <c r="M121" s="11"/>
      <c r="N121" s="11"/>
      <c r="O121" s="11"/>
      <c r="P121" s="11"/>
      <c r="Q121" s="11"/>
      <c r="R121" s="11"/>
      <c r="S121" s="11"/>
      <c r="T121" s="11"/>
      <c r="U121" s="11"/>
      <c r="V121" s="11"/>
      <c r="W121" s="11"/>
      <c r="X121" s="11"/>
      <c r="Y121" s="11"/>
      <c r="Z121" s="11"/>
    </row>
    <row r="122">
      <c r="A122" s="11"/>
      <c r="B122" s="11"/>
      <c r="C122" s="11"/>
      <c r="D122" s="11"/>
      <c r="E122" s="11"/>
      <c r="F122" s="12"/>
      <c r="G122" s="12"/>
      <c r="H122" s="12"/>
      <c r="I122" s="12"/>
      <c r="J122" s="11"/>
      <c r="K122" s="11"/>
      <c r="L122" s="11"/>
      <c r="M122" s="11"/>
      <c r="N122" s="11"/>
      <c r="O122" s="11"/>
      <c r="P122" s="11"/>
      <c r="Q122" s="11"/>
      <c r="R122" s="11"/>
      <c r="S122" s="11"/>
      <c r="T122" s="11"/>
      <c r="U122" s="11"/>
      <c r="V122" s="11"/>
      <c r="W122" s="11"/>
      <c r="X122" s="11"/>
      <c r="Y122" s="11"/>
      <c r="Z122" s="11"/>
    </row>
    <row r="123">
      <c r="A123" s="11"/>
      <c r="B123" s="11"/>
      <c r="C123" s="11"/>
      <c r="D123" s="11"/>
      <c r="E123" s="11"/>
      <c r="F123" s="12"/>
      <c r="G123" s="12"/>
      <c r="H123" s="12"/>
      <c r="I123" s="12"/>
      <c r="J123" s="11"/>
      <c r="K123" s="11"/>
      <c r="L123" s="11"/>
      <c r="M123" s="11"/>
      <c r="N123" s="11"/>
      <c r="O123" s="11"/>
      <c r="P123" s="11"/>
      <c r="Q123" s="11"/>
      <c r="R123" s="11"/>
      <c r="S123" s="11"/>
      <c r="T123" s="11"/>
      <c r="U123" s="11"/>
      <c r="V123" s="11"/>
      <c r="W123" s="11"/>
      <c r="X123" s="11"/>
      <c r="Y123" s="11"/>
      <c r="Z123" s="11"/>
    </row>
    <row r="124">
      <c r="A124" s="11"/>
      <c r="B124" s="11"/>
      <c r="C124" s="11"/>
      <c r="D124" s="11"/>
      <c r="E124" s="11"/>
      <c r="F124" s="12"/>
      <c r="G124" s="12"/>
      <c r="H124" s="12"/>
      <c r="I124" s="12"/>
      <c r="J124" s="11"/>
      <c r="K124" s="11"/>
      <c r="L124" s="11"/>
      <c r="M124" s="11"/>
      <c r="N124" s="11"/>
      <c r="O124" s="11"/>
      <c r="P124" s="11"/>
      <c r="Q124" s="11"/>
      <c r="R124" s="11"/>
      <c r="S124" s="11"/>
      <c r="T124" s="11"/>
      <c r="U124" s="11"/>
      <c r="V124" s="11"/>
      <c r="W124" s="11"/>
      <c r="X124" s="11"/>
      <c r="Y124" s="11"/>
      <c r="Z124" s="11"/>
    </row>
    <row r="125">
      <c r="A125" s="11"/>
      <c r="B125" s="11"/>
      <c r="C125" s="11"/>
      <c r="D125" s="11"/>
      <c r="E125" s="11"/>
      <c r="F125" s="12"/>
      <c r="G125" s="12"/>
      <c r="H125" s="12"/>
      <c r="I125" s="12"/>
      <c r="J125" s="11"/>
      <c r="K125" s="11"/>
      <c r="L125" s="11"/>
      <c r="M125" s="11"/>
      <c r="N125" s="11"/>
      <c r="O125" s="11"/>
      <c r="P125" s="11"/>
      <c r="Q125" s="11"/>
      <c r="R125" s="11"/>
      <c r="S125" s="11"/>
      <c r="T125" s="11"/>
      <c r="U125" s="11"/>
      <c r="V125" s="11"/>
      <c r="W125" s="11"/>
      <c r="X125" s="11"/>
      <c r="Y125" s="11"/>
      <c r="Z125" s="11"/>
    </row>
    <row r="126">
      <c r="A126" s="11"/>
      <c r="B126" s="11"/>
      <c r="C126" s="11"/>
      <c r="D126" s="11"/>
      <c r="E126" s="11"/>
      <c r="F126" s="12"/>
      <c r="G126" s="12"/>
      <c r="H126" s="12"/>
      <c r="I126" s="12"/>
      <c r="J126" s="11"/>
      <c r="K126" s="11"/>
      <c r="L126" s="11"/>
      <c r="M126" s="11"/>
      <c r="N126" s="11"/>
      <c r="O126" s="11"/>
      <c r="P126" s="11"/>
      <c r="Q126" s="11"/>
      <c r="R126" s="11"/>
      <c r="S126" s="11"/>
      <c r="T126" s="11"/>
      <c r="U126" s="11"/>
      <c r="V126" s="11"/>
      <c r="W126" s="11"/>
      <c r="X126" s="11"/>
      <c r="Y126" s="11"/>
      <c r="Z126" s="11"/>
    </row>
    <row r="127">
      <c r="A127" s="11"/>
      <c r="B127" s="11"/>
      <c r="C127" s="11"/>
      <c r="D127" s="11"/>
      <c r="E127" s="11"/>
      <c r="F127" s="12"/>
      <c r="G127" s="12"/>
      <c r="H127" s="12"/>
      <c r="I127" s="12"/>
      <c r="J127" s="11"/>
      <c r="K127" s="11"/>
      <c r="L127" s="11"/>
      <c r="M127" s="11"/>
      <c r="N127" s="11"/>
      <c r="O127" s="11"/>
      <c r="P127" s="11"/>
      <c r="Q127" s="11"/>
      <c r="R127" s="11"/>
      <c r="S127" s="11"/>
      <c r="T127" s="11"/>
      <c r="U127" s="11"/>
      <c r="V127" s="11"/>
      <c r="W127" s="11"/>
      <c r="X127" s="11"/>
      <c r="Y127" s="11"/>
      <c r="Z127" s="11"/>
    </row>
    <row r="128">
      <c r="A128" s="11"/>
      <c r="B128" s="11"/>
      <c r="C128" s="11"/>
      <c r="D128" s="11"/>
      <c r="E128" s="11"/>
      <c r="F128" s="12"/>
      <c r="G128" s="12"/>
      <c r="H128" s="12"/>
      <c r="I128" s="12"/>
      <c r="J128" s="11"/>
      <c r="K128" s="11"/>
      <c r="L128" s="11"/>
      <c r="M128" s="11"/>
      <c r="N128" s="11"/>
      <c r="O128" s="11"/>
      <c r="P128" s="11"/>
      <c r="Q128" s="11"/>
      <c r="R128" s="11"/>
      <c r="S128" s="11"/>
      <c r="T128" s="11"/>
      <c r="U128" s="11"/>
      <c r="V128" s="11"/>
      <c r="W128" s="11"/>
      <c r="X128" s="11"/>
      <c r="Y128" s="11"/>
      <c r="Z128" s="11"/>
    </row>
    <row r="129">
      <c r="A129" s="11"/>
      <c r="B129" s="11"/>
      <c r="C129" s="11"/>
      <c r="D129" s="11"/>
      <c r="E129" s="11"/>
      <c r="F129" s="12"/>
      <c r="G129" s="12"/>
      <c r="H129" s="12"/>
      <c r="I129" s="12"/>
      <c r="J129" s="11"/>
      <c r="K129" s="11"/>
      <c r="L129" s="11"/>
      <c r="M129" s="11"/>
      <c r="N129" s="11"/>
      <c r="O129" s="11"/>
      <c r="P129" s="11"/>
      <c r="Q129" s="11"/>
      <c r="R129" s="11"/>
      <c r="S129" s="11"/>
      <c r="T129" s="11"/>
      <c r="U129" s="11"/>
      <c r="V129" s="11"/>
      <c r="W129" s="11"/>
      <c r="X129" s="11"/>
      <c r="Y129" s="11"/>
      <c r="Z129" s="11"/>
    </row>
    <row r="130">
      <c r="A130" s="11"/>
      <c r="B130" s="11"/>
      <c r="C130" s="11"/>
      <c r="D130" s="11"/>
      <c r="E130" s="11"/>
      <c r="F130" s="12"/>
      <c r="G130" s="12"/>
      <c r="H130" s="12"/>
      <c r="I130" s="12"/>
      <c r="J130" s="11"/>
      <c r="K130" s="11"/>
      <c r="L130" s="11"/>
      <c r="M130" s="11"/>
      <c r="N130" s="11"/>
      <c r="O130" s="11"/>
      <c r="P130" s="11"/>
      <c r="Q130" s="11"/>
      <c r="R130" s="11"/>
      <c r="S130" s="11"/>
      <c r="T130" s="11"/>
      <c r="U130" s="11"/>
      <c r="V130" s="11"/>
      <c r="W130" s="11"/>
      <c r="X130" s="11"/>
      <c r="Y130" s="11"/>
      <c r="Z130" s="11"/>
    </row>
    <row r="131">
      <c r="A131" s="11"/>
      <c r="B131" s="11"/>
      <c r="C131" s="11"/>
      <c r="D131" s="11"/>
      <c r="E131" s="11"/>
      <c r="F131" s="12"/>
      <c r="G131" s="12"/>
      <c r="H131" s="12"/>
      <c r="I131" s="12"/>
      <c r="J131" s="11"/>
      <c r="K131" s="11"/>
      <c r="L131" s="11"/>
      <c r="M131" s="11"/>
      <c r="N131" s="11"/>
      <c r="O131" s="11"/>
      <c r="P131" s="11"/>
      <c r="Q131" s="11"/>
      <c r="R131" s="11"/>
      <c r="S131" s="11"/>
      <c r="T131" s="11"/>
      <c r="U131" s="11"/>
      <c r="V131" s="11"/>
      <c r="W131" s="11"/>
      <c r="X131" s="11"/>
      <c r="Y131" s="11"/>
      <c r="Z131" s="11"/>
    </row>
    <row r="132">
      <c r="A132" s="11"/>
      <c r="B132" s="11"/>
      <c r="C132" s="11"/>
      <c r="D132" s="11"/>
      <c r="E132" s="11"/>
      <c r="F132" s="12"/>
      <c r="G132" s="12"/>
      <c r="H132" s="12"/>
      <c r="I132" s="12"/>
      <c r="J132" s="11"/>
      <c r="K132" s="11"/>
      <c r="L132" s="11"/>
      <c r="M132" s="11"/>
      <c r="N132" s="11"/>
      <c r="O132" s="11"/>
      <c r="P132" s="11"/>
      <c r="Q132" s="11"/>
      <c r="R132" s="11"/>
      <c r="S132" s="11"/>
      <c r="T132" s="11"/>
      <c r="U132" s="11"/>
      <c r="V132" s="11"/>
      <c r="W132" s="11"/>
      <c r="X132" s="11"/>
      <c r="Y132" s="11"/>
      <c r="Z132" s="11"/>
    </row>
    <row r="133">
      <c r="A133" s="11"/>
      <c r="B133" s="11"/>
      <c r="C133" s="11"/>
      <c r="D133" s="11"/>
      <c r="E133" s="11"/>
      <c r="F133" s="12"/>
      <c r="G133" s="12"/>
      <c r="H133" s="12"/>
      <c r="I133" s="12"/>
      <c r="J133" s="11"/>
      <c r="K133" s="11"/>
      <c r="L133" s="11"/>
      <c r="M133" s="11"/>
      <c r="N133" s="11"/>
      <c r="O133" s="11"/>
      <c r="P133" s="11"/>
      <c r="Q133" s="11"/>
      <c r="R133" s="11"/>
      <c r="S133" s="11"/>
      <c r="T133" s="11"/>
      <c r="U133" s="11"/>
      <c r="V133" s="11"/>
      <c r="W133" s="11"/>
      <c r="X133" s="11"/>
      <c r="Y133" s="11"/>
      <c r="Z133" s="11"/>
    </row>
    <row r="134">
      <c r="A134" s="11"/>
      <c r="B134" s="11"/>
      <c r="C134" s="11"/>
      <c r="D134" s="11"/>
      <c r="E134" s="11"/>
      <c r="F134" s="12"/>
      <c r="G134" s="12"/>
      <c r="H134" s="12"/>
      <c r="I134" s="12"/>
      <c r="J134" s="11"/>
      <c r="K134" s="11"/>
      <c r="L134" s="11"/>
      <c r="M134" s="11"/>
      <c r="N134" s="11"/>
      <c r="O134" s="11"/>
      <c r="P134" s="11"/>
      <c r="Q134" s="11"/>
      <c r="R134" s="11"/>
      <c r="S134" s="11"/>
      <c r="T134" s="11"/>
      <c r="U134" s="11"/>
      <c r="V134" s="11"/>
      <c r="W134" s="11"/>
      <c r="X134" s="11"/>
      <c r="Y134" s="11"/>
      <c r="Z134" s="11"/>
    </row>
    <row r="135">
      <c r="A135" s="11"/>
      <c r="B135" s="11"/>
      <c r="C135" s="11"/>
      <c r="D135" s="11"/>
      <c r="E135" s="11"/>
      <c r="F135" s="12"/>
      <c r="G135" s="12"/>
      <c r="H135" s="12"/>
      <c r="I135" s="12"/>
      <c r="J135" s="11"/>
      <c r="K135" s="11"/>
      <c r="L135" s="11"/>
      <c r="M135" s="11"/>
      <c r="N135" s="11"/>
      <c r="O135" s="11"/>
      <c r="P135" s="11"/>
      <c r="Q135" s="11"/>
      <c r="R135" s="11"/>
      <c r="S135" s="11"/>
      <c r="T135" s="11"/>
      <c r="U135" s="11"/>
      <c r="V135" s="11"/>
      <c r="W135" s="11"/>
      <c r="X135" s="11"/>
      <c r="Y135" s="11"/>
      <c r="Z135" s="11"/>
    </row>
    <row r="136">
      <c r="A136" s="11"/>
      <c r="B136" s="11"/>
      <c r="C136" s="11"/>
      <c r="D136" s="11"/>
      <c r="E136" s="11"/>
      <c r="F136" s="12"/>
      <c r="G136" s="12"/>
      <c r="H136" s="12"/>
      <c r="I136" s="12"/>
      <c r="J136" s="11"/>
      <c r="K136" s="11"/>
      <c r="L136" s="11"/>
      <c r="M136" s="11"/>
      <c r="N136" s="11"/>
      <c r="O136" s="11"/>
      <c r="P136" s="11"/>
      <c r="Q136" s="11"/>
      <c r="R136" s="11"/>
      <c r="S136" s="11"/>
      <c r="T136" s="11"/>
      <c r="U136" s="11"/>
      <c r="V136" s="11"/>
      <c r="W136" s="11"/>
      <c r="X136" s="11"/>
      <c r="Y136" s="11"/>
      <c r="Z136" s="11"/>
    </row>
    <row r="137">
      <c r="A137" s="11"/>
      <c r="B137" s="11"/>
      <c r="C137" s="11"/>
      <c r="D137" s="11"/>
      <c r="E137" s="11"/>
      <c r="F137" s="12"/>
      <c r="G137" s="12"/>
      <c r="H137" s="12"/>
      <c r="I137" s="12"/>
      <c r="J137" s="11"/>
      <c r="K137" s="11"/>
      <c r="L137" s="11"/>
      <c r="M137" s="11"/>
      <c r="N137" s="11"/>
      <c r="O137" s="11"/>
      <c r="P137" s="11"/>
      <c r="Q137" s="11"/>
      <c r="R137" s="11"/>
      <c r="S137" s="11"/>
      <c r="T137" s="11"/>
      <c r="U137" s="11"/>
      <c r="V137" s="11"/>
      <c r="W137" s="11"/>
      <c r="X137" s="11"/>
      <c r="Y137" s="11"/>
      <c r="Z137" s="11"/>
    </row>
    <row r="138">
      <c r="A138" s="11"/>
      <c r="B138" s="11"/>
      <c r="C138" s="11"/>
      <c r="D138" s="11"/>
      <c r="E138" s="11"/>
      <c r="F138" s="12"/>
      <c r="G138" s="12"/>
      <c r="H138" s="12"/>
      <c r="I138" s="12"/>
      <c r="J138" s="11"/>
      <c r="K138" s="11"/>
      <c r="L138" s="11"/>
      <c r="M138" s="11"/>
      <c r="N138" s="11"/>
      <c r="O138" s="11"/>
      <c r="P138" s="11"/>
      <c r="Q138" s="11"/>
      <c r="R138" s="11"/>
      <c r="S138" s="11"/>
      <c r="T138" s="11"/>
      <c r="U138" s="11"/>
      <c r="V138" s="11"/>
      <c r="W138" s="11"/>
      <c r="X138" s="11"/>
      <c r="Y138" s="11"/>
      <c r="Z138" s="11"/>
    </row>
    <row r="139">
      <c r="A139" s="11"/>
      <c r="B139" s="11"/>
      <c r="C139" s="11"/>
      <c r="D139" s="11"/>
      <c r="E139" s="11"/>
      <c r="F139" s="12"/>
      <c r="G139" s="12"/>
      <c r="H139" s="12"/>
      <c r="I139" s="12"/>
      <c r="J139" s="11"/>
      <c r="K139" s="11"/>
      <c r="L139" s="11"/>
      <c r="M139" s="11"/>
      <c r="N139" s="11"/>
      <c r="O139" s="11"/>
      <c r="P139" s="11"/>
      <c r="Q139" s="11"/>
      <c r="R139" s="11"/>
      <c r="S139" s="11"/>
      <c r="T139" s="11"/>
      <c r="U139" s="11"/>
      <c r="V139" s="11"/>
      <c r="W139" s="11"/>
      <c r="X139" s="11"/>
      <c r="Y139" s="11"/>
      <c r="Z139" s="11"/>
    </row>
    <row r="140">
      <c r="A140" s="11"/>
      <c r="B140" s="11"/>
      <c r="C140" s="11"/>
      <c r="D140" s="11"/>
      <c r="E140" s="11"/>
      <c r="F140" s="12"/>
      <c r="G140" s="12"/>
      <c r="H140" s="12"/>
      <c r="I140" s="12"/>
      <c r="J140" s="11"/>
      <c r="K140" s="11"/>
      <c r="L140" s="11"/>
      <c r="M140" s="11"/>
      <c r="N140" s="11"/>
      <c r="O140" s="11"/>
      <c r="P140" s="11"/>
      <c r="Q140" s="11"/>
      <c r="R140" s="11"/>
      <c r="S140" s="11"/>
      <c r="T140" s="11"/>
      <c r="U140" s="11"/>
      <c r="V140" s="11"/>
      <c r="W140" s="11"/>
      <c r="X140" s="11"/>
      <c r="Y140" s="11"/>
      <c r="Z140" s="11"/>
    </row>
    <row r="141">
      <c r="A141" s="11"/>
      <c r="B141" s="11"/>
      <c r="C141" s="11"/>
      <c r="D141" s="11"/>
      <c r="E141" s="11"/>
      <c r="F141" s="12"/>
      <c r="G141" s="12"/>
      <c r="H141" s="12"/>
      <c r="I141" s="12"/>
      <c r="J141" s="11"/>
      <c r="K141" s="11"/>
      <c r="L141" s="11"/>
      <c r="M141" s="11"/>
      <c r="N141" s="11"/>
      <c r="O141" s="11"/>
      <c r="P141" s="11"/>
      <c r="Q141" s="11"/>
      <c r="R141" s="11"/>
      <c r="S141" s="11"/>
      <c r="T141" s="11"/>
      <c r="U141" s="11"/>
      <c r="V141" s="11"/>
      <c r="W141" s="11"/>
      <c r="X141" s="11"/>
      <c r="Y141" s="11"/>
      <c r="Z141" s="11"/>
    </row>
    <row r="142">
      <c r="A142" s="11"/>
      <c r="B142" s="11"/>
      <c r="C142" s="11"/>
      <c r="D142" s="11"/>
      <c r="E142" s="11"/>
      <c r="F142" s="12"/>
      <c r="G142" s="12"/>
      <c r="H142" s="12"/>
      <c r="I142" s="12"/>
      <c r="J142" s="11"/>
      <c r="K142" s="11"/>
      <c r="L142" s="11"/>
      <c r="M142" s="11"/>
      <c r="N142" s="11"/>
      <c r="O142" s="11"/>
      <c r="P142" s="11"/>
      <c r="Q142" s="11"/>
      <c r="R142" s="11"/>
      <c r="S142" s="11"/>
      <c r="T142" s="11"/>
      <c r="U142" s="11"/>
      <c r="V142" s="11"/>
      <c r="W142" s="11"/>
      <c r="X142" s="11"/>
      <c r="Y142" s="11"/>
      <c r="Z142" s="11"/>
    </row>
    <row r="143">
      <c r="A143" s="11"/>
      <c r="B143" s="11"/>
      <c r="C143" s="11"/>
      <c r="D143" s="11"/>
      <c r="E143" s="11"/>
      <c r="F143" s="12"/>
      <c r="G143" s="12"/>
      <c r="H143" s="12"/>
      <c r="I143" s="12"/>
      <c r="J143" s="11"/>
      <c r="K143" s="11"/>
      <c r="L143" s="11"/>
      <c r="M143" s="11"/>
      <c r="N143" s="11"/>
      <c r="O143" s="11"/>
      <c r="P143" s="11"/>
      <c r="Q143" s="11"/>
      <c r="R143" s="11"/>
      <c r="S143" s="11"/>
      <c r="T143" s="11"/>
      <c r="U143" s="11"/>
      <c r="V143" s="11"/>
      <c r="W143" s="11"/>
      <c r="X143" s="11"/>
      <c r="Y143" s="11"/>
      <c r="Z143" s="11"/>
    </row>
    <row r="144">
      <c r="A144" s="11"/>
      <c r="B144" s="11"/>
      <c r="C144" s="11"/>
      <c r="D144" s="11"/>
      <c r="E144" s="11"/>
      <c r="F144" s="12"/>
      <c r="G144" s="12"/>
      <c r="H144" s="12"/>
      <c r="I144" s="12"/>
      <c r="J144" s="11"/>
      <c r="K144" s="11"/>
      <c r="L144" s="11"/>
      <c r="M144" s="11"/>
      <c r="N144" s="11"/>
      <c r="O144" s="11"/>
      <c r="P144" s="11"/>
      <c r="Q144" s="11"/>
      <c r="R144" s="11"/>
      <c r="S144" s="11"/>
      <c r="T144" s="11"/>
      <c r="U144" s="11"/>
      <c r="V144" s="11"/>
      <c r="W144" s="11"/>
      <c r="X144" s="11"/>
      <c r="Y144" s="11"/>
      <c r="Z144" s="11"/>
    </row>
    <row r="145">
      <c r="A145" s="11"/>
      <c r="B145" s="11"/>
      <c r="C145" s="11"/>
      <c r="D145" s="11"/>
      <c r="E145" s="11"/>
      <c r="F145" s="12"/>
      <c r="G145" s="12"/>
      <c r="H145" s="12"/>
      <c r="I145" s="12"/>
      <c r="J145" s="11"/>
      <c r="K145" s="11"/>
      <c r="L145" s="11"/>
      <c r="M145" s="11"/>
      <c r="N145" s="11"/>
      <c r="O145" s="11"/>
      <c r="P145" s="11"/>
      <c r="Q145" s="11"/>
      <c r="R145" s="11"/>
      <c r="S145" s="11"/>
      <c r="T145" s="11"/>
      <c r="U145" s="11"/>
      <c r="V145" s="11"/>
      <c r="W145" s="11"/>
      <c r="X145" s="11"/>
      <c r="Y145" s="11"/>
      <c r="Z145" s="11"/>
    </row>
    <row r="146">
      <c r="A146" s="11"/>
      <c r="B146" s="11"/>
      <c r="C146" s="11"/>
      <c r="D146" s="11"/>
      <c r="E146" s="11"/>
      <c r="F146" s="12"/>
      <c r="G146" s="12"/>
      <c r="H146" s="12"/>
      <c r="I146" s="12"/>
      <c r="J146" s="11"/>
      <c r="K146" s="11"/>
      <c r="L146" s="11"/>
      <c r="M146" s="11"/>
      <c r="N146" s="11"/>
      <c r="O146" s="11"/>
      <c r="P146" s="11"/>
      <c r="Q146" s="11"/>
      <c r="R146" s="11"/>
      <c r="S146" s="11"/>
      <c r="T146" s="11"/>
      <c r="U146" s="11"/>
      <c r="V146" s="11"/>
      <c r="W146" s="11"/>
      <c r="X146" s="11"/>
      <c r="Y146" s="11"/>
      <c r="Z146" s="11"/>
    </row>
    <row r="147">
      <c r="A147" s="11"/>
      <c r="B147" s="11"/>
      <c r="C147" s="11"/>
      <c r="D147" s="11"/>
      <c r="E147" s="11"/>
      <c r="F147" s="12"/>
      <c r="G147" s="12"/>
      <c r="H147" s="12"/>
      <c r="I147" s="12"/>
      <c r="J147" s="11"/>
      <c r="K147" s="11"/>
      <c r="L147" s="11"/>
      <c r="M147" s="11"/>
      <c r="N147" s="11"/>
      <c r="O147" s="11"/>
      <c r="P147" s="11"/>
      <c r="Q147" s="11"/>
      <c r="R147" s="11"/>
      <c r="S147" s="11"/>
      <c r="T147" s="11"/>
      <c r="U147" s="11"/>
      <c r="V147" s="11"/>
      <c r="W147" s="11"/>
      <c r="X147" s="11"/>
      <c r="Y147" s="11"/>
      <c r="Z147" s="11"/>
    </row>
    <row r="148">
      <c r="A148" s="11"/>
      <c r="B148" s="11"/>
      <c r="C148" s="11"/>
      <c r="D148" s="11"/>
      <c r="E148" s="11"/>
      <c r="F148" s="12"/>
      <c r="G148" s="12"/>
      <c r="H148" s="12"/>
      <c r="I148" s="12"/>
      <c r="J148" s="11"/>
      <c r="K148" s="11"/>
      <c r="L148" s="11"/>
      <c r="M148" s="11"/>
      <c r="N148" s="11"/>
      <c r="O148" s="11"/>
      <c r="P148" s="11"/>
      <c r="Q148" s="11"/>
      <c r="R148" s="11"/>
      <c r="S148" s="11"/>
      <c r="T148" s="11"/>
      <c r="U148" s="11"/>
      <c r="V148" s="11"/>
      <c r="W148" s="11"/>
      <c r="X148" s="11"/>
      <c r="Y148" s="11"/>
      <c r="Z148" s="11"/>
    </row>
    <row r="149">
      <c r="A149" s="11"/>
      <c r="B149" s="11"/>
      <c r="C149" s="11"/>
      <c r="D149" s="11"/>
      <c r="E149" s="11"/>
      <c r="F149" s="12"/>
      <c r="G149" s="12"/>
      <c r="H149" s="12"/>
      <c r="I149" s="12"/>
      <c r="J149" s="11"/>
      <c r="K149" s="11"/>
      <c r="L149" s="11"/>
      <c r="M149" s="11"/>
      <c r="N149" s="11"/>
      <c r="O149" s="11"/>
      <c r="P149" s="11"/>
      <c r="Q149" s="11"/>
      <c r="R149" s="11"/>
      <c r="S149" s="11"/>
      <c r="T149" s="11"/>
      <c r="U149" s="11"/>
      <c r="V149" s="11"/>
      <c r="W149" s="11"/>
      <c r="X149" s="11"/>
      <c r="Y149" s="11"/>
      <c r="Z149" s="11"/>
    </row>
    <row r="150">
      <c r="A150" s="11"/>
      <c r="B150" s="11"/>
      <c r="C150" s="11"/>
      <c r="D150" s="11"/>
      <c r="E150" s="11"/>
      <c r="F150" s="12"/>
      <c r="G150" s="12"/>
      <c r="H150" s="12"/>
      <c r="I150" s="12"/>
      <c r="J150" s="11"/>
      <c r="K150" s="11"/>
      <c r="L150" s="11"/>
      <c r="M150" s="11"/>
      <c r="N150" s="11"/>
      <c r="O150" s="11"/>
      <c r="P150" s="11"/>
      <c r="Q150" s="11"/>
      <c r="R150" s="11"/>
      <c r="S150" s="11"/>
      <c r="T150" s="11"/>
      <c r="U150" s="11"/>
      <c r="V150" s="11"/>
      <c r="W150" s="11"/>
      <c r="X150" s="11"/>
      <c r="Y150" s="11"/>
      <c r="Z150" s="11"/>
    </row>
    <row r="151">
      <c r="A151" s="11"/>
      <c r="B151" s="11"/>
      <c r="C151" s="11"/>
      <c r="D151" s="11"/>
      <c r="E151" s="11"/>
      <c r="F151" s="12"/>
      <c r="G151" s="12"/>
      <c r="H151" s="12"/>
      <c r="I151" s="12"/>
      <c r="J151" s="11"/>
      <c r="K151" s="11"/>
      <c r="L151" s="11"/>
      <c r="M151" s="11"/>
      <c r="N151" s="11"/>
      <c r="O151" s="11"/>
      <c r="P151" s="11"/>
      <c r="Q151" s="11"/>
      <c r="R151" s="11"/>
      <c r="S151" s="11"/>
      <c r="T151" s="11"/>
      <c r="U151" s="11"/>
      <c r="V151" s="11"/>
      <c r="W151" s="11"/>
      <c r="X151" s="11"/>
      <c r="Y151" s="11"/>
      <c r="Z151" s="11"/>
    </row>
    <row r="152">
      <c r="A152" s="11"/>
      <c r="B152" s="11"/>
      <c r="C152" s="11"/>
      <c r="D152" s="11"/>
      <c r="E152" s="11"/>
      <c r="F152" s="12"/>
      <c r="G152" s="12"/>
      <c r="H152" s="12"/>
      <c r="I152" s="12"/>
      <c r="J152" s="11"/>
      <c r="K152" s="11"/>
      <c r="L152" s="11"/>
      <c r="M152" s="11"/>
      <c r="N152" s="11"/>
      <c r="O152" s="11"/>
      <c r="P152" s="11"/>
      <c r="Q152" s="11"/>
      <c r="R152" s="11"/>
      <c r="S152" s="11"/>
      <c r="T152" s="11"/>
      <c r="U152" s="11"/>
      <c r="V152" s="11"/>
      <c r="W152" s="11"/>
      <c r="X152" s="11"/>
      <c r="Y152" s="11"/>
      <c r="Z152" s="11"/>
    </row>
    <row r="153">
      <c r="A153" s="11"/>
      <c r="B153" s="11"/>
      <c r="C153" s="11"/>
      <c r="D153" s="11"/>
      <c r="E153" s="11"/>
      <c r="F153" s="12"/>
      <c r="G153" s="12"/>
      <c r="H153" s="12"/>
      <c r="I153" s="12"/>
      <c r="J153" s="11"/>
      <c r="K153" s="11"/>
      <c r="L153" s="11"/>
      <c r="M153" s="11"/>
      <c r="N153" s="11"/>
      <c r="O153" s="11"/>
      <c r="P153" s="11"/>
      <c r="Q153" s="11"/>
      <c r="R153" s="11"/>
      <c r="S153" s="11"/>
      <c r="T153" s="11"/>
      <c r="U153" s="11"/>
      <c r="V153" s="11"/>
      <c r="W153" s="11"/>
      <c r="X153" s="11"/>
      <c r="Y153" s="11"/>
      <c r="Z153" s="11"/>
    </row>
    <row r="154">
      <c r="A154" s="11"/>
      <c r="B154" s="11"/>
      <c r="C154" s="11"/>
      <c r="D154" s="11"/>
      <c r="E154" s="11"/>
      <c r="F154" s="12"/>
      <c r="G154" s="12"/>
      <c r="H154" s="12"/>
      <c r="I154" s="12"/>
      <c r="J154" s="11"/>
      <c r="K154" s="11"/>
      <c r="L154" s="11"/>
      <c r="M154" s="11"/>
      <c r="N154" s="11"/>
      <c r="O154" s="11"/>
      <c r="P154" s="11"/>
      <c r="Q154" s="11"/>
      <c r="R154" s="11"/>
      <c r="S154" s="11"/>
      <c r="T154" s="11"/>
      <c r="U154" s="11"/>
      <c r="V154" s="11"/>
      <c r="W154" s="11"/>
      <c r="X154" s="11"/>
      <c r="Y154" s="11"/>
      <c r="Z154" s="11"/>
    </row>
    <row r="155">
      <c r="A155" s="11"/>
      <c r="B155" s="11"/>
      <c r="C155" s="11"/>
      <c r="D155" s="11"/>
      <c r="E155" s="11"/>
      <c r="F155" s="12"/>
      <c r="G155" s="12"/>
      <c r="H155" s="12"/>
      <c r="I155" s="12"/>
      <c r="J155" s="11"/>
      <c r="K155" s="11"/>
      <c r="L155" s="11"/>
      <c r="M155" s="11"/>
      <c r="N155" s="11"/>
      <c r="O155" s="11"/>
      <c r="P155" s="11"/>
      <c r="Q155" s="11"/>
      <c r="R155" s="11"/>
      <c r="S155" s="11"/>
      <c r="T155" s="11"/>
      <c r="U155" s="11"/>
      <c r="V155" s="11"/>
      <c r="W155" s="11"/>
      <c r="X155" s="11"/>
      <c r="Y155" s="11"/>
      <c r="Z155" s="11"/>
    </row>
    <row r="156">
      <c r="A156" s="11"/>
      <c r="B156" s="11"/>
      <c r="C156" s="11"/>
      <c r="D156" s="11"/>
      <c r="E156" s="11"/>
      <c r="F156" s="12"/>
      <c r="G156" s="12"/>
      <c r="H156" s="12"/>
      <c r="I156" s="12"/>
      <c r="J156" s="11"/>
      <c r="K156" s="11"/>
      <c r="L156" s="11"/>
      <c r="M156" s="11"/>
      <c r="N156" s="11"/>
      <c r="O156" s="11"/>
      <c r="P156" s="11"/>
      <c r="Q156" s="11"/>
      <c r="R156" s="11"/>
      <c r="S156" s="11"/>
      <c r="T156" s="11"/>
      <c r="U156" s="11"/>
      <c r="V156" s="11"/>
      <c r="W156" s="11"/>
      <c r="X156" s="11"/>
      <c r="Y156" s="11"/>
      <c r="Z156" s="11"/>
    </row>
    <row r="157">
      <c r="A157" s="11"/>
      <c r="B157" s="11"/>
      <c r="C157" s="11"/>
      <c r="D157" s="11"/>
      <c r="E157" s="11"/>
      <c r="F157" s="12"/>
      <c r="G157" s="12"/>
      <c r="H157" s="12"/>
      <c r="I157" s="12"/>
      <c r="J157" s="11"/>
      <c r="K157" s="11"/>
      <c r="L157" s="11"/>
      <c r="M157" s="11"/>
      <c r="N157" s="11"/>
      <c r="O157" s="11"/>
      <c r="P157" s="11"/>
      <c r="Q157" s="11"/>
      <c r="R157" s="11"/>
      <c r="S157" s="11"/>
      <c r="T157" s="11"/>
      <c r="U157" s="11"/>
      <c r="V157" s="11"/>
      <c r="W157" s="11"/>
      <c r="X157" s="11"/>
      <c r="Y157" s="11"/>
      <c r="Z157" s="11"/>
    </row>
    <row r="158">
      <c r="A158" s="11"/>
      <c r="B158" s="11"/>
      <c r="C158" s="11"/>
      <c r="D158" s="11"/>
      <c r="E158" s="11"/>
      <c r="F158" s="12"/>
      <c r="G158" s="12"/>
      <c r="H158" s="12"/>
      <c r="I158" s="12"/>
      <c r="J158" s="11"/>
      <c r="K158" s="11"/>
      <c r="L158" s="11"/>
      <c r="M158" s="11"/>
      <c r="N158" s="11"/>
      <c r="O158" s="11"/>
      <c r="P158" s="11"/>
      <c r="Q158" s="11"/>
      <c r="R158" s="11"/>
      <c r="S158" s="11"/>
      <c r="T158" s="11"/>
      <c r="U158" s="11"/>
      <c r="V158" s="11"/>
      <c r="W158" s="11"/>
      <c r="X158" s="11"/>
      <c r="Y158" s="11"/>
      <c r="Z158" s="11"/>
    </row>
    <row r="159">
      <c r="A159" s="11"/>
      <c r="B159" s="11"/>
      <c r="C159" s="11"/>
      <c r="D159" s="11"/>
      <c r="E159" s="11"/>
      <c r="F159" s="12"/>
      <c r="G159" s="12"/>
      <c r="H159" s="12"/>
      <c r="I159" s="12"/>
      <c r="J159" s="11"/>
      <c r="K159" s="11"/>
      <c r="L159" s="11"/>
      <c r="M159" s="11"/>
      <c r="N159" s="11"/>
      <c r="O159" s="11"/>
      <c r="P159" s="11"/>
      <c r="Q159" s="11"/>
      <c r="R159" s="11"/>
      <c r="S159" s="11"/>
      <c r="T159" s="11"/>
      <c r="U159" s="11"/>
      <c r="V159" s="11"/>
      <c r="W159" s="11"/>
      <c r="X159" s="11"/>
      <c r="Y159" s="11"/>
      <c r="Z159" s="11"/>
    </row>
    <row r="160">
      <c r="A160" s="11"/>
      <c r="B160" s="11"/>
      <c r="C160" s="11"/>
      <c r="D160" s="11"/>
      <c r="E160" s="11"/>
      <c r="F160" s="12"/>
      <c r="G160" s="12"/>
      <c r="H160" s="12"/>
      <c r="I160" s="12"/>
      <c r="J160" s="11"/>
      <c r="K160" s="11"/>
      <c r="L160" s="11"/>
      <c r="M160" s="11"/>
      <c r="N160" s="11"/>
      <c r="O160" s="11"/>
      <c r="P160" s="11"/>
      <c r="Q160" s="11"/>
      <c r="R160" s="11"/>
      <c r="S160" s="11"/>
      <c r="T160" s="11"/>
      <c r="U160" s="11"/>
      <c r="V160" s="11"/>
      <c r="W160" s="11"/>
      <c r="X160" s="11"/>
      <c r="Y160" s="11"/>
      <c r="Z160" s="11"/>
    </row>
    <row r="161">
      <c r="A161" s="11"/>
      <c r="B161" s="11"/>
      <c r="C161" s="11"/>
      <c r="D161" s="11"/>
      <c r="E161" s="11"/>
      <c r="F161" s="12"/>
      <c r="G161" s="12"/>
      <c r="H161" s="12"/>
      <c r="I161" s="12"/>
      <c r="J161" s="11"/>
      <c r="K161" s="11"/>
      <c r="L161" s="11"/>
      <c r="M161" s="11"/>
      <c r="N161" s="11"/>
      <c r="O161" s="11"/>
      <c r="P161" s="11"/>
      <c r="Q161" s="11"/>
      <c r="R161" s="11"/>
      <c r="S161" s="11"/>
      <c r="T161" s="11"/>
      <c r="U161" s="11"/>
      <c r="V161" s="11"/>
      <c r="W161" s="11"/>
      <c r="X161" s="11"/>
      <c r="Y161" s="11"/>
      <c r="Z161" s="11"/>
    </row>
    <row r="162">
      <c r="A162" s="11"/>
      <c r="B162" s="11"/>
      <c r="C162" s="11"/>
      <c r="D162" s="11"/>
      <c r="E162" s="11"/>
      <c r="F162" s="12"/>
      <c r="G162" s="12"/>
      <c r="H162" s="12"/>
      <c r="I162" s="12"/>
      <c r="J162" s="11"/>
      <c r="K162" s="11"/>
      <c r="L162" s="11"/>
      <c r="M162" s="11"/>
      <c r="N162" s="11"/>
      <c r="O162" s="11"/>
      <c r="P162" s="11"/>
      <c r="Q162" s="11"/>
      <c r="R162" s="11"/>
      <c r="S162" s="11"/>
      <c r="T162" s="11"/>
      <c r="U162" s="11"/>
      <c r="V162" s="11"/>
      <c r="W162" s="11"/>
      <c r="X162" s="11"/>
      <c r="Y162" s="11"/>
      <c r="Z162" s="11"/>
    </row>
    <row r="163">
      <c r="A163" s="11"/>
      <c r="B163" s="11"/>
      <c r="C163" s="11"/>
      <c r="D163" s="11"/>
      <c r="E163" s="11"/>
      <c r="F163" s="12"/>
      <c r="G163" s="12"/>
      <c r="H163" s="12"/>
      <c r="I163" s="12"/>
      <c r="J163" s="11"/>
      <c r="K163" s="11"/>
      <c r="L163" s="11"/>
      <c r="M163" s="11"/>
      <c r="N163" s="11"/>
      <c r="O163" s="11"/>
      <c r="P163" s="11"/>
      <c r="Q163" s="11"/>
      <c r="R163" s="11"/>
      <c r="S163" s="11"/>
      <c r="T163" s="11"/>
      <c r="U163" s="11"/>
      <c r="V163" s="11"/>
      <c r="W163" s="11"/>
      <c r="X163" s="11"/>
      <c r="Y163" s="11"/>
      <c r="Z163" s="11"/>
    </row>
    <row r="164">
      <c r="A164" s="11"/>
      <c r="B164" s="11"/>
      <c r="C164" s="11"/>
      <c r="D164" s="11"/>
      <c r="E164" s="11"/>
      <c r="F164" s="12"/>
      <c r="G164" s="12"/>
      <c r="H164" s="12"/>
      <c r="I164" s="12"/>
      <c r="J164" s="11"/>
      <c r="K164" s="11"/>
      <c r="L164" s="11"/>
      <c r="M164" s="11"/>
      <c r="N164" s="11"/>
      <c r="O164" s="11"/>
      <c r="P164" s="11"/>
      <c r="Q164" s="11"/>
      <c r="R164" s="11"/>
      <c r="S164" s="11"/>
      <c r="T164" s="11"/>
      <c r="U164" s="11"/>
      <c r="V164" s="11"/>
      <c r="W164" s="11"/>
      <c r="X164" s="11"/>
      <c r="Y164" s="11"/>
      <c r="Z164" s="11"/>
    </row>
    <row r="165">
      <c r="A165" s="11"/>
      <c r="B165" s="11"/>
      <c r="C165" s="11"/>
      <c r="D165" s="11"/>
      <c r="E165" s="11"/>
      <c r="F165" s="12"/>
      <c r="G165" s="12"/>
      <c r="H165" s="12"/>
      <c r="I165" s="12"/>
      <c r="J165" s="11"/>
      <c r="K165" s="11"/>
      <c r="L165" s="11"/>
      <c r="M165" s="11"/>
      <c r="N165" s="11"/>
      <c r="O165" s="11"/>
      <c r="P165" s="11"/>
      <c r="Q165" s="11"/>
      <c r="R165" s="11"/>
      <c r="S165" s="11"/>
      <c r="T165" s="11"/>
      <c r="U165" s="11"/>
      <c r="V165" s="11"/>
      <c r="W165" s="11"/>
      <c r="X165" s="11"/>
      <c r="Y165" s="11"/>
      <c r="Z165" s="11"/>
    </row>
    <row r="166">
      <c r="A166" s="11"/>
      <c r="B166" s="11"/>
      <c r="C166" s="11"/>
      <c r="D166" s="11"/>
      <c r="E166" s="11"/>
      <c r="F166" s="12"/>
      <c r="G166" s="12"/>
      <c r="H166" s="12"/>
      <c r="I166" s="12"/>
      <c r="J166" s="11"/>
      <c r="K166" s="11"/>
      <c r="L166" s="11"/>
      <c r="M166" s="11"/>
      <c r="N166" s="11"/>
      <c r="O166" s="11"/>
      <c r="P166" s="11"/>
      <c r="Q166" s="11"/>
      <c r="R166" s="11"/>
      <c r="S166" s="11"/>
      <c r="T166" s="11"/>
      <c r="U166" s="11"/>
      <c r="V166" s="11"/>
      <c r="W166" s="11"/>
      <c r="X166" s="11"/>
      <c r="Y166" s="11"/>
      <c r="Z166" s="11"/>
    </row>
    <row r="167">
      <c r="A167" s="11"/>
      <c r="B167" s="11"/>
      <c r="C167" s="11"/>
      <c r="D167" s="11"/>
      <c r="E167" s="11"/>
      <c r="F167" s="12"/>
      <c r="G167" s="12"/>
      <c r="H167" s="12"/>
      <c r="I167" s="12"/>
      <c r="J167" s="11"/>
      <c r="K167" s="11"/>
      <c r="L167" s="11"/>
      <c r="M167" s="11"/>
      <c r="N167" s="11"/>
      <c r="O167" s="11"/>
      <c r="P167" s="11"/>
      <c r="Q167" s="11"/>
      <c r="R167" s="11"/>
      <c r="S167" s="11"/>
      <c r="T167" s="11"/>
      <c r="U167" s="11"/>
      <c r="V167" s="11"/>
      <c r="W167" s="11"/>
      <c r="X167" s="11"/>
      <c r="Y167" s="11"/>
      <c r="Z167" s="11"/>
    </row>
    <row r="168">
      <c r="A168" s="11"/>
      <c r="B168" s="11"/>
      <c r="C168" s="11"/>
      <c r="D168" s="11"/>
      <c r="E168" s="11"/>
      <c r="F168" s="12"/>
      <c r="G168" s="12"/>
      <c r="H168" s="12"/>
      <c r="I168" s="12"/>
      <c r="J168" s="11"/>
      <c r="K168" s="11"/>
      <c r="L168" s="11"/>
      <c r="M168" s="11"/>
      <c r="N168" s="11"/>
      <c r="O168" s="11"/>
      <c r="P168" s="11"/>
      <c r="Q168" s="11"/>
      <c r="R168" s="11"/>
      <c r="S168" s="11"/>
      <c r="T168" s="11"/>
      <c r="U168" s="11"/>
      <c r="V168" s="11"/>
      <c r="W168" s="11"/>
      <c r="X168" s="11"/>
      <c r="Y168" s="11"/>
      <c r="Z168" s="11"/>
    </row>
    <row r="169">
      <c r="A169" s="11"/>
      <c r="B169" s="11"/>
      <c r="C169" s="11"/>
      <c r="D169" s="11"/>
      <c r="E169" s="11"/>
      <c r="F169" s="12"/>
      <c r="G169" s="12"/>
      <c r="H169" s="12"/>
      <c r="I169" s="12"/>
      <c r="J169" s="11"/>
      <c r="K169" s="11"/>
      <c r="L169" s="11"/>
      <c r="M169" s="11"/>
      <c r="N169" s="11"/>
      <c r="O169" s="11"/>
      <c r="P169" s="11"/>
      <c r="Q169" s="11"/>
      <c r="R169" s="11"/>
      <c r="S169" s="11"/>
      <c r="T169" s="11"/>
      <c r="U169" s="11"/>
      <c r="V169" s="11"/>
      <c r="W169" s="11"/>
      <c r="X169" s="11"/>
      <c r="Y169" s="11"/>
      <c r="Z169" s="11"/>
    </row>
    <row r="170">
      <c r="A170" s="11"/>
      <c r="B170" s="11"/>
      <c r="C170" s="11"/>
      <c r="D170" s="11"/>
      <c r="E170" s="11"/>
      <c r="F170" s="12"/>
      <c r="G170" s="12"/>
      <c r="H170" s="12"/>
      <c r="I170" s="12"/>
      <c r="J170" s="11"/>
      <c r="K170" s="11"/>
      <c r="L170" s="11"/>
      <c r="M170" s="11"/>
      <c r="N170" s="11"/>
      <c r="O170" s="11"/>
      <c r="P170" s="11"/>
      <c r="Q170" s="11"/>
      <c r="R170" s="11"/>
      <c r="S170" s="11"/>
      <c r="T170" s="11"/>
      <c r="U170" s="11"/>
      <c r="V170" s="11"/>
      <c r="W170" s="11"/>
      <c r="X170" s="11"/>
      <c r="Y170" s="11"/>
      <c r="Z170" s="11"/>
    </row>
    <row r="171">
      <c r="A171" s="11"/>
      <c r="B171" s="11"/>
      <c r="C171" s="11"/>
      <c r="D171" s="11"/>
      <c r="E171" s="11"/>
      <c r="F171" s="12"/>
      <c r="G171" s="12"/>
      <c r="H171" s="12"/>
      <c r="I171" s="12"/>
      <c r="J171" s="11"/>
      <c r="K171" s="11"/>
      <c r="L171" s="11"/>
      <c r="M171" s="11"/>
      <c r="N171" s="11"/>
      <c r="O171" s="11"/>
      <c r="P171" s="11"/>
      <c r="Q171" s="11"/>
      <c r="R171" s="11"/>
      <c r="S171" s="11"/>
      <c r="T171" s="11"/>
      <c r="U171" s="11"/>
      <c r="V171" s="11"/>
      <c r="W171" s="11"/>
      <c r="X171" s="11"/>
      <c r="Y171" s="11"/>
      <c r="Z171" s="11"/>
    </row>
    <row r="172">
      <c r="A172" s="11"/>
      <c r="B172" s="11"/>
      <c r="C172" s="11"/>
      <c r="D172" s="11"/>
      <c r="E172" s="11"/>
      <c r="F172" s="12"/>
      <c r="G172" s="12"/>
      <c r="H172" s="12"/>
      <c r="I172" s="12"/>
      <c r="J172" s="11"/>
      <c r="K172" s="11"/>
      <c r="L172" s="11"/>
      <c r="M172" s="11"/>
      <c r="N172" s="11"/>
      <c r="O172" s="11"/>
      <c r="P172" s="11"/>
      <c r="Q172" s="11"/>
      <c r="R172" s="11"/>
      <c r="S172" s="11"/>
      <c r="T172" s="11"/>
      <c r="U172" s="11"/>
      <c r="V172" s="11"/>
      <c r="W172" s="11"/>
      <c r="X172" s="11"/>
      <c r="Y172" s="11"/>
      <c r="Z172" s="11"/>
    </row>
    <row r="173">
      <c r="A173" s="11"/>
      <c r="B173" s="11"/>
      <c r="C173" s="11"/>
      <c r="D173" s="11"/>
      <c r="E173" s="11"/>
      <c r="F173" s="12"/>
      <c r="G173" s="12"/>
      <c r="H173" s="12"/>
      <c r="I173" s="12"/>
      <c r="J173" s="11"/>
      <c r="K173" s="11"/>
      <c r="L173" s="11"/>
      <c r="M173" s="11"/>
      <c r="N173" s="11"/>
      <c r="O173" s="11"/>
      <c r="P173" s="11"/>
      <c r="Q173" s="11"/>
      <c r="R173" s="11"/>
      <c r="S173" s="11"/>
      <c r="T173" s="11"/>
      <c r="U173" s="11"/>
      <c r="V173" s="11"/>
      <c r="W173" s="11"/>
      <c r="X173" s="11"/>
      <c r="Y173" s="11"/>
      <c r="Z173" s="11"/>
    </row>
    <row r="174">
      <c r="A174" s="11"/>
      <c r="B174" s="11"/>
      <c r="C174" s="11"/>
      <c r="D174" s="11"/>
      <c r="E174" s="11"/>
      <c r="F174" s="12"/>
      <c r="G174" s="12"/>
      <c r="H174" s="12"/>
      <c r="I174" s="12"/>
      <c r="J174" s="11"/>
      <c r="K174" s="11"/>
      <c r="L174" s="11"/>
      <c r="M174" s="11"/>
      <c r="N174" s="11"/>
      <c r="O174" s="11"/>
      <c r="P174" s="11"/>
      <c r="Q174" s="11"/>
      <c r="R174" s="11"/>
      <c r="S174" s="11"/>
      <c r="T174" s="11"/>
      <c r="U174" s="11"/>
      <c r="V174" s="11"/>
      <c r="W174" s="11"/>
      <c r="X174" s="11"/>
      <c r="Y174" s="11"/>
      <c r="Z174" s="11"/>
    </row>
    <row r="175">
      <c r="A175" s="11"/>
      <c r="B175" s="11"/>
      <c r="C175" s="11"/>
      <c r="D175" s="11"/>
      <c r="E175" s="11"/>
      <c r="F175" s="12"/>
      <c r="G175" s="12"/>
      <c r="H175" s="12"/>
      <c r="I175" s="12"/>
      <c r="J175" s="11"/>
      <c r="K175" s="11"/>
      <c r="L175" s="11"/>
      <c r="M175" s="11"/>
      <c r="N175" s="11"/>
      <c r="O175" s="11"/>
      <c r="P175" s="11"/>
      <c r="Q175" s="11"/>
      <c r="R175" s="11"/>
      <c r="S175" s="11"/>
      <c r="T175" s="11"/>
      <c r="U175" s="11"/>
      <c r="V175" s="11"/>
      <c r="W175" s="11"/>
      <c r="X175" s="11"/>
      <c r="Y175" s="11"/>
      <c r="Z175" s="11"/>
    </row>
    <row r="176">
      <c r="A176" s="11"/>
      <c r="B176" s="11"/>
      <c r="C176" s="11"/>
      <c r="D176" s="11"/>
      <c r="E176" s="11"/>
      <c r="F176" s="12"/>
      <c r="G176" s="12"/>
      <c r="H176" s="12"/>
      <c r="I176" s="12"/>
      <c r="J176" s="11"/>
      <c r="K176" s="11"/>
      <c r="L176" s="11"/>
      <c r="M176" s="11"/>
      <c r="N176" s="11"/>
      <c r="O176" s="11"/>
      <c r="P176" s="11"/>
      <c r="Q176" s="11"/>
      <c r="R176" s="11"/>
      <c r="S176" s="11"/>
      <c r="T176" s="11"/>
      <c r="U176" s="11"/>
      <c r="V176" s="11"/>
      <c r="W176" s="11"/>
      <c r="X176" s="11"/>
      <c r="Y176" s="11"/>
      <c r="Z176" s="11"/>
    </row>
    <row r="177">
      <c r="A177" s="11"/>
      <c r="B177" s="11"/>
      <c r="C177" s="11"/>
      <c r="D177" s="11"/>
      <c r="E177" s="11"/>
      <c r="F177" s="12"/>
      <c r="G177" s="12"/>
      <c r="H177" s="12"/>
      <c r="I177" s="12"/>
      <c r="J177" s="11"/>
      <c r="K177" s="11"/>
      <c r="L177" s="11"/>
      <c r="M177" s="11"/>
      <c r="N177" s="11"/>
      <c r="O177" s="11"/>
      <c r="P177" s="11"/>
      <c r="Q177" s="11"/>
      <c r="R177" s="11"/>
      <c r="S177" s="11"/>
      <c r="T177" s="11"/>
      <c r="U177" s="11"/>
      <c r="V177" s="11"/>
      <c r="W177" s="11"/>
      <c r="X177" s="11"/>
      <c r="Y177" s="11"/>
      <c r="Z177" s="11"/>
    </row>
    <row r="178">
      <c r="A178" s="11"/>
      <c r="B178" s="11"/>
      <c r="C178" s="11"/>
      <c r="D178" s="11"/>
      <c r="E178" s="11"/>
      <c r="F178" s="12"/>
      <c r="G178" s="12"/>
      <c r="H178" s="12"/>
      <c r="I178" s="12"/>
      <c r="J178" s="11"/>
      <c r="K178" s="11"/>
      <c r="L178" s="11"/>
      <c r="M178" s="11"/>
      <c r="N178" s="11"/>
      <c r="O178" s="11"/>
      <c r="P178" s="11"/>
      <c r="Q178" s="11"/>
      <c r="R178" s="11"/>
      <c r="S178" s="11"/>
      <c r="T178" s="11"/>
      <c r="U178" s="11"/>
      <c r="V178" s="11"/>
      <c r="W178" s="11"/>
      <c r="X178" s="11"/>
      <c r="Y178" s="11"/>
      <c r="Z178" s="11"/>
    </row>
    <row r="179">
      <c r="A179" s="11"/>
      <c r="B179" s="11"/>
      <c r="C179" s="11"/>
      <c r="D179" s="11"/>
      <c r="E179" s="11"/>
      <c r="F179" s="12"/>
      <c r="G179" s="12"/>
      <c r="H179" s="12"/>
      <c r="I179" s="12"/>
      <c r="J179" s="11"/>
      <c r="K179" s="11"/>
      <c r="L179" s="11"/>
      <c r="M179" s="11"/>
      <c r="N179" s="11"/>
      <c r="O179" s="11"/>
      <c r="P179" s="11"/>
      <c r="Q179" s="11"/>
      <c r="R179" s="11"/>
      <c r="S179" s="11"/>
      <c r="T179" s="11"/>
      <c r="U179" s="11"/>
      <c r="V179" s="11"/>
      <c r="W179" s="11"/>
      <c r="X179" s="11"/>
      <c r="Y179" s="11"/>
      <c r="Z179" s="11"/>
    </row>
    <row r="180">
      <c r="A180" s="11"/>
      <c r="B180" s="11"/>
      <c r="C180" s="11"/>
      <c r="D180" s="11"/>
      <c r="E180" s="11"/>
      <c r="F180" s="12"/>
      <c r="G180" s="12"/>
      <c r="H180" s="12"/>
      <c r="I180" s="12"/>
      <c r="J180" s="11"/>
      <c r="K180" s="11"/>
      <c r="L180" s="11"/>
      <c r="M180" s="11"/>
      <c r="N180" s="11"/>
      <c r="O180" s="11"/>
      <c r="P180" s="11"/>
      <c r="Q180" s="11"/>
      <c r="R180" s="11"/>
      <c r="S180" s="11"/>
      <c r="T180" s="11"/>
      <c r="U180" s="11"/>
      <c r="V180" s="11"/>
      <c r="W180" s="11"/>
      <c r="X180" s="11"/>
      <c r="Y180" s="11"/>
      <c r="Z180" s="11"/>
    </row>
    <row r="181">
      <c r="A181" s="11"/>
      <c r="B181" s="11"/>
      <c r="C181" s="11"/>
      <c r="D181" s="11"/>
      <c r="E181" s="11"/>
      <c r="F181" s="12"/>
      <c r="G181" s="12"/>
      <c r="H181" s="12"/>
      <c r="I181" s="12"/>
      <c r="J181" s="11"/>
      <c r="K181" s="11"/>
      <c r="L181" s="11"/>
      <c r="M181" s="11"/>
      <c r="N181" s="11"/>
      <c r="O181" s="11"/>
      <c r="P181" s="11"/>
      <c r="Q181" s="11"/>
      <c r="R181" s="11"/>
      <c r="S181" s="11"/>
      <c r="T181" s="11"/>
      <c r="U181" s="11"/>
      <c r="V181" s="11"/>
      <c r="W181" s="11"/>
      <c r="X181" s="11"/>
      <c r="Y181" s="11"/>
      <c r="Z181" s="11"/>
    </row>
    <row r="182">
      <c r="A182" s="11"/>
      <c r="B182" s="11"/>
      <c r="C182" s="11"/>
      <c r="D182" s="11"/>
      <c r="E182" s="11"/>
      <c r="F182" s="12"/>
      <c r="G182" s="12"/>
      <c r="H182" s="12"/>
      <c r="I182" s="12"/>
      <c r="J182" s="11"/>
      <c r="K182" s="11"/>
      <c r="L182" s="11"/>
      <c r="M182" s="11"/>
      <c r="N182" s="11"/>
      <c r="O182" s="11"/>
      <c r="P182" s="11"/>
      <c r="Q182" s="11"/>
      <c r="R182" s="11"/>
      <c r="S182" s="11"/>
      <c r="T182" s="11"/>
      <c r="U182" s="11"/>
      <c r="V182" s="11"/>
      <c r="W182" s="11"/>
      <c r="X182" s="11"/>
      <c r="Y182" s="11"/>
      <c r="Z182" s="11"/>
    </row>
    <row r="183">
      <c r="A183" s="11"/>
      <c r="B183" s="11"/>
      <c r="C183" s="11"/>
      <c r="D183" s="11"/>
      <c r="E183" s="11"/>
      <c r="F183" s="12"/>
      <c r="G183" s="12"/>
      <c r="H183" s="12"/>
      <c r="I183" s="12"/>
      <c r="J183" s="11"/>
      <c r="K183" s="11"/>
      <c r="L183" s="11"/>
      <c r="M183" s="11"/>
      <c r="N183" s="11"/>
      <c r="O183" s="11"/>
      <c r="P183" s="11"/>
      <c r="Q183" s="11"/>
      <c r="R183" s="11"/>
      <c r="S183" s="11"/>
      <c r="T183" s="11"/>
      <c r="U183" s="11"/>
      <c r="V183" s="11"/>
      <c r="W183" s="11"/>
      <c r="X183" s="11"/>
      <c r="Y183" s="11"/>
      <c r="Z183" s="11"/>
    </row>
    <row r="184">
      <c r="A184" s="11"/>
      <c r="B184" s="11"/>
      <c r="C184" s="11"/>
      <c r="D184" s="11"/>
      <c r="E184" s="11"/>
      <c r="F184" s="12"/>
      <c r="G184" s="12"/>
      <c r="H184" s="12"/>
      <c r="I184" s="12"/>
      <c r="J184" s="11"/>
      <c r="K184" s="11"/>
      <c r="L184" s="11"/>
      <c r="M184" s="11"/>
      <c r="N184" s="11"/>
      <c r="O184" s="11"/>
      <c r="P184" s="11"/>
      <c r="Q184" s="11"/>
      <c r="R184" s="11"/>
      <c r="S184" s="11"/>
      <c r="T184" s="11"/>
      <c r="U184" s="11"/>
      <c r="V184" s="11"/>
      <c r="W184" s="11"/>
      <c r="X184" s="11"/>
      <c r="Y184" s="11"/>
      <c r="Z184" s="11"/>
    </row>
    <row r="185">
      <c r="A185" s="11"/>
      <c r="B185" s="11"/>
      <c r="C185" s="11"/>
      <c r="D185" s="11"/>
      <c r="E185" s="11"/>
      <c r="F185" s="12"/>
      <c r="G185" s="12"/>
      <c r="H185" s="12"/>
      <c r="I185" s="12"/>
      <c r="J185" s="11"/>
      <c r="K185" s="11"/>
      <c r="L185" s="11"/>
      <c r="M185" s="11"/>
      <c r="N185" s="11"/>
      <c r="O185" s="11"/>
      <c r="P185" s="11"/>
      <c r="Q185" s="11"/>
      <c r="R185" s="11"/>
      <c r="S185" s="11"/>
      <c r="T185" s="11"/>
      <c r="U185" s="11"/>
      <c r="V185" s="11"/>
      <c r="W185" s="11"/>
      <c r="X185" s="11"/>
      <c r="Y185" s="11"/>
      <c r="Z185" s="11"/>
    </row>
    <row r="186">
      <c r="A186" s="11"/>
      <c r="B186" s="11"/>
      <c r="C186" s="11"/>
      <c r="D186" s="11"/>
      <c r="E186" s="11"/>
      <c r="F186" s="12"/>
      <c r="G186" s="12"/>
      <c r="H186" s="12"/>
      <c r="I186" s="12"/>
      <c r="J186" s="11"/>
      <c r="K186" s="11"/>
      <c r="L186" s="11"/>
      <c r="M186" s="11"/>
      <c r="N186" s="11"/>
      <c r="O186" s="11"/>
      <c r="P186" s="11"/>
      <c r="Q186" s="11"/>
      <c r="R186" s="11"/>
      <c r="S186" s="11"/>
      <c r="T186" s="11"/>
      <c r="U186" s="11"/>
      <c r="V186" s="11"/>
      <c r="W186" s="11"/>
      <c r="X186" s="11"/>
      <c r="Y186" s="11"/>
      <c r="Z186" s="11"/>
    </row>
    <row r="187">
      <c r="A187" s="11"/>
      <c r="B187" s="11"/>
      <c r="C187" s="11"/>
      <c r="D187" s="11"/>
      <c r="E187" s="11"/>
      <c r="F187" s="12"/>
      <c r="G187" s="12"/>
      <c r="H187" s="12"/>
      <c r="I187" s="12"/>
      <c r="J187" s="11"/>
      <c r="K187" s="11"/>
      <c r="L187" s="11"/>
      <c r="M187" s="11"/>
      <c r="N187" s="11"/>
      <c r="O187" s="11"/>
      <c r="P187" s="11"/>
      <c r="Q187" s="11"/>
      <c r="R187" s="11"/>
      <c r="S187" s="11"/>
      <c r="T187" s="11"/>
      <c r="U187" s="11"/>
      <c r="V187" s="11"/>
      <c r="W187" s="11"/>
      <c r="X187" s="11"/>
      <c r="Y187" s="11"/>
      <c r="Z187" s="11"/>
    </row>
    <row r="188">
      <c r="A188" s="11"/>
      <c r="B188" s="11"/>
      <c r="C188" s="11"/>
      <c r="D188" s="11"/>
      <c r="E188" s="11"/>
      <c r="F188" s="12"/>
      <c r="G188" s="12"/>
      <c r="H188" s="12"/>
      <c r="I188" s="12"/>
      <c r="J188" s="11"/>
      <c r="K188" s="11"/>
      <c r="L188" s="11"/>
      <c r="M188" s="11"/>
      <c r="N188" s="11"/>
      <c r="O188" s="11"/>
      <c r="P188" s="11"/>
      <c r="Q188" s="11"/>
      <c r="R188" s="11"/>
      <c r="S188" s="11"/>
      <c r="T188" s="11"/>
      <c r="U188" s="11"/>
      <c r="V188" s="11"/>
      <c r="W188" s="11"/>
      <c r="X188" s="11"/>
      <c r="Y188" s="11"/>
      <c r="Z188" s="11"/>
    </row>
    <row r="189">
      <c r="A189" s="11"/>
      <c r="B189" s="11"/>
      <c r="C189" s="11"/>
      <c r="D189" s="11"/>
      <c r="E189" s="11"/>
      <c r="F189" s="12"/>
      <c r="G189" s="12"/>
      <c r="H189" s="12"/>
      <c r="I189" s="12"/>
      <c r="J189" s="11"/>
      <c r="K189" s="11"/>
      <c r="L189" s="11"/>
      <c r="M189" s="11"/>
      <c r="N189" s="11"/>
      <c r="O189" s="11"/>
      <c r="P189" s="11"/>
      <c r="Q189" s="11"/>
      <c r="R189" s="11"/>
      <c r="S189" s="11"/>
      <c r="T189" s="11"/>
      <c r="U189" s="11"/>
      <c r="V189" s="11"/>
      <c r="W189" s="11"/>
      <c r="X189" s="11"/>
      <c r="Y189" s="11"/>
      <c r="Z189" s="11"/>
    </row>
    <row r="190">
      <c r="A190" s="11"/>
      <c r="B190" s="11"/>
      <c r="C190" s="11"/>
      <c r="D190" s="11"/>
      <c r="E190" s="11"/>
      <c r="F190" s="12"/>
      <c r="G190" s="12"/>
      <c r="H190" s="12"/>
      <c r="I190" s="12"/>
      <c r="J190" s="11"/>
      <c r="K190" s="11"/>
      <c r="L190" s="11"/>
      <c r="M190" s="11"/>
      <c r="N190" s="11"/>
      <c r="O190" s="11"/>
      <c r="P190" s="11"/>
      <c r="Q190" s="11"/>
      <c r="R190" s="11"/>
      <c r="S190" s="11"/>
      <c r="T190" s="11"/>
      <c r="U190" s="11"/>
      <c r="V190" s="11"/>
      <c r="W190" s="11"/>
      <c r="X190" s="11"/>
      <c r="Y190" s="11"/>
      <c r="Z190" s="11"/>
    </row>
    <row r="191">
      <c r="A191" s="11"/>
      <c r="B191" s="11"/>
      <c r="C191" s="11"/>
      <c r="D191" s="11"/>
      <c r="E191" s="11"/>
      <c r="F191" s="12"/>
      <c r="G191" s="12"/>
      <c r="H191" s="12"/>
      <c r="I191" s="12"/>
      <c r="J191" s="11"/>
      <c r="K191" s="11"/>
      <c r="L191" s="11"/>
      <c r="M191" s="11"/>
      <c r="N191" s="11"/>
      <c r="O191" s="11"/>
      <c r="P191" s="11"/>
      <c r="Q191" s="11"/>
      <c r="R191" s="11"/>
      <c r="S191" s="11"/>
      <c r="T191" s="11"/>
      <c r="U191" s="11"/>
      <c r="V191" s="11"/>
      <c r="W191" s="11"/>
      <c r="X191" s="11"/>
      <c r="Y191" s="11"/>
      <c r="Z191" s="11"/>
    </row>
    <row r="192">
      <c r="A192" s="11"/>
      <c r="B192" s="11"/>
      <c r="C192" s="11"/>
      <c r="D192" s="11"/>
      <c r="E192" s="11"/>
      <c r="F192" s="12"/>
      <c r="G192" s="12"/>
      <c r="H192" s="12"/>
      <c r="I192" s="12"/>
      <c r="J192" s="11"/>
      <c r="K192" s="11"/>
      <c r="L192" s="11"/>
      <c r="M192" s="11"/>
      <c r="N192" s="11"/>
      <c r="O192" s="11"/>
      <c r="P192" s="11"/>
      <c r="Q192" s="11"/>
      <c r="R192" s="11"/>
      <c r="S192" s="11"/>
      <c r="T192" s="11"/>
      <c r="U192" s="11"/>
      <c r="V192" s="11"/>
      <c r="W192" s="11"/>
      <c r="X192" s="11"/>
      <c r="Y192" s="11"/>
      <c r="Z192" s="11"/>
    </row>
    <row r="193">
      <c r="A193" s="11"/>
      <c r="B193" s="11"/>
      <c r="C193" s="11"/>
      <c r="D193" s="11"/>
      <c r="E193" s="11"/>
      <c r="F193" s="12"/>
      <c r="G193" s="12"/>
      <c r="H193" s="12"/>
      <c r="I193" s="12"/>
      <c r="J193" s="11"/>
      <c r="K193" s="11"/>
      <c r="L193" s="11"/>
      <c r="M193" s="11"/>
      <c r="N193" s="11"/>
      <c r="O193" s="11"/>
      <c r="P193" s="11"/>
      <c r="Q193" s="11"/>
      <c r="R193" s="11"/>
      <c r="S193" s="11"/>
      <c r="T193" s="11"/>
      <c r="U193" s="11"/>
      <c r="V193" s="11"/>
      <c r="W193" s="11"/>
      <c r="X193" s="11"/>
      <c r="Y193" s="11"/>
      <c r="Z193" s="11"/>
    </row>
    <row r="194">
      <c r="A194" s="11"/>
      <c r="B194" s="11"/>
      <c r="C194" s="11"/>
      <c r="D194" s="11"/>
      <c r="E194" s="11"/>
      <c r="F194" s="12"/>
      <c r="G194" s="12"/>
      <c r="H194" s="12"/>
      <c r="I194" s="12"/>
      <c r="J194" s="11"/>
      <c r="K194" s="11"/>
      <c r="L194" s="11"/>
      <c r="M194" s="11"/>
      <c r="N194" s="11"/>
      <c r="O194" s="11"/>
      <c r="P194" s="11"/>
      <c r="Q194" s="11"/>
      <c r="R194" s="11"/>
      <c r="S194" s="11"/>
      <c r="T194" s="11"/>
      <c r="U194" s="11"/>
      <c r="V194" s="11"/>
      <c r="W194" s="11"/>
      <c r="X194" s="11"/>
      <c r="Y194" s="11"/>
      <c r="Z194" s="11"/>
    </row>
    <row r="195">
      <c r="A195" s="11"/>
      <c r="B195" s="11"/>
      <c r="C195" s="11"/>
      <c r="D195" s="11"/>
      <c r="E195" s="11"/>
      <c r="F195" s="12"/>
      <c r="G195" s="12"/>
      <c r="H195" s="12"/>
      <c r="I195" s="12"/>
      <c r="J195" s="11"/>
      <c r="K195" s="11"/>
      <c r="L195" s="11"/>
      <c r="M195" s="11"/>
      <c r="N195" s="11"/>
      <c r="O195" s="11"/>
      <c r="P195" s="11"/>
      <c r="Q195" s="11"/>
      <c r="R195" s="11"/>
      <c r="S195" s="11"/>
      <c r="T195" s="11"/>
      <c r="U195" s="11"/>
      <c r="V195" s="11"/>
      <c r="W195" s="11"/>
      <c r="X195" s="11"/>
      <c r="Y195" s="11"/>
      <c r="Z195" s="11"/>
    </row>
    <row r="196">
      <c r="A196" s="11"/>
      <c r="B196" s="11"/>
      <c r="C196" s="11"/>
      <c r="D196" s="11"/>
      <c r="E196" s="11"/>
      <c r="F196" s="12"/>
      <c r="G196" s="12"/>
      <c r="H196" s="12"/>
      <c r="I196" s="12"/>
      <c r="J196" s="11"/>
      <c r="K196" s="11"/>
      <c r="L196" s="11"/>
      <c r="M196" s="11"/>
      <c r="N196" s="11"/>
      <c r="O196" s="11"/>
      <c r="P196" s="11"/>
      <c r="Q196" s="11"/>
      <c r="R196" s="11"/>
      <c r="S196" s="11"/>
      <c r="T196" s="11"/>
      <c r="U196" s="11"/>
      <c r="V196" s="11"/>
      <c r="W196" s="11"/>
      <c r="X196" s="11"/>
      <c r="Y196" s="11"/>
      <c r="Z196" s="11"/>
    </row>
    <row r="197">
      <c r="A197" s="11"/>
      <c r="B197" s="11"/>
      <c r="C197" s="11"/>
      <c r="D197" s="11"/>
      <c r="E197" s="11"/>
      <c r="F197" s="12"/>
      <c r="G197" s="12"/>
      <c r="H197" s="12"/>
      <c r="I197" s="12"/>
      <c r="J197" s="11"/>
      <c r="K197" s="11"/>
      <c r="L197" s="11"/>
      <c r="M197" s="11"/>
      <c r="N197" s="11"/>
      <c r="O197" s="11"/>
      <c r="P197" s="11"/>
      <c r="Q197" s="11"/>
      <c r="R197" s="11"/>
      <c r="S197" s="11"/>
      <c r="T197" s="11"/>
      <c r="U197" s="11"/>
      <c r="V197" s="11"/>
      <c r="W197" s="11"/>
      <c r="X197" s="11"/>
      <c r="Y197" s="11"/>
      <c r="Z197" s="11"/>
    </row>
    <row r="198">
      <c r="A198" s="11"/>
      <c r="B198" s="11"/>
      <c r="C198" s="11"/>
      <c r="D198" s="11"/>
      <c r="E198" s="11"/>
      <c r="F198" s="12"/>
      <c r="G198" s="12"/>
      <c r="H198" s="12"/>
      <c r="I198" s="12"/>
      <c r="J198" s="11"/>
      <c r="K198" s="11"/>
      <c r="L198" s="11"/>
      <c r="M198" s="11"/>
      <c r="N198" s="11"/>
      <c r="O198" s="11"/>
      <c r="P198" s="11"/>
      <c r="Q198" s="11"/>
      <c r="R198" s="11"/>
      <c r="S198" s="11"/>
      <c r="T198" s="11"/>
      <c r="U198" s="11"/>
      <c r="V198" s="11"/>
      <c r="W198" s="11"/>
      <c r="X198" s="11"/>
      <c r="Y198" s="11"/>
      <c r="Z198" s="11"/>
    </row>
    <row r="199">
      <c r="A199" s="11"/>
      <c r="B199" s="11"/>
      <c r="C199" s="11"/>
      <c r="D199" s="11"/>
      <c r="E199" s="11"/>
      <c r="F199" s="12"/>
      <c r="G199" s="12"/>
      <c r="H199" s="12"/>
      <c r="I199" s="12"/>
      <c r="J199" s="11"/>
      <c r="K199" s="11"/>
      <c r="L199" s="11"/>
      <c r="M199" s="11"/>
      <c r="N199" s="11"/>
      <c r="O199" s="11"/>
      <c r="P199" s="11"/>
      <c r="Q199" s="11"/>
      <c r="R199" s="11"/>
      <c r="S199" s="11"/>
      <c r="T199" s="11"/>
      <c r="U199" s="11"/>
      <c r="V199" s="11"/>
      <c r="W199" s="11"/>
      <c r="X199" s="11"/>
      <c r="Y199" s="11"/>
      <c r="Z199" s="11"/>
    </row>
    <row r="200">
      <c r="A200" s="11"/>
      <c r="B200" s="11"/>
      <c r="C200" s="11"/>
      <c r="D200" s="11"/>
      <c r="E200" s="11"/>
      <c r="F200" s="12"/>
      <c r="G200" s="12"/>
      <c r="H200" s="12"/>
      <c r="I200" s="12"/>
      <c r="J200" s="11"/>
      <c r="K200" s="11"/>
      <c r="L200" s="11"/>
      <c r="M200" s="11"/>
      <c r="N200" s="11"/>
      <c r="O200" s="11"/>
      <c r="P200" s="11"/>
      <c r="Q200" s="11"/>
      <c r="R200" s="11"/>
      <c r="S200" s="11"/>
      <c r="T200" s="11"/>
      <c r="U200" s="11"/>
      <c r="V200" s="11"/>
      <c r="W200" s="11"/>
      <c r="X200" s="11"/>
      <c r="Y200" s="11"/>
      <c r="Z200" s="11"/>
    </row>
    <row r="201">
      <c r="A201" s="11"/>
      <c r="B201" s="11"/>
      <c r="C201" s="11"/>
      <c r="D201" s="11"/>
      <c r="E201" s="11"/>
      <c r="F201" s="12"/>
      <c r="G201" s="12"/>
      <c r="H201" s="12"/>
      <c r="I201" s="12"/>
      <c r="J201" s="11"/>
      <c r="K201" s="11"/>
      <c r="L201" s="11"/>
      <c r="M201" s="11"/>
      <c r="N201" s="11"/>
      <c r="O201" s="11"/>
      <c r="P201" s="11"/>
      <c r="Q201" s="11"/>
      <c r="R201" s="11"/>
      <c r="S201" s="11"/>
      <c r="T201" s="11"/>
      <c r="U201" s="11"/>
      <c r="V201" s="11"/>
      <c r="W201" s="11"/>
      <c r="X201" s="11"/>
      <c r="Y201" s="11"/>
      <c r="Z201" s="11"/>
    </row>
    <row r="202">
      <c r="A202" s="11"/>
      <c r="B202" s="11"/>
      <c r="C202" s="11"/>
      <c r="D202" s="11"/>
      <c r="E202" s="11"/>
      <c r="F202" s="12"/>
      <c r="G202" s="12"/>
      <c r="H202" s="12"/>
      <c r="I202" s="12"/>
      <c r="J202" s="11"/>
      <c r="K202" s="11"/>
      <c r="L202" s="11"/>
      <c r="M202" s="11"/>
      <c r="N202" s="11"/>
      <c r="O202" s="11"/>
      <c r="P202" s="11"/>
      <c r="Q202" s="11"/>
      <c r="R202" s="11"/>
      <c r="S202" s="11"/>
      <c r="T202" s="11"/>
      <c r="U202" s="11"/>
      <c r="V202" s="11"/>
      <c r="W202" s="11"/>
      <c r="X202" s="11"/>
      <c r="Y202" s="11"/>
      <c r="Z202" s="11"/>
    </row>
    <row r="203">
      <c r="A203" s="11"/>
      <c r="B203" s="11"/>
      <c r="C203" s="11"/>
      <c r="D203" s="11"/>
      <c r="E203" s="11"/>
      <c r="F203" s="12"/>
      <c r="G203" s="12"/>
      <c r="H203" s="12"/>
      <c r="I203" s="12"/>
      <c r="J203" s="11"/>
      <c r="K203" s="11"/>
      <c r="L203" s="11"/>
      <c r="M203" s="11"/>
      <c r="N203" s="11"/>
      <c r="O203" s="11"/>
      <c r="P203" s="11"/>
      <c r="Q203" s="11"/>
      <c r="R203" s="11"/>
      <c r="S203" s="11"/>
      <c r="T203" s="11"/>
      <c r="U203" s="11"/>
      <c r="V203" s="11"/>
      <c r="W203" s="11"/>
      <c r="X203" s="11"/>
      <c r="Y203" s="11"/>
      <c r="Z203" s="11"/>
    </row>
    <row r="204">
      <c r="A204" s="11"/>
      <c r="B204" s="11"/>
      <c r="C204" s="11"/>
      <c r="D204" s="11"/>
      <c r="E204" s="11"/>
      <c r="F204" s="12"/>
      <c r="G204" s="12"/>
      <c r="H204" s="12"/>
      <c r="I204" s="12"/>
      <c r="J204" s="11"/>
      <c r="K204" s="11"/>
      <c r="L204" s="11"/>
      <c r="M204" s="11"/>
      <c r="N204" s="11"/>
      <c r="O204" s="11"/>
      <c r="P204" s="11"/>
      <c r="Q204" s="11"/>
      <c r="R204" s="11"/>
      <c r="S204" s="11"/>
      <c r="T204" s="11"/>
      <c r="U204" s="11"/>
      <c r="V204" s="11"/>
      <c r="W204" s="11"/>
      <c r="X204" s="11"/>
      <c r="Y204" s="11"/>
      <c r="Z204" s="11"/>
    </row>
    <row r="205">
      <c r="A205" s="11"/>
      <c r="B205" s="11"/>
      <c r="C205" s="11"/>
      <c r="D205" s="11"/>
      <c r="E205" s="11"/>
      <c r="F205" s="12"/>
      <c r="G205" s="12"/>
      <c r="H205" s="12"/>
      <c r="I205" s="12"/>
      <c r="J205" s="11"/>
      <c r="K205" s="11"/>
      <c r="L205" s="11"/>
      <c r="M205" s="11"/>
      <c r="N205" s="11"/>
      <c r="O205" s="11"/>
      <c r="P205" s="11"/>
      <c r="Q205" s="11"/>
      <c r="R205" s="11"/>
      <c r="S205" s="11"/>
      <c r="T205" s="11"/>
      <c r="U205" s="11"/>
      <c r="V205" s="11"/>
      <c r="W205" s="11"/>
      <c r="X205" s="11"/>
      <c r="Y205" s="11"/>
      <c r="Z205" s="11"/>
    </row>
    <row r="206">
      <c r="A206" s="11"/>
      <c r="B206" s="11"/>
      <c r="C206" s="11"/>
      <c r="D206" s="11"/>
      <c r="E206" s="11"/>
      <c r="F206" s="12"/>
      <c r="G206" s="12"/>
      <c r="H206" s="12"/>
      <c r="I206" s="12"/>
      <c r="J206" s="11"/>
      <c r="K206" s="11"/>
      <c r="L206" s="11"/>
      <c r="M206" s="11"/>
      <c r="N206" s="11"/>
      <c r="O206" s="11"/>
      <c r="P206" s="11"/>
      <c r="Q206" s="11"/>
      <c r="R206" s="11"/>
      <c r="S206" s="11"/>
      <c r="T206" s="11"/>
      <c r="U206" s="11"/>
      <c r="V206" s="11"/>
      <c r="W206" s="11"/>
      <c r="X206" s="11"/>
      <c r="Y206" s="11"/>
      <c r="Z206" s="11"/>
    </row>
    <row r="207">
      <c r="A207" s="11"/>
      <c r="B207" s="11"/>
      <c r="C207" s="11"/>
      <c r="D207" s="11"/>
      <c r="E207" s="11"/>
      <c r="F207" s="12"/>
      <c r="G207" s="12"/>
      <c r="H207" s="12"/>
      <c r="I207" s="12"/>
      <c r="J207" s="11"/>
      <c r="K207" s="11"/>
      <c r="L207" s="11"/>
      <c r="M207" s="11"/>
      <c r="N207" s="11"/>
      <c r="O207" s="11"/>
      <c r="P207" s="11"/>
      <c r="Q207" s="11"/>
      <c r="R207" s="11"/>
      <c r="S207" s="11"/>
      <c r="T207" s="11"/>
      <c r="U207" s="11"/>
      <c r="V207" s="11"/>
      <c r="W207" s="11"/>
      <c r="X207" s="11"/>
      <c r="Y207" s="11"/>
      <c r="Z207" s="11"/>
    </row>
    <row r="208">
      <c r="A208" s="11"/>
      <c r="B208" s="11"/>
      <c r="C208" s="11"/>
      <c r="D208" s="11"/>
      <c r="E208" s="11"/>
      <c r="F208" s="12"/>
      <c r="G208" s="12"/>
      <c r="H208" s="12"/>
      <c r="I208" s="12"/>
      <c r="J208" s="11"/>
      <c r="K208" s="11"/>
      <c r="L208" s="11"/>
      <c r="M208" s="11"/>
      <c r="N208" s="11"/>
      <c r="O208" s="11"/>
      <c r="P208" s="11"/>
      <c r="Q208" s="11"/>
      <c r="R208" s="11"/>
      <c r="S208" s="11"/>
      <c r="T208" s="11"/>
      <c r="U208" s="11"/>
      <c r="V208" s="11"/>
      <c r="W208" s="11"/>
      <c r="X208" s="11"/>
      <c r="Y208" s="11"/>
      <c r="Z208" s="11"/>
    </row>
    <row r="209">
      <c r="A209" s="11"/>
      <c r="B209" s="11"/>
      <c r="C209" s="11"/>
      <c r="D209" s="11"/>
      <c r="E209" s="11"/>
      <c r="F209" s="12"/>
      <c r="G209" s="12"/>
      <c r="H209" s="12"/>
      <c r="I209" s="12"/>
      <c r="J209" s="11"/>
      <c r="K209" s="11"/>
      <c r="L209" s="11"/>
      <c r="M209" s="11"/>
      <c r="N209" s="11"/>
      <c r="O209" s="11"/>
      <c r="P209" s="11"/>
      <c r="Q209" s="11"/>
      <c r="R209" s="11"/>
      <c r="S209" s="11"/>
      <c r="T209" s="11"/>
      <c r="U209" s="11"/>
      <c r="V209" s="11"/>
      <c r="W209" s="11"/>
      <c r="X209" s="11"/>
      <c r="Y209" s="11"/>
      <c r="Z209" s="11"/>
    </row>
    <row r="210">
      <c r="A210" s="11"/>
      <c r="B210" s="11"/>
      <c r="C210" s="11"/>
      <c r="D210" s="11"/>
      <c r="E210" s="11"/>
      <c r="F210" s="12"/>
      <c r="G210" s="12"/>
      <c r="H210" s="12"/>
      <c r="I210" s="12"/>
      <c r="J210" s="11"/>
      <c r="K210" s="11"/>
      <c r="L210" s="11"/>
      <c r="M210" s="11"/>
      <c r="N210" s="11"/>
      <c r="O210" s="11"/>
      <c r="P210" s="11"/>
      <c r="Q210" s="11"/>
      <c r="R210" s="11"/>
      <c r="S210" s="11"/>
      <c r="T210" s="11"/>
      <c r="U210" s="11"/>
      <c r="V210" s="11"/>
      <c r="W210" s="11"/>
      <c r="X210" s="11"/>
      <c r="Y210" s="11"/>
      <c r="Z210" s="11"/>
    </row>
    <row r="211">
      <c r="A211" s="11"/>
      <c r="B211" s="11"/>
      <c r="C211" s="11"/>
      <c r="D211" s="11"/>
      <c r="E211" s="11"/>
      <c r="F211" s="12"/>
      <c r="G211" s="12"/>
      <c r="H211" s="12"/>
      <c r="I211" s="12"/>
      <c r="J211" s="11"/>
      <c r="K211" s="11"/>
      <c r="L211" s="11"/>
      <c r="M211" s="11"/>
      <c r="N211" s="11"/>
      <c r="O211" s="11"/>
      <c r="P211" s="11"/>
      <c r="Q211" s="11"/>
      <c r="R211" s="11"/>
      <c r="S211" s="11"/>
      <c r="T211" s="11"/>
      <c r="U211" s="11"/>
      <c r="V211" s="11"/>
      <c r="W211" s="11"/>
      <c r="X211" s="11"/>
      <c r="Y211" s="11"/>
      <c r="Z211" s="11"/>
    </row>
    <row r="212">
      <c r="A212" s="11"/>
      <c r="B212" s="11"/>
      <c r="C212" s="11"/>
      <c r="D212" s="11"/>
      <c r="E212" s="11"/>
      <c r="F212" s="12"/>
      <c r="G212" s="12"/>
      <c r="H212" s="12"/>
      <c r="I212" s="12"/>
      <c r="J212" s="11"/>
      <c r="K212" s="11"/>
      <c r="L212" s="11"/>
      <c r="M212" s="11"/>
      <c r="N212" s="11"/>
      <c r="O212" s="11"/>
      <c r="P212" s="11"/>
      <c r="Q212" s="11"/>
      <c r="R212" s="11"/>
      <c r="S212" s="11"/>
      <c r="T212" s="11"/>
      <c r="U212" s="11"/>
      <c r="V212" s="11"/>
      <c r="W212" s="11"/>
      <c r="X212" s="11"/>
      <c r="Y212" s="11"/>
      <c r="Z212" s="11"/>
    </row>
    <row r="213">
      <c r="A213" s="11"/>
      <c r="B213" s="11"/>
      <c r="C213" s="11"/>
      <c r="D213" s="11"/>
      <c r="E213" s="11"/>
      <c r="F213" s="12"/>
      <c r="G213" s="12"/>
      <c r="H213" s="12"/>
      <c r="I213" s="12"/>
      <c r="J213" s="11"/>
      <c r="K213" s="11"/>
      <c r="L213" s="11"/>
      <c r="M213" s="11"/>
      <c r="N213" s="11"/>
      <c r="O213" s="11"/>
      <c r="P213" s="11"/>
      <c r="Q213" s="11"/>
      <c r="R213" s="11"/>
      <c r="S213" s="11"/>
      <c r="T213" s="11"/>
      <c r="U213" s="11"/>
      <c r="V213" s="11"/>
      <c r="W213" s="11"/>
      <c r="X213" s="11"/>
      <c r="Y213" s="11"/>
      <c r="Z213" s="11"/>
    </row>
    <row r="214">
      <c r="A214" s="11"/>
      <c r="B214" s="11"/>
      <c r="C214" s="11"/>
      <c r="D214" s="11"/>
      <c r="E214" s="11"/>
      <c r="F214" s="12"/>
      <c r="G214" s="12"/>
      <c r="H214" s="12"/>
      <c r="I214" s="12"/>
      <c r="J214" s="11"/>
      <c r="K214" s="11"/>
      <c r="L214" s="11"/>
      <c r="M214" s="11"/>
      <c r="N214" s="11"/>
      <c r="O214" s="11"/>
      <c r="P214" s="11"/>
      <c r="Q214" s="11"/>
      <c r="R214" s="11"/>
      <c r="S214" s="11"/>
      <c r="T214" s="11"/>
      <c r="U214" s="11"/>
      <c r="V214" s="11"/>
      <c r="W214" s="11"/>
      <c r="X214" s="11"/>
      <c r="Y214" s="11"/>
      <c r="Z214" s="11"/>
    </row>
    <row r="215">
      <c r="A215" s="11"/>
      <c r="B215" s="11"/>
      <c r="C215" s="11"/>
      <c r="D215" s="11"/>
      <c r="E215" s="11"/>
      <c r="F215" s="12"/>
      <c r="G215" s="12"/>
      <c r="H215" s="12"/>
      <c r="I215" s="12"/>
      <c r="J215" s="11"/>
      <c r="K215" s="11"/>
      <c r="L215" s="11"/>
      <c r="M215" s="11"/>
      <c r="N215" s="11"/>
      <c r="O215" s="11"/>
      <c r="P215" s="11"/>
      <c r="Q215" s="11"/>
      <c r="R215" s="11"/>
      <c r="S215" s="11"/>
      <c r="T215" s="11"/>
      <c r="U215" s="11"/>
      <c r="V215" s="11"/>
      <c r="W215" s="11"/>
      <c r="X215" s="11"/>
      <c r="Y215" s="11"/>
      <c r="Z215" s="11"/>
    </row>
    <row r="216">
      <c r="A216" s="11"/>
      <c r="B216" s="11"/>
      <c r="C216" s="11"/>
      <c r="D216" s="11"/>
      <c r="E216" s="11"/>
      <c r="F216" s="12"/>
      <c r="G216" s="12"/>
      <c r="H216" s="12"/>
      <c r="I216" s="12"/>
      <c r="J216" s="11"/>
      <c r="K216" s="11"/>
      <c r="L216" s="11"/>
      <c r="M216" s="11"/>
      <c r="N216" s="11"/>
      <c r="O216" s="11"/>
      <c r="P216" s="11"/>
      <c r="Q216" s="11"/>
      <c r="R216" s="11"/>
      <c r="S216" s="11"/>
      <c r="T216" s="11"/>
      <c r="U216" s="11"/>
      <c r="V216" s="11"/>
      <c r="W216" s="11"/>
      <c r="X216" s="11"/>
      <c r="Y216" s="11"/>
      <c r="Z216" s="11"/>
    </row>
    <row r="217">
      <c r="A217" s="11"/>
      <c r="B217" s="11"/>
      <c r="C217" s="11"/>
      <c r="D217" s="11"/>
      <c r="E217" s="11"/>
      <c r="F217" s="12"/>
      <c r="G217" s="12"/>
      <c r="H217" s="12"/>
      <c r="I217" s="12"/>
      <c r="J217" s="11"/>
      <c r="K217" s="11"/>
      <c r="L217" s="11"/>
      <c r="M217" s="11"/>
      <c r="N217" s="11"/>
      <c r="O217" s="11"/>
      <c r="P217" s="11"/>
      <c r="Q217" s="11"/>
      <c r="R217" s="11"/>
      <c r="S217" s="11"/>
      <c r="T217" s="11"/>
      <c r="U217" s="11"/>
      <c r="V217" s="11"/>
      <c r="W217" s="11"/>
      <c r="X217" s="11"/>
      <c r="Y217" s="11"/>
      <c r="Z217" s="11"/>
    </row>
    <row r="218">
      <c r="A218" s="11"/>
      <c r="B218" s="11"/>
      <c r="C218" s="11"/>
      <c r="D218" s="11"/>
      <c r="E218" s="11"/>
      <c r="F218" s="12"/>
      <c r="G218" s="12"/>
      <c r="H218" s="12"/>
      <c r="I218" s="12"/>
      <c r="J218" s="11"/>
      <c r="K218" s="11"/>
      <c r="L218" s="11"/>
      <c r="M218" s="11"/>
      <c r="N218" s="11"/>
      <c r="O218" s="11"/>
      <c r="P218" s="11"/>
      <c r="Q218" s="11"/>
      <c r="R218" s="11"/>
      <c r="S218" s="11"/>
      <c r="T218" s="11"/>
      <c r="U218" s="11"/>
      <c r="V218" s="11"/>
      <c r="W218" s="11"/>
      <c r="X218" s="11"/>
      <c r="Y218" s="11"/>
      <c r="Z218" s="11"/>
    </row>
    <row r="219">
      <c r="A219" s="11"/>
      <c r="B219" s="11"/>
      <c r="C219" s="11"/>
      <c r="D219" s="11"/>
      <c r="E219" s="11"/>
      <c r="F219" s="12"/>
      <c r="G219" s="12"/>
      <c r="H219" s="12"/>
      <c r="I219" s="12"/>
      <c r="J219" s="11"/>
      <c r="K219" s="11"/>
      <c r="L219" s="11"/>
      <c r="M219" s="11"/>
      <c r="N219" s="11"/>
      <c r="O219" s="11"/>
      <c r="P219" s="11"/>
      <c r="Q219" s="11"/>
      <c r="R219" s="11"/>
      <c r="S219" s="11"/>
      <c r="T219" s="11"/>
      <c r="U219" s="11"/>
      <c r="V219" s="11"/>
      <c r="W219" s="11"/>
      <c r="X219" s="11"/>
      <c r="Y219" s="11"/>
      <c r="Z219" s="11"/>
    </row>
    <row r="220">
      <c r="A220" s="11"/>
      <c r="B220" s="11"/>
      <c r="C220" s="11"/>
      <c r="D220" s="11"/>
      <c r="E220" s="11"/>
      <c r="F220" s="12"/>
      <c r="G220" s="12"/>
      <c r="H220" s="12"/>
      <c r="I220" s="12"/>
      <c r="J220" s="11"/>
      <c r="K220" s="11"/>
      <c r="L220" s="11"/>
      <c r="M220" s="11"/>
      <c r="N220" s="11"/>
      <c r="O220" s="11"/>
      <c r="P220" s="11"/>
      <c r="Q220" s="11"/>
      <c r="R220" s="11"/>
      <c r="S220" s="11"/>
      <c r="T220" s="11"/>
      <c r="U220" s="11"/>
      <c r="V220" s="11"/>
      <c r="W220" s="11"/>
      <c r="X220" s="11"/>
      <c r="Y220" s="11"/>
      <c r="Z220" s="11"/>
    </row>
    <row r="221">
      <c r="A221" s="11"/>
      <c r="B221" s="11"/>
      <c r="C221" s="11"/>
      <c r="D221" s="11"/>
      <c r="E221" s="11"/>
      <c r="F221" s="12"/>
      <c r="G221" s="12"/>
      <c r="H221" s="12"/>
      <c r="I221" s="12"/>
      <c r="J221" s="11"/>
      <c r="K221" s="11"/>
      <c r="L221" s="11"/>
      <c r="M221" s="11"/>
      <c r="N221" s="11"/>
      <c r="O221" s="11"/>
      <c r="P221" s="11"/>
      <c r="Q221" s="11"/>
      <c r="R221" s="11"/>
      <c r="S221" s="11"/>
      <c r="T221" s="11"/>
      <c r="U221" s="11"/>
      <c r="V221" s="11"/>
      <c r="W221" s="11"/>
      <c r="X221" s="11"/>
      <c r="Y221" s="11"/>
      <c r="Z221" s="11"/>
    </row>
    <row r="222">
      <c r="A222" s="11"/>
      <c r="B222" s="11"/>
      <c r="C222" s="11"/>
      <c r="D222" s="11"/>
      <c r="E222" s="11"/>
      <c r="F222" s="12"/>
      <c r="G222" s="12"/>
      <c r="H222" s="12"/>
      <c r="I222" s="12"/>
      <c r="J222" s="11"/>
      <c r="K222" s="11"/>
      <c r="L222" s="11"/>
      <c r="M222" s="11"/>
      <c r="N222" s="11"/>
      <c r="O222" s="11"/>
      <c r="P222" s="11"/>
      <c r="Q222" s="11"/>
      <c r="R222" s="11"/>
      <c r="S222" s="11"/>
      <c r="T222" s="11"/>
      <c r="U222" s="11"/>
      <c r="V222" s="11"/>
      <c r="W222" s="11"/>
      <c r="X222" s="11"/>
      <c r="Y222" s="11"/>
      <c r="Z222" s="11"/>
    </row>
    <row r="223">
      <c r="A223" s="11"/>
      <c r="B223" s="11"/>
      <c r="C223" s="11"/>
      <c r="D223" s="11"/>
      <c r="E223" s="11"/>
      <c r="F223" s="12"/>
      <c r="G223" s="12"/>
      <c r="H223" s="12"/>
      <c r="I223" s="12"/>
      <c r="J223" s="11"/>
      <c r="K223" s="11"/>
      <c r="L223" s="11"/>
      <c r="M223" s="11"/>
      <c r="N223" s="11"/>
      <c r="O223" s="11"/>
      <c r="P223" s="11"/>
      <c r="Q223" s="11"/>
      <c r="R223" s="11"/>
      <c r="S223" s="11"/>
      <c r="T223" s="11"/>
      <c r="U223" s="11"/>
      <c r="V223" s="11"/>
      <c r="W223" s="11"/>
      <c r="X223" s="11"/>
      <c r="Y223" s="11"/>
      <c r="Z223" s="11"/>
    </row>
    <row r="224">
      <c r="A224" s="11"/>
      <c r="B224" s="11"/>
      <c r="C224" s="11"/>
      <c r="D224" s="11"/>
      <c r="E224" s="11"/>
      <c r="F224" s="12"/>
      <c r="G224" s="12"/>
      <c r="H224" s="12"/>
      <c r="I224" s="12"/>
      <c r="J224" s="11"/>
      <c r="K224" s="11"/>
      <c r="L224" s="11"/>
      <c r="M224" s="11"/>
      <c r="N224" s="11"/>
      <c r="O224" s="11"/>
      <c r="P224" s="11"/>
      <c r="Q224" s="11"/>
      <c r="R224" s="11"/>
      <c r="S224" s="11"/>
      <c r="T224" s="11"/>
      <c r="U224" s="11"/>
      <c r="V224" s="11"/>
      <c r="W224" s="11"/>
      <c r="X224" s="11"/>
      <c r="Y224" s="11"/>
      <c r="Z224" s="11"/>
    </row>
    <row r="225">
      <c r="A225" s="11"/>
      <c r="B225" s="11"/>
      <c r="C225" s="11"/>
      <c r="D225" s="11"/>
      <c r="E225" s="11"/>
      <c r="F225" s="12"/>
      <c r="G225" s="12"/>
      <c r="H225" s="12"/>
      <c r="I225" s="12"/>
      <c r="J225" s="11"/>
      <c r="K225" s="11"/>
      <c r="L225" s="11"/>
      <c r="M225" s="11"/>
      <c r="N225" s="11"/>
      <c r="O225" s="11"/>
      <c r="P225" s="11"/>
      <c r="Q225" s="11"/>
      <c r="R225" s="11"/>
      <c r="S225" s="11"/>
      <c r="T225" s="11"/>
      <c r="U225" s="11"/>
      <c r="V225" s="11"/>
      <c r="W225" s="11"/>
      <c r="X225" s="11"/>
      <c r="Y225" s="11"/>
      <c r="Z225" s="11"/>
    </row>
    <row r="226">
      <c r="A226" s="11"/>
      <c r="B226" s="11"/>
      <c r="C226" s="11"/>
      <c r="D226" s="11"/>
      <c r="E226" s="11"/>
      <c r="F226" s="12"/>
      <c r="G226" s="12"/>
      <c r="H226" s="12"/>
      <c r="I226" s="12"/>
      <c r="J226" s="11"/>
      <c r="K226" s="11"/>
      <c r="L226" s="11"/>
      <c r="M226" s="11"/>
      <c r="N226" s="11"/>
      <c r="O226" s="11"/>
      <c r="P226" s="11"/>
      <c r="Q226" s="11"/>
      <c r="R226" s="11"/>
      <c r="S226" s="11"/>
      <c r="T226" s="11"/>
      <c r="U226" s="11"/>
      <c r="V226" s="11"/>
      <c r="W226" s="11"/>
      <c r="X226" s="11"/>
      <c r="Y226" s="11"/>
      <c r="Z226" s="11"/>
    </row>
    <row r="227">
      <c r="A227" s="11"/>
      <c r="B227" s="11"/>
      <c r="C227" s="11"/>
      <c r="D227" s="11"/>
      <c r="E227" s="11"/>
      <c r="F227" s="12"/>
      <c r="G227" s="12"/>
      <c r="H227" s="12"/>
      <c r="I227" s="12"/>
      <c r="J227" s="11"/>
      <c r="K227" s="11"/>
      <c r="L227" s="11"/>
      <c r="M227" s="11"/>
      <c r="N227" s="11"/>
      <c r="O227" s="11"/>
      <c r="P227" s="11"/>
      <c r="Q227" s="11"/>
      <c r="R227" s="11"/>
      <c r="S227" s="11"/>
      <c r="T227" s="11"/>
      <c r="U227" s="11"/>
      <c r="V227" s="11"/>
      <c r="W227" s="11"/>
      <c r="X227" s="11"/>
      <c r="Y227" s="11"/>
      <c r="Z227" s="11"/>
    </row>
    <row r="228">
      <c r="A228" s="11"/>
      <c r="B228" s="11"/>
      <c r="C228" s="11"/>
      <c r="D228" s="11"/>
      <c r="E228" s="11"/>
      <c r="F228" s="12"/>
      <c r="G228" s="12"/>
      <c r="H228" s="12"/>
      <c r="I228" s="12"/>
      <c r="J228" s="11"/>
      <c r="K228" s="11"/>
      <c r="L228" s="11"/>
      <c r="M228" s="11"/>
      <c r="N228" s="11"/>
      <c r="O228" s="11"/>
      <c r="P228" s="11"/>
      <c r="Q228" s="11"/>
      <c r="R228" s="11"/>
      <c r="S228" s="11"/>
      <c r="T228" s="11"/>
      <c r="U228" s="11"/>
      <c r="V228" s="11"/>
      <c r="W228" s="11"/>
      <c r="X228" s="11"/>
      <c r="Y228" s="11"/>
      <c r="Z228" s="11"/>
    </row>
    <row r="229">
      <c r="A229" s="11"/>
      <c r="B229" s="11"/>
      <c r="C229" s="11"/>
      <c r="D229" s="11"/>
      <c r="E229" s="11"/>
      <c r="F229" s="12"/>
      <c r="G229" s="12"/>
      <c r="H229" s="12"/>
      <c r="I229" s="12"/>
      <c r="J229" s="11"/>
      <c r="K229" s="11"/>
      <c r="L229" s="11"/>
      <c r="M229" s="11"/>
      <c r="N229" s="11"/>
      <c r="O229" s="11"/>
      <c r="P229" s="11"/>
      <c r="Q229" s="11"/>
      <c r="R229" s="11"/>
      <c r="S229" s="11"/>
      <c r="T229" s="11"/>
      <c r="U229" s="11"/>
      <c r="V229" s="11"/>
      <c r="W229" s="11"/>
      <c r="X229" s="11"/>
      <c r="Y229" s="11"/>
      <c r="Z229" s="11"/>
    </row>
    <row r="230">
      <c r="A230" s="11"/>
      <c r="B230" s="11"/>
      <c r="C230" s="11"/>
      <c r="D230" s="11"/>
      <c r="E230" s="11"/>
      <c r="F230" s="12"/>
      <c r="G230" s="12"/>
      <c r="H230" s="12"/>
      <c r="I230" s="12"/>
      <c r="J230" s="11"/>
      <c r="K230" s="11"/>
      <c r="L230" s="11"/>
      <c r="M230" s="11"/>
      <c r="N230" s="11"/>
      <c r="O230" s="11"/>
      <c r="P230" s="11"/>
      <c r="Q230" s="11"/>
      <c r="R230" s="11"/>
      <c r="S230" s="11"/>
      <c r="T230" s="11"/>
      <c r="U230" s="11"/>
      <c r="V230" s="11"/>
      <c r="W230" s="11"/>
      <c r="X230" s="11"/>
      <c r="Y230" s="11"/>
      <c r="Z230" s="11"/>
    </row>
    <row r="231">
      <c r="A231" s="11"/>
      <c r="B231" s="11"/>
      <c r="C231" s="11"/>
      <c r="D231" s="11"/>
      <c r="E231" s="11"/>
      <c r="F231" s="12"/>
      <c r="G231" s="12"/>
      <c r="H231" s="12"/>
      <c r="I231" s="12"/>
      <c r="J231" s="11"/>
      <c r="K231" s="11"/>
      <c r="L231" s="11"/>
      <c r="M231" s="11"/>
      <c r="N231" s="11"/>
      <c r="O231" s="11"/>
      <c r="P231" s="11"/>
      <c r="Q231" s="11"/>
      <c r="R231" s="11"/>
      <c r="S231" s="11"/>
      <c r="T231" s="11"/>
      <c r="U231" s="11"/>
      <c r="V231" s="11"/>
      <c r="W231" s="11"/>
      <c r="X231" s="11"/>
      <c r="Y231" s="11"/>
      <c r="Z231" s="11"/>
    </row>
    <row r="232">
      <c r="A232" s="11"/>
      <c r="B232" s="11"/>
      <c r="C232" s="11"/>
      <c r="D232" s="11"/>
      <c r="E232" s="11"/>
      <c r="F232" s="12"/>
      <c r="G232" s="12"/>
      <c r="H232" s="12"/>
      <c r="I232" s="12"/>
      <c r="J232" s="11"/>
      <c r="K232" s="11"/>
      <c r="L232" s="11"/>
      <c r="M232" s="11"/>
      <c r="N232" s="11"/>
      <c r="O232" s="11"/>
      <c r="P232" s="11"/>
      <c r="Q232" s="11"/>
      <c r="R232" s="11"/>
      <c r="S232" s="11"/>
      <c r="T232" s="11"/>
      <c r="U232" s="11"/>
      <c r="V232" s="11"/>
      <c r="W232" s="11"/>
      <c r="X232" s="11"/>
      <c r="Y232" s="11"/>
      <c r="Z232" s="11"/>
    </row>
    <row r="233">
      <c r="A233" s="11"/>
      <c r="B233" s="11"/>
      <c r="C233" s="11"/>
      <c r="D233" s="11"/>
      <c r="E233" s="11"/>
      <c r="F233" s="12"/>
      <c r="G233" s="12"/>
      <c r="H233" s="12"/>
      <c r="I233" s="12"/>
      <c r="J233" s="11"/>
      <c r="K233" s="11"/>
      <c r="L233" s="11"/>
      <c r="M233" s="11"/>
      <c r="N233" s="11"/>
      <c r="O233" s="11"/>
      <c r="P233" s="11"/>
      <c r="Q233" s="11"/>
      <c r="R233" s="11"/>
      <c r="S233" s="11"/>
      <c r="T233" s="11"/>
      <c r="U233" s="11"/>
      <c r="V233" s="11"/>
      <c r="W233" s="11"/>
      <c r="X233" s="11"/>
      <c r="Y233" s="11"/>
      <c r="Z233" s="11"/>
    </row>
    <row r="234">
      <c r="A234" s="11"/>
      <c r="B234" s="11"/>
      <c r="C234" s="11"/>
      <c r="D234" s="11"/>
      <c r="E234" s="11"/>
      <c r="F234" s="12"/>
      <c r="G234" s="12"/>
      <c r="H234" s="12"/>
      <c r="I234" s="12"/>
      <c r="J234" s="11"/>
      <c r="K234" s="11"/>
      <c r="L234" s="11"/>
      <c r="M234" s="11"/>
      <c r="N234" s="11"/>
      <c r="O234" s="11"/>
      <c r="P234" s="11"/>
      <c r="Q234" s="11"/>
      <c r="R234" s="11"/>
      <c r="S234" s="11"/>
      <c r="T234" s="11"/>
      <c r="U234" s="11"/>
      <c r="V234" s="11"/>
      <c r="W234" s="11"/>
      <c r="X234" s="11"/>
      <c r="Y234" s="11"/>
      <c r="Z234" s="11"/>
    </row>
    <row r="235">
      <c r="A235" s="11"/>
      <c r="B235" s="11"/>
      <c r="C235" s="11"/>
      <c r="D235" s="11"/>
      <c r="E235" s="11"/>
      <c r="F235" s="12"/>
      <c r="G235" s="12"/>
      <c r="H235" s="12"/>
      <c r="I235" s="12"/>
      <c r="J235" s="11"/>
      <c r="K235" s="11"/>
      <c r="L235" s="11"/>
      <c r="M235" s="11"/>
      <c r="N235" s="11"/>
      <c r="O235" s="11"/>
      <c r="P235" s="11"/>
      <c r="Q235" s="11"/>
      <c r="R235" s="11"/>
      <c r="S235" s="11"/>
      <c r="T235" s="11"/>
      <c r="U235" s="11"/>
      <c r="V235" s="11"/>
      <c r="W235" s="11"/>
      <c r="X235" s="11"/>
      <c r="Y235" s="11"/>
      <c r="Z235" s="11"/>
    </row>
    <row r="236">
      <c r="A236" s="11"/>
      <c r="B236" s="11"/>
      <c r="C236" s="11"/>
      <c r="D236" s="11"/>
      <c r="E236" s="11"/>
      <c r="F236" s="12"/>
      <c r="G236" s="12"/>
      <c r="H236" s="12"/>
      <c r="I236" s="12"/>
      <c r="J236" s="11"/>
      <c r="K236" s="11"/>
      <c r="L236" s="11"/>
      <c r="M236" s="11"/>
      <c r="N236" s="11"/>
      <c r="O236" s="11"/>
      <c r="P236" s="11"/>
      <c r="Q236" s="11"/>
      <c r="R236" s="11"/>
      <c r="S236" s="11"/>
      <c r="T236" s="11"/>
      <c r="U236" s="11"/>
      <c r="V236" s="11"/>
      <c r="W236" s="11"/>
      <c r="X236" s="11"/>
      <c r="Y236" s="11"/>
      <c r="Z236" s="11"/>
    </row>
    <row r="237">
      <c r="A237" s="11"/>
      <c r="B237" s="11"/>
      <c r="C237" s="11"/>
      <c r="D237" s="11"/>
      <c r="E237" s="11"/>
      <c r="F237" s="12"/>
      <c r="G237" s="12"/>
      <c r="H237" s="12"/>
      <c r="I237" s="12"/>
      <c r="J237" s="11"/>
      <c r="K237" s="11"/>
      <c r="L237" s="11"/>
      <c r="M237" s="11"/>
      <c r="N237" s="11"/>
      <c r="O237" s="11"/>
      <c r="P237" s="11"/>
      <c r="Q237" s="11"/>
      <c r="R237" s="11"/>
      <c r="S237" s="11"/>
      <c r="T237" s="11"/>
      <c r="U237" s="11"/>
      <c r="V237" s="11"/>
      <c r="W237" s="11"/>
      <c r="X237" s="11"/>
      <c r="Y237" s="11"/>
      <c r="Z237" s="11"/>
    </row>
    <row r="238">
      <c r="A238" s="11"/>
      <c r="B238" s="11"/>
      <c r="C238" s="11"/>
      <c r="D238" s="11"/>
      <c r="E238" s="11"/>
      <c r="F238" s="12"/>
      <c r="G238" s="12"/>
      <c r="H238" s="12"/>
      <c r="I238" s="12"/>
      <c r="J238" s="11"/>
      <c r="K238" s="11"/>
      <c r="L238" s="11"/>
      <c r="M238" s="11"/>
      <c r="N238" s="11"/>
      <c r="O238" s="11"/>
      <c r="P238" s="11"/>
      <c r="Q238" s="11"/>
      <c r="R238" s="11"/>
      <c r="S238" s="11"/>
      <c r="T238" s="11"/>
      <c r="U238" s="11"/>
      <c r="V238" s="11"/>
      <c r="W238" s="11"/>
      <c r="X238" s="11"/>
      <c r="Y238" s="11"/>
      <c r="Z238" s="11"/>
    </row>
    <row r="239">
      <c r="A239" s="11"/>
      <c r="B239" s="11"/>
      <c r="C239" s="11"/>
      <c r="D239" s="11"/>
      <c r="E239" s="11"/>
      <c r="F239" s="12"/>
      <c r="G239" s="12"/>
      <c r="H239" s="12"/>
      <c r="I239" s="12"/>
      <c r="J239" s="11"/>
      <c r="K239" s="11"/>
      <c r="L239" s="11"/>
      <c r="M239" s="11"/>
      <c r="N239" s="11"/>
      <c r="O239" s="11"/>
      <c r="P239" s="11"/>
      <c r="Q239" s="11"/>
      <c r="R239" s="11"/>
      <c r="S239" s="11"/>
      <c r="T239" s="11"/>
      <c r="U239" s="11"/>
      <c r="V239" s="11"/>
      <c r="W239" s="11"/>
      <c r="X239" s="11"/>
      <c r="Y239" s="11"/>
      <c r="Z239" s="11"/>
    </row>
    <row r="240">
      <c r="A240" s="11"/>
      <c r="B240" s="11"/>
      <c r="C240" s="11"/>
      <c r="D240" s="11"/>
      <c r="E240" s="11"/>
      <c r="F240" s="12"/>
      <c r="G240" s="12"/>
      <c r="H240" s="12"/>
      <c r="I240" s="12"/>
      <c r="J240" s="11"/>
      <c r="K240" s="11"/>
      <c r="L240" s="11"/>
      <c r="M240" s="11"/>
      <c r="N240" s="11"/>
      <c r="O240" s="11"/>
      <c r="P240" s="11"/>
      <c r="Q240" s="11"/>
      <c r="R240" s="11"/>
      <c r="S240" s="11"/>
      <c r="T240" s="11"/>
      <c r="U240" s="11"/>
      <c r="V240" s="11"/>
      <c r="W240" s="11"/>
      <c r="X240" s="11"/>
      <c r="Y240" s="11"/>
      <c r="Z240" s="11"/>
    </row>
    <row r="241">
      <c r="A241" s="11"/>
      <c r="B241" s="11"/>
      <c r="C241" s="11"/>
      <c r="D241" s="11"/>
      <c r="E241" s="11"/>
      <c r="F241" s="12"/>
      <c r="G241" s="12"/>
      <c r="H241" s="12"/>
      <c r="I241" s="12"/>
      <c r="J241" s="11"/>
      <c r="K241" s="11"/>
      <c r="L241" s="11"/>
      <c r="M241" s="11"/>
      <c r="N241" s="11"/>
      <c r="O241" s="11"/>
      <c r="P241" s="11"/>
      <c r="Q241" s="11"/>
      <c r="R241" s="11"/>
      <c r="S241" s="11"/>
      <c r="T241" s="11"/>
      <c r="U241" s="11"/>
      <c r="V241" s="11"/>
      <c r="W241" s="11"/>
      <c r="X241" s="11"/>
      <c r="Y241" s="11"/>
      <c r="Z241" s="11"/>
    </row>
    <row r="242">
      <c r="A242" s="11"/>
      <c r="B242" s="11"/>
      <c r="C242" s="11"/>
      <c r="D242" s="11"/>
      <c r="E242" s="11"/>
      <c r="F242" s="12"/>
      <c r="G242" s="12"/>
      <c r="H242" s="12"/>
      <c r="I242" s="12"/>
      <c r="J242" s="11"/>
      <c r="K242" s="11"/>
      <c r="L242" s="11"/>
      <c r="M242" s="11"/>
      <c r="N242" s="11"/>
      <c r="O242" s="11"/>
      <c r="P242" s="11"/>
      <c r="Q242" s="11"/>
      <c r="R242" s="11"/>
      <c r="S242" s="11"/>
      <c r="T242" s="11"/>
      <c r="U242" s="11"/>
      <c r="V242" s="11"/>
      <c r="W242" s="11"/>
      <c r="X242" s="11"/>
      <c r="Y242" s="11"/>
      <c r="Z242" s="11"/>
    </row>
    <row r="243">
      <c r="A243" s="11"/>
      <c r="B243" s="11"/>
      <c r="C243" s="11"/>
      <c r="D243" s="11"/>
      <c r="E243" s="11"/>
      <c r="F243" s="12"/>
      <c r="G243" s="12"/>
      <c r="H243" s="12"/>
      <c r="I243" s="12"/>
      <c r="J243" s="11"/>
      <c r="K243" s="11"/>
      <c r="L243" s="11"/>
      <c r="M243" s="11"/>
      <c r="N243" s="11"/>
      <c r="O243" s="11"/>
      <c r="P243" s="11"/>
      <c r="Q243" s="11"/>
      <c r="R243" s="11"/>
      <c r="S243" s="11"/>
      <c r="T243" s="11"/>
      <c r="U243" s="11"/>
      <c r="V243" s="11"/>
      <c r="W243" s="11"/>
      <c r="X243" s="11"/>
      <c r="Y243" s="11"/>
      <c r="Z243" s="11"/>
    </row>
    <row r="244">
      <c r="A244" s="11"/>
      <c r="B244" s="11"/>
      <c r="C244" s="11"/>
      <c r="D244" s="11"/>
      <c r="E244" s="11"/>
      <c r="F244" s="12"/>
      <c r="G244" s="12"/>
      <c r="H244" s="12"/>
      <c r="I244" s="12"/>
      <c r="J244" s="11"/>
      <c r="K244" s="11"/>
      <c r="L244" s="11"/>
      <c r="M244" s="11"/>
      <c r="N244" s="11"/>
      <c r="O244" s="11"/>
      <c r="P244" s="11"/>
      <c r="Q244" s="11"/>
      <c r="R244" s="11"/>
      <c r="S244" s="11"/>
      <c r="T244" s="11"/>
      <c r="U244" s="11"/>
      <c r="V244" s="11"/>
      <c r="W244" s="11"/>
      <c r="X244" s="11"/>
      <c r="Y244" s="11"/>
      <c r="Z244" s="11"/>
    </row>
    <row r="245">
      <c r="A245" s="11"/>
      <c r="B245" s="11"/>
      <c r="C245" s="11"/>
      <c r="D245" s="11"/>
      <c r="E245" s="11"/>
      <c r="F245" s="12"/>
      <c r="G245" s="12"/>
      <c r="H245" s="12"/>
      <c r="I245" s="12"/>
      <c r="J245" s="11"/>
      <c r="K245" s="11"/>
      <c r="L245" s="11"/>
      <c r="M245" s="11"/>
      <c r="N245" s="11"/>
      <c r="O245" s="11"/>
      <c r="P245" s="11"/>
      <c r="Q245" s="11"/>
      <c r="R245" s="11"/>
      <c r="S245" s="11"/>
      <c r="T245" s="11"/>
      <c r="U245" s="11"/>
      <c r="V245" s="11"/>
      <c r="W245" s="11"/>
      <c r="X245" s="11"/>
      <c r="Y245" s="11"/>
      <c r="Z245" s="11"/>
    </row>
    <row r="246">
      <c r="A246" s="11"/>
      <c r="B246" s="11"/>
      <c r="C246" s="11"/>
      <c r="D246" s="11"/>
      <c r="E246" s="11"/>
      <c r="F246" s="12"/>
      <c r="G246" s="12"/>
      <c r="H246" s="12"/>
      <c r="I246" s="12"/>
      <c r="J246" s="11"/>
      <c r="K246" s="11"/>
      <c r="L246" s="11"/>
      <c r="M246" s="11"/>
      <c r="N246" s="11"/>
      <c r="O246" s="11"/>
      <c r="P246" s="11"/>
      <c r="Q246" s="11"/>
      <c r="R246" s="11"/>
      <c r="S246" s="11"/>
      <c r="T246" s="11"/>
      <c r="U246" s="11"/>
      <c r="V246" s="11"/>
      <c r="W246" s="11"/>
      <c r="X246" s="11"/>
      <c r="Y246" s="11"/>
      <c r="Z246" s="11"/>
    </row>
    <row r="247">
      <c r="A247" s="11"/>
      <c r="B247" s="11"/>
      <c r="C247" s="11"/>
      <c r="D247" s="11"/>
      <c r="E247" s="11"/>
      <c r="F247" s="12"/>
      <c r="G247" s="12"/>
      <c r="H247" s="12"/>
      <c r="I247" s="12"/>
      <c r="J247" s="11"/>
      <c r="K247" s="11"/>
      <c r="L247" s="11"/>
      <c r="M247" s="11"/>
      <c r="N247" s="11"/>
      <c r="O247" s="11"/>
      <c r="P247" s="11"/>
      <c r="Q247" s="11"/>
      <c r="R247" s="11"/>
      <c r="S247" s="11"/>
      <c r="T247" s="11"/>
      <c r="U247" s="11"/>
      <c r="V247" s="11"/>
      <c r="W247" s="11"/>
      <c r="X247" s="11"/>
      <c r="Y247" s="11"/>
      <c r="Z247" s="11"/>
    </row>
    <row r="248">
      <c r="A248" s="11"/>
      <c r="B248" s="11"/>
      <c r="C248" s="11"/>
      <c r="D248" s="11"/>
      <c r="E248" s="11"/>
      <c r="F248" s="12"/>
      <c r="G248" s="12"/>
      <c r="H248" s="12"/>
      <c r="I248" s="12"/>
      <c r="J248" s="11"/>
      <c r="K248" s="11"/>
      <c r="L248" s="11"/>
      <c r="M248" s="11"/>
      <c r="N248" s="11"/>
      <c r="O248" s="11"/>
      <c r="P248" s="11"/>
      <c r="Q248" s="11"/>
      <c r="R248" s="11"/>
      <c r="S248" s="11"/>
      <c r="T248" s="11"/>
      <c r="U248" s="11"/>
      <c r="V248" s="11"/>
      <c r="W248" s="11"/>
      <c r="X248" s="11"/>
      <c r="Y248" s="11"/>
      <c r="Z248" s="11"/>
    </row>
    <row r="249">
      <c r="A249" s="11"/>
      <c r="B249" s="11"/>
      <c r="C249" s="11"/>
      <c r="D249" s="11"/>
      <c r="E249" s="11"/>
      <c r="F249" s="12"/>
      <c r="G249" s="12"/>
      <c r="H249" s="12"/>
      <c r="I249" s="12"/>
      <c r="J249" s="11"/>
      <c r="K249" s="11"/>
      <c r="L249" s="11"/>
      <c r="M249" s="11"/>
      <c r="N249" s="11"/>
      <c r="O249" s="11"/>
      <c r="P249" s="11"/>
      <c r="Q249" s="11"/>
      <c r="R249" s="11"/>
      <c r="S249" s="11"/>
      <c r="T249" s="11"/>
      <c r="U249" s="11"/>
      <c r="V249" s="11"/>
      <c r="W249" s="11"/>
      <c r="X249" s="11"/>
      <c r="Y249" s="11"/>
      <c r="Z249" s="11"/>
    </row>
    <row r="250">
      <c r="A250" s="11"/>
      <c r="B250" s="11"/>
      <c r="C250" s="11"/>
      <c r="D250" s="11"/>
      <c r="E250" s="11"/>
      <c r="F250" s="12"/>
      <c r="G250" s="12"/>
      <c r="H250" s="12"/>
      <c r="I250" s="12"/>
      <c r="J250" s="11"/>
      <c r="K250" s="11"/>
      <c r="L250" s="11"/>
      <c r="M250" s="11"/>
      <c r="N250" s="11"/>
      <c r="O250" s="11"/>
      <c r="P250" s="11"/>
      <c r="Q250" s="11"/>
      <c r="R250" s="11"/>
      <c r="S250" s="11"/>
      <c r="T250" s="11"/>
      <c r="U250" s="11"/>
      <c r="V250" s="11"/>
      <c r="W250" s="11"/>
      <c r="X250" s="11"/>
      <c r="Y250" s="11"/>
      <c r="Z250" s="11"/>
    </row>
    <row r="251">
      <c r="A251" s="11"/>
      <c r="B251" s="11"/>
      <c r="C251" s="11"/>
      <c r="D251" s="11"/>
      <c r="E251" s="11"/>
      <c r="F251" s="12"/>
      <c r="G251" s="12"/>
      <c r="H251" s="12"/>
      <c r="I251" s="12"/>
      <c r="J251" s="11"/>
      <c r="K251" s="11"/>
      <c r="L251" s="11"/>
      <c r="M251" s="11"/>
      <c r="N251" s="11"/>
      <c r="O251" s="11"/>
      <c r="P251" s="11"/>
      <c r="Q251" s="11"/>
      <c r="R251" s="11"/>
      <c r="S251" s="11"/>
      <c r="T251" s="11"/>
      <c r="U251" s="11"/>
      <c r="V251" s="11"/>
      <c r="W251" s="11"/>
      <c r="X251" s="11"/>
      <c r="Y251" s="11"/>
      <c r="Z251" s="11"/>
    </row>
    <row r="252">
      <c r="A252" s="11"/>
      <c r="B252" s="11"/>
      <c r="C252" s="11"/>
      <c r="D252" s="11"/>
      <c r="E252" s="11"/>
      <c r="F252" s="12"/>
      <c r="G252" s="12"/>
      <c r="H252" s="12"/>
      <c r="I252" s="12"/>
      <c r="J252" s="11"/>
      <c r="K252" s="11"/>
      <c r="L252" s="11"/>
      <c r="M252" s="11"/>
      <c r="N252" s="11"/>
      <c r="O252" s="11"/>
      <c r="P252" s="11"/>
      <c r="Q252" s="11"/>
      <c r="R252" s="11"/>
      <c r="S252" s="11"/>
      <c r="T252" s="11"/>
      <c r="U252" s="11"/>
      <c r="V252" s="11"/>
      <c r="W252" s="11"/>
      <c r="X252" s="11"/>
      <c r="Y252" s="11"/>
      <c r="Z252" s="11"/>
    </row>
    <row r="253">
      <c r="A253" s="11"/>
      <c r="B253" s="11"/>
      <c r="C253" s="11"/>
      <c r="D253" s="11"/>
      <c r="E253" s="11"/>
      <c r="F253" s="12"/>
      <c r="G253" s="12"/>
      <c r="H253" s="12"/>
      <c r="I253" s="12"/>
      <c r="J253" s="11"/>
      <c r="K253" s="11"/>
      <c r="L253" s="11"/>
      <c r="M253" s="11"/>
      <c r="N253" s="11"/>
      <c r="O253" s="11"/>
      <c r="P253" s="11"/>
      <c r="Q253" s="11"/>
      <c r="R253" s="11"/>
      <c r="S253" s="11"/>
      <c r="T253" s="11"/>
      <c r="U253" s="11"/>
      <c r="V253" s="11"/>
      <c r="W253" s="11"/>
      <c r="X253" s="11"/>
      <c r="Y253" s="11"/>
      <c r="Z253" s="11"/>
    </row>
    <row r="254">
      <c r="A254" s="11"/>
      <c r="B254" s="11"/>
      <c r="C254" s="11"/>
      <c r="D254" s="11"/>
      <c r="E254" s="11"/>
      <c r="F254" s="12"/>
      <c r="G254" s="12"/>
      <c r="H254" s="12"/>
      <c r="I254" s="12"/>
      <c r="J254" s="11"/>
      <c r="K254" s="11"/>
      <c r="L254" s="11"/>
      <c r="M254" s="11"/>
      <c r="N254" s="11"/>
      <c r="O254" s="11"/>
      <c r="P254" s="11"/>
      <c r="Q254" s="11"/>
      <c r="R254" s="11"/>
      <c r="S254" s="11"/>
      <c r="T254" s="11"/>
      <c r="U254" s="11"/>
      <c r="V254" s="11"/>
      <c r="W254" s="11"/>
      <c r="X254" s="11"/>
      <c r="Y254" s="11"/>
      <c r="Z254" s="11"/>
    </row>
    <row r="255">
      <c r="A255" s="11"/>
      <c r="B255" s="11"/>
      <c r="C255" s="11"/>
      <c r="D255" s="11"/>
      <c r="E255" s="11"/>
      <c r="F255" s="12"/>
      <c r="G255" s="12"/>
      <c r="H255" s="12"/>
      <c r="I255" s="12"/>
      <c r="J255" s="11"/>
      <c r="K255" s="11"/>
      <c r="L255" s="11"/>
      <c r="M255" s="11"/>
      <c r="N255" s="11"/>
      <c r="O255" s="11"/>
      <c r="P255" s="11"/>
      <c r="Q255" s="11"/>
      <c r="R255" s="11"/>
      <c r="S255" s="11"/>
      <c r="T255" s="11"/>
      <c r="U255" s="11"/>
      <c r="V255" s="11"/>
      <c r="W255" s="11"/>
      <c r="X255" s="11"/>
      <c r="Y255" s="11"/>
      <c r="Z255" s="11"/>
    </row>
    <row r="256">
      <c r="A256" s="11"/>
      <c r="B256" s="11"/>
      <c r="C256" s="11"/>
      <c r="D256" s="11"/>
      <c r="E256" s="11"/>
      <c r="F256" s="12"/>
      <c r="G256" s="12"/>
      <c r="H256" s="12"/>
      <c r="I256" s="12"/>
      <c r="J256" s="11"/>
      <c r="K256" s="11"/>
      <c r="L256" s="11"/>
      <c r="M256" s="11"/>
      <c r="N256" s="11"/>
      <c r="O256" s="11"/>
      <c r="P256" s="11"/>
      <c r="Q256" s="11"/>
      <c r="R256" s="11"/>
      <c r="S256" s="11"/>
      <c r="T256" s="11"/>
      <c r="U256" s="11"/>
      <c r="V256" s="11"/>
      <c r="W256" s="11"/>
      <c r="X256" s="11"/>
      <c r="Y256" s="11"/>
      <c r="Z256" s="11"/>
    </row>
    <row r="257">
      <c r="A257" s="11"/>
      <c r="B257" s="11"/>
      <c r="C257" s="11"/>
      <c r="D257" s="11"/>
      <c r="E257" s="11"/>
      <c r="F257" s="12"/>
      <c r="G257" s="12"/>
      <c r="H257" s="12"/>
      <c r="I257" s="12"/>
      <c r="J257" s="11"/>
      <c r="K257" s="11"/>
      <c r="L257" s="11"/>
      <c r="M257" s="11"/>
      <c r="N257" s="11"/>
      <c r="O257" s="11"/>
      <c r="P257" s="11"/>
      <c r="Q257" s="11"/>
      <c r="R257" s="11"/>
      <c r="S257" s="11"/>
      <c r="T257" s="11"/>
      <c r="U257" s="11"/>
      <c r="V257" s="11"/>
      <c r="W257" s="11"/>
      <c r="X257" s="11"/>
      <c r="Y257" s="11"/>
      <c r="Z257" s="11"/>
    </row>
    <row r="258">
      <c r="A258" s="11"/>
      <c r="B258" s="11"/>
      <c r="C258" s="11"/>
      <c r="D258" s="11"/>
      <c r="E258" s="11"/>
      <c r="F258" s="12"/>
      <c r="G258" s="12"/>
      <c r="H258" s="12"/>
      <c r="I258" s="12"/>
      <c r="J258" s="11"/>
      <c r="K258" s="11"/>
      <c r="L258" s="11"/>
      <c r="M258" s="11"/>
      <c r="N258" s="11"/>
      <c r="O258" s="11"/>
      <c r="P258" s="11"/>
      <c r="Q258" s="11"/>
      <c r="R258" s="11"/>
      <c r="S258" s="11"/>
      <c r="T258" s="11"/>
      <c r="U258" s="11"/>
      <c r="V258" s="11"/>
      <c r="W258" s="11"/>
      <c r="X258" s="11"/>
      <c r="Y258" s="11"/>
      <c r="Z258" s="11"/>
    </row>
    <row r="259">
      <c r="A259" s="11"/>
      <c r="B259" s="11"/>
      <c r="C259" s="11"/>
      <c r="D259" s="11"/>
      <c r="E259" s="11"/>
      <c r="F259" s="12"/>
      <c r="G259" s="12"/>
      <c r="H259" s="12"/>
      <c r="I259" s="12"/>
      <c r="J259" s="11"/>
      <c r="K259" s="11"/>
      <c r="L259" s="11"/>
      <c r="M259" s="11"/>
      <c r="N259" s="11"/>
      <c r="O259" s="11"/>
      <c r="P259" s="11"/>
      <c r="Q259" s="11"/>
      <c r="R259" s="11"/>
      <c r="S259" s="11"/>
      <c r="T259" s="11"/>
      <c r="U259" s="11"/>
      <c r="V259" s="11"/>
      <c r="W259" s="11"/>
      <c r="X259" s="11"/>
      <c r="Y259" s="11"/>
      <c r="Z259" s="11"/>
    </row>
    <row r="260">
      <c r="A260" s="11"/>
      <c r="B260" s="11"/>
      <c r="C260" s="11"/>
      <c r="D260" s="11"/>
      <c r="E260" s="11"/>
      <c r="F260" s="12"/>
      <c r="G260" s="12"/>
      <c r="H260" s="12"/>
      <c r="I260" s="12"/>
      <c r="J260" s="11"/>
      <c r="K260" s="11"/>
      <c r="L260" s="11"/>
      <c r="M260" s="11"/>
      <c r="N260" s="11"/>
      <c r="O260" s="11"/>
      <c r="P260" s="11"/>
      <c r="Q260" s="11"/>
      <c r="R260" s="11"/>
      <c r="S260" s="11"/>
      <c r="T260" s="11"/>
      <c r="U260" s="11"/>
      <c r="V260" s="11"/>
      <c r="W260" s="11"/>
      <c r="X260" s="11"/>
      <c r="Y260" s="11"/>
      <c r="Z260" s="11"/>
    </row>
    <row r="261">
      <c r="A261" s="11"/>
      <c r="B261" s="11"/>
      <c r="C261" s="11"/>
      <c r="D261" s="11"/>
      <c r="E261" s="11"/>
      <c r="F261" s="12"/>
      <c r="G261" s="12"/>
      <c r="H261" s="12"/>
      <c r="I261" s="12"/>
      <c r="J261" s="11"/>
      <c r="K261" s="11"/>
      <c r="L261" s="11"/>
      <c r="M261" s="11"/>
      <c r="N261" s="11"/>
      <c r="O261" s="11"/>
      <c r="P261" s="11"/>
      <c r="Q261" s="11"/>
      <c r="R261" s="11"/>
      <c r="S261" s="11"/>
      <c r="T261" s="11"/>
      <c r="U261" s="11"/>
      <c r="V261" s="11"/>
      <c r="W261" s="11"/>
      <c r="X261" s="11"/>
      <c r="Y261" s="11"/>
      <c r="Z261" s="11"/>
    </row>
    <row r="262">
      <c r="A262" s="11"/>
      <c r="B262" s="11"/>
      <c r="C262" s="11"/>
      <c r="D262" s="11"/>
      <c r="E262" s="11"/>
      <c r="F262" s="12"/>
      <c r="G262" s="12"/>
      <c r="H262" s="12"/>
      <c r="I262" s="12"/>
      <c r="J262" s="11"/>
      <c r="K262" s="11"/>
      <c r="L262" s="11"/>
      <c r="M262" s="11"/>
      <c r="N262" s="11"/>
      <c r="O262" s="11"/>
      <c r="P262" s="11"/>
      <c r="Q262" s="11"/>
      <c r="R262" s="11"/>
      <c r="S262" s="11"/>
      <c r="T262" s="11"/>
      <c r="U262" s="11"/>
      <c r="V262" s="11"/>
      <c r="W262" s="11"/>
      <c r="X262" s="11"/>
      <c r="Y262" s="11"/>
      <c r="Z262" s="11"/>
    </row>
    <row r="263">
      <c r="A263" s="11"/>
      <c r="B263" s="11"/>
      <c r="C263" s="11"/>
      <c r="D263" s="11"/>
      <c r="E263" s="11"/>
      <c r="F263" s="12"/>
      <c r="G263" s="12"/>
      <c r="H263" s="12"/>
      <c r="I263" s="12"/>
      <c r="J263" s="11"/>
      <c r="K263" s="11"/>
      <c r="L263" s="11"/>
      <c r="M263" s="11"/>
      <c r="N263" s="11"/>
      <c r="O263" s="11"/>
      <c r="P263" s="11"/>
      <c r="Q263" s="11"/>
      <c r="R263" s="11"/>
      <c r="S263" s="11"/>
      <c r="T263" s="11"/>
      <c r="U263" s="11"/>
      <c r="V263" s="11"/>
      <c r="W263" s="11"/>
      <c r="X263" s="11"/>
      <c r="Y263" s="11"/>
      <c r="Z263" s="11"/>
    </row>
    <row r="264">
      <c r="A264" s="11"/>
      <c r="B264" s="11"/>
      <c r="C264" s="11"/>
      <c r="D264" s="11"/>
      <c r="E264" s="11"/>
      <c r="F264" s="12"/>
      <c r="G264" s="12"/>
      <c r="H264" s="12"/>
      <c r="I264" s="12"/>
      <c r="J264" s="11"/>
      <c r="K264" s="11"/>
      <c r="L264" s="11"/>
      <c r="M264" s="11"/>
      <c r="N264" s="11"/>
      <c r="O264" s="11"/>
      <c r="P264" s="11"/>
      <c r="Q264" s="11"/>
      <c r="R264" s="11"/>
      <c r="S264" s="11"/>
      <c r="T264" s="11"/>
      <c r="U264" s="11"/>
      <c r="V264" s="11"/>
      <c r="W264" s="11"/>
      <c r="X264" s="11"/>
      <c r="Y264" s="11"/>
      <c r="Z264" s="11"/>
    </row>
    <row r="265">
      <c r="A265" s="11"/>
      <c r="B265" s="11"/>
      <c r="C265" s="11"/>
      <c r="D265" s="11"/>
      <c r="E265" s="11"/>
      <c r="F265" s="12"/>
      <c r="G265" s="12"/>
      <c r="H265" s="12"/>
      <c r="I265" s="12"/>
      <c r="J265" s="11"/>
      <c r="K265" s="11"/>
      <c r="L265" s="11"/>
      <c r="M265" s="11"/>
      <c r="N265" s="11"/>
      <c r="O265" s="11"/>
      <c r="P265" s="11"/>
      <c r="Q265" s="11"/>
      <c r="R265" s="11"/>
      <c r="S265" s="11"/>
      <c r="T265" s="11"/>
      <c r="U265" s="11"/>
      <c r="V265" s="11"/>
      <c r="W265" s="11"/>
      <c r="X265" s="11"/>
      <c r="Y265" s="11"/>
      <c r="Z265" s="11"/>
    </row>
    <row r="266">
      <c r="A266" s="11"/>
      <c r="B266" s="11"/>
      <c r="C266" s="11"/>
      <c r="D266" s="11"/>
      <c r="E266" s="11"/>
      <c r="F266" s="12"/>
      <c r="G266" s="12"/>
      <c r="H266" s="12"/>
      <c r="I266" s="12"/>
      <c r="J266" s="11"/>
      <c r="K266" s="11"/>
      <c r="L266" s="11"/>
      <c r="M266" s="11"/>
      <c r="N266" s="11"/>
      <c r="O266" s="11"/>
      <c r="P266" s="11"/>
      <c r="Q266" s="11"/>
      <c r="R266" s="11"/>
      <c r="S266" s="11"/>
      <c r="T266" s="11"/>
      <c r="U266" s="11"/>
      <c r="V266" s="11"/>
      <c r="W266" s="11"/>
      <c r="X266" s="11"/>
      <c r="Y266" s="11"/>
      <c r="Z266" s="11"/>
    </row>
    <row r="267">
      <c r="A267" s="11"/>
      <c r="B267" s="11"/>
      <c r="C267" s="11"/>
      <c r="D267" s="11"/>
      <c r="E267" s="11"/>
      <c r="F267" s="12"/>
      <c r="G267" s="12"/>
      <c r="H267" s="12"/>
      <c r="I267" s="12"/>
      <c r="J267" s="11"/>
      <c r="K267" s="11"/>
      <c r="L267" s="11"/>
      <c r="M267" s="11"/>
      <c r="N267" s="11"/>
      <c r="O267" s="11"/>
      <c r="P267" s="11"/>
      <c r="Q267" s="11"/>
      <c r="R267" s="11"/>
      <c r="S267" s="11"/>
      <c r="T267" s="11"/>
      <c r="U267" s="11"/>
      <c r="V267" s="11"/>
      <c r="W267" s="11"/>
      <c r="X267" s="11"/>
      <c r="Y267" s="11"/>
      <c r="Z267" s="11"/>
    </row>
    <row r="268">
      <c r="A268" s="11"/>
      <c r="B268" s="11"/>
      <c r="C268" s="11"/>
      <c r="D268" s="11"/>
      <c r="E268" s="11"/>
      <c r="F268" s="12"/>
      <c r="G268" s="12"/>
      <c r="H268" s="12"/>
      <c r="I268" s="12"/>
      <c r="J268" s="11"/>
      <c r="K268" s="11"/>
      <c r="L268" s="11"/>
      <c r="M268" s="11"/>
      <c r="N268" s="11"/>
      <c r="O268" s="11"/>
      <c r="P268" s="11"/>
      <c r="Q268" s="11"/>
      <c r="R268" s="11"/>
      <c r="S268" s="11"/>
      <c r="T268" s="11"/>
      <c r="U268" s="11"/>
      <c r="V268" s="11"/>
      <c r="W268" s="11"/>
      <c r="X268" s="11"/>
      <c r="Y268" s="11"/>
      <c r="Z268" s="11"/>
    </row>
    <row r="269">
      <c r="A269" s="11"/>
      <c r="B269" s="11"/>
      <c r="C269" s="11"/>
      <c r="D269" s="11"/>
      <c r="E269" s="11"/>
      <c r="F269" s="12"/>
      <c r="G269" s="12"/>
      <c r="H269" s="12"/>
      <c r="I269" s="12"/>
      <c r="J269" s="11"/>
      <c r="K269" s="11"/>
      <c r="L269" s="11"/>
      <c r="M269" s="11"/>
      <c r="N269" s="11"/>
      <c r="O269" s="11"/>
      <c r="P269" s="11"/>
      <c r="Q269" s="11"/>
      <c r="R269" s="11"/>
      <c r="S269" s="11"/>
      <c r="T269" s="11"/>
      <c r="U269" s="11"/>
      <c r="V269" s="11"/>
      <c r="W269" s="11"/>
      <c r="X269" s="11"/>
      <c r="Y269" s="11"/>
      <c r="Z269" s="11"/>
    </row>
    <row r="270">
      <c r="A270" s="11"/>
      <c r="B270" s="11"/>
      <c r="C270" s="11"/>
      <c r="D270" s="11"/>
      <c r="E270" s="11"/>
      <c r="F270" s="12"/>
      <c r="G270" s="12"/>
      <c r="H270" s="12"/>
      <c r="I270" s="12"/>
      <c r="J270" s="11"/>
      <c r="K270" s="11"/>
      <c r="L270" s="11"/>
      <c r="M270" s="11"/>
      <c r="N270" s="11"/>
      <c r="O270" s="11"/>
      <c r="P270" s="11"/>
      <c r="Q270" s="11"/>
      <c r="R270" s="11"/>
      <c r="S270" s="11"/>
      <c r="T270" s="11"/>
      <c r="U270" s="11"/>
      <c r="V270" s="11"/>
      <c r="W270" s="11"/>
      <c r="X270" s="11"/>
      <c r="Y270" s="11"/>
      <c r="Z270" s="11"/>
    </row>
    <row r="271">
      <c r="A271" s="11"/>
      <c r="B271" s="11"/>
      <c r="C271" s="11"/>
      <c r="D271" s="11"/>
      <c r="E271" s="11"/>
      <c r="F271" s="12"/>
      <c r="G271" s="12"/>
      <c r="H271" s="12"/>
      <c r="I271" s="12"/>
      <c r="J271" s="11"/>
      <c r="K271" s="11"/>
      <c r="L271" s="11"/>
      <c r="M271" s="11"/>
      <c r="N271" s="11"/>
      <c r="O271" s="11"/>
      <c r="P271" s="11"/>
      <c r="Q271" s="11"/>
      <c r="R271" s="11"/>
      <c r="S271" s="11"/>
      <c r="T271" s="11"/>
      <c r="U271" s="11"/>
      <c r="V271" s="11"/>
      <c r="W271" s="11"/>
      <c r="X271" s="11"/>
      <c r="Y271" s="11"/>
      <c r="Z271" s="11"/>
    </row>
    <row r="272">
      <c r="A272" s="11"/>
      <c r="B272" s="11"/>
      <c r="C272" s="11"/>
      <c r="D272" s="11"/>
      <c r="E272" s="11"/>
      <c r="F272" s="12"/>
      <c r="G272" s="12"/>
      <c r="H272" s="12"/>
      <c r="I272" s="12"/>
      <c r="J272" s="11"/>
      <c r="K272" s="11"/>
      <c r="L272" s="11"/>
      <c r="M272" s="11"/>
      <c r="N272" s="11"/>
      <c r="O272" s="11"/>
      <c r="P272" s="11"/>
      <c r="Q272" s="11"/>
      <c r="R272" s="11"/>
      <c r="S272" s="11"/>
      <c r="T272" s="11"/>
      <c r="U272" s="11"/>
      <c r="V272" s="11"/>
      <c r="W272" s="11"/>
      <c r="X272" s="11"/>
      <c r="Y272" s="11"/>
      <c r="Z272" s="11"/>
    </row>
    <row r="273">
      <c r="A273" s="11"/>
      <c r="B273" s="11"/>
      <c r="C273" s="11"/>
      <c r="D273" s="11"/>
      <c r="E273" s="11"/>
      <c r="F273" s="12"/>
      <c r="G273" s="12"/>
      <c r="H273" s="12"/>
      <c r="I273" s="12"/>
      <c r="J273" s="11"/>
      <c r="K273" s="11"/>
      <c r="L273" s="11"/>
      <c r="M273" s="11"/>
      <c r="N273" s="11"/>
      <c r="O273" s="11"/>
      <c r="P273" s="11"/>
      <c r="Q273" s="11"/>
      <c r="R273" s="11"/>
      <c r="S273" s="11"/>
      <c r="T273" s="11"/>
      <c r="U273" s="11"/>
      <c r="V273" s="11"/>
      <c r="W273" s="11"/>
      <c r="X273" s="11"/>
      <c r="Y273" s="11"/>
      <c r="Z273" s="11"/>
    </row>
    <row r="274">
      <c r="A274" s="11"/>
      <c r="B274" s="11"/>
      <c r="C274" s="11"/>
      <c r="D274" s="11"/>
      <c r="E274" s="11"/>
      <c r="F274" s="12"/>
      <c r="G274" s="12"/>
      <c r="H274" s="12"/>
      <c r="I274" s="12"/>
      <c r="J274" s="11"/>
      <c r="K274" s="11"/>
      <c r="L274" s="11"/>
      <c r="M274" s="11"/>
      <c r="N274" s="11"/>
      <c r="O274" s="11"/>
      <c r="P274" s="11"/>
      <c r="Q274" s="11"/>
      <c r="R274" s="11"/>
      <c r="S274" s="11"/>
      <c r="T274" s="11"/>
      <c r="U274" s="11"/>
      <c r="V274" s="11"/>
      <c r="W274" s="11"/>
      <c r="X274" s="11"/>
      <c r="Y274" s="11"/>
      <c r="Z274" s="11"/>
    </row>
    <row r="275">
      <c r="A275" s="11"/>
      <c r="B275" s="11"/>
      <c r="C275" s="11"/>
      <c r="D275" s="11"/>
      <c r="E275" s="11"/>
      <c r="F275" s="12"/>
      <c r="G275" s="12"/>
      <c r="H275" s="12"/>
      <c r="I275" s="12"/>
      <c r="J275" s="11"/>
      <c r="K275" s="11"/>
      <c r="L275" s="11"/>
      <c r="M275" s="11"/>
      <c r="N275" s="11"/>
      <c r="O275" s="11"/>
      <c r="P275" s="11"/>
      <c r="Q275" s="11"/>
      <c r="R275" s="11"/>
      <c r="S275" s="11"/>
      <c r="T275" s="11"/>
      <c r="U275" s="11"/>
      <c r="V275" s="11"/>
      <c r="W275" s="11"/>
      <c r="X275" s="11"/>
      <c r="Y275" s="11"/>
      <c r="Z275" s="11"/>
    </row>
    <row r="276">
      <c r="A276" s="11"/>
      <c r="B276" s="11"/>
      <c r="C276" s="11"/>
      <c r="D276" s="11"/>
      <c r="E276" s="11"/>
      <c r="F276" s="12"/>
      <c r="G276" s="12"/>
      <c r="H276" s="12"/>
      <c r="I276" s="12"/>
      <c r="J276" s="11"/>
      <c r="K276" s="11"/>
      <c r="L276" s="11"/>
      <c r="M276" s="11"/>
      <c r="N276" s="11"/>
      <c r="O276" s="11"/>
      <c r="P276" s="11"/>
      <c r="Q276" s="11"/>
      <c r="R276" s="11"/>
      <c r="S276" s="11"/>
      <c r="T276" s="11"/>
      <c r="U276" s="11"/>
      <c r="V276" s="11"/>
      <c r="W276" s="11"/>
      <c r="X276" s="11"/>
      <c r="Y276" s="11"/>
      <c r="Z276" s="11"/>
    </row>
    <row r="277">
      <c r="A277" s="11"/>
      <c r="B277" s="11"/>
      <c r="C277" s="11"/>
      <c r="D277" s="11"/>
      <c r="E277" s="11"/>
      <c r="F277" s="12"/>
      <c r="G277" s="12"/>
      <c r="H277" s="12"/>
      <c r="I277" s="12"/>
      <c r="J277" s="11"/>
      <c r="K277" s="11"/>
      <c r="L277" s="11"/>
      <c r="M277" s="11"/>
      <c r="N277" s="11"/>
      <c r="O277" s="11"/>
      <c r="P277" s="11"/>
      <c r="Q277" s="11"/>
      <c r="R277" s="11"/>
      <c r="S277" s="11"/>
      <c r="T277" s="11"/>
      <c r="U277" s="11"/>
      <c r="V277" s="11"/>
      <c r="W277" s="11"/>
      <c r="X277" s="11"/>
      <c r="Y277" s="11"/>
      <c r="Z277" s="11"/>
    </row>
    <row r="278">
      <c r="A278" s="11"/>
      <c r="B278" s="11"/>
      <c r="C278" s="11"/>
      <c r="D278" s="11"/>
      <c r="E278" s="11"/>
      <c r="F278" s="12"/>
      <c r="G278" s="12"/>
      <c r="H278" s="12"/>
      <c r="I278" s="12"/>
      <c r="J278" s="11"/>
      <c r="K278" s="11"/>
      <c r="L278" s="11"/>
      <c r="M278" s="11"/>
      <c r="N278" s="11"/>
      <c r="O278" s="11"/>
      <c r="P278" s="11"/>
      <c r="Q278" s="11"/>
      <c r="R278" s="11"/>
      <c r="S278" s="11"/>
      <c r="T278" s="11"/>
      <c r="U278" s="11"/>
      <c r="V278" s="11"/>
      <c r="W278" s="11"/>
      <c r="X278" s="11"/>
      <c r="Y278" s="11"/>
      <c r="Z278" s="11"/>
    </row>
    <row r="279">
      <c r="A279" s="11"/>
      <c r="B279" s="11"/>
      <c r="C279" s="11"/>
      <c r="D279" s="11"/>
      <c r="E279" s="11"/>
      <c r="F279" s="12"/>
      <c r="G279" s="12"/>
      <c r="H279" s="12"/>
      <c r="I279" s="12"/>
      <c r="J279" s="11"/>
      <c r="K279" s="11"/>
      <c r="L279" s="11"/>
      <c r="M279" s="11"/>
      <c r="N279" s="11"/>
      <c r="O279" s="11"/>
      <c r="P279" s="11"/>
      <c r="Q279" s="11"/>
      <c r="R279" s="11"/>
      <c r="S279" s="11"/>
      <c r="T279" s="11"/>
      <c r="U279" s="11"/>
      <c r="V279" s="11"/>
      <c r="W279" s="11"/>
      <c r="X279" s="11"/>
      <c r="Y279" s="11"/>
      <c r="Z279" s="11"/>
    </row>
    <row r="280">
      <c r="A280" s="11"/>
      <c r="B280" s="11"/>
      <c r="C280" s="11"/>
      <c r="D280" s="11"/>
      <c r="E280" s="11"/>
      <c r="F280" s="12"/>
      <c r="G280" s="12"/>
      <c r="H280" s="12"/>
      <c r="I280" s="12"/>
      <c r="J280" s="11"/>
      <c r="K280" s="11"/>
      <c r="L280" s="11"/>
      <c r="M280" s="11"/>
      <c r="N280" s="11"/>
      <c r="O280" s="11"/>
      <c r="P280" s="11"/>
      <c r="Q280" s="11"/>
      <c r="R280" s="11"/>
      <c r="S280" s="11"/>
      <c r="T280" s="11"/>
      <c r="U280" s="11"/>
      <c r="V280" s="11"/>
      <c r="W280" s="11"/>
      <c r="X280" s="11"/>
      <c r="Y280" s="11"/>
      <c r="Z280" s="11"/>
    </row>
    <row r="281">
      <c r="A281" s="11"/>
      <c r="B281" s="11"/>
      <c r="C281" s="11"/>
      <c r="D281" s="11"/>
      <c r="E281" s="11"/>
      <c r="F281" s="12"/>
      <c r="G281" s="12"/>
      <c r="H281" s="12"/>
      <c r="I281" s="12"/>
      <c r="J281" s="11"/>
      <c r="K281" s="11"/>
      <c r="L281" s="11"/>
      <c r="M281" s="11"/>
      <c r="N281" s="11"/>
      <c r="O281" s="11"/>
      <c r="P281" s="11"/>
      <c r="Q281" s="11"/>
      <c r="R281" s="11"/>
      <c r="S281" s="11"/>
      <c r="T281" s="11"/>
      <c r="U281" s="11"/>
      <c r="V281" s="11"/>
      <c r="W281" s="11"/>
      <c r="X281" s="11"/>
      <c r="Y281" s="11"/>
      <c r="Z281" s="11"/>
    </row>
    <row r="282">
      <c r="A282" s="11"/>
      <c r="B282" s="11"/>
      <c r="C282" s="11"/>
      <c r="D282" s="11"/>
      <c r="E282" s="11"/>
      <c r="F282" s="12"/>
      <c r="G282" s="12"/>
      <c r="H282" s="12"/>
      <c r="I282" s="12"/>
      <c r="J282" s="11"/>
      <c r="K282" s="11"/>
      <c r="L282" s="11"/>
      <c r="M282" s="11"/>
      <c r="N282" s="11"/>
      <c r="O282" s="11"/>
      <c r="P282" s="11"/>
      <c r="Q282" s="11"/>
      <c r="R282" s="11"/>
      <c r="S282" s="11"/>
      <c r="T282" s="11"/>
      <c r="U282" s="11"/>
      <c r="V282" s="11"/>
      <c r="W282" s="11"/>
      <c r="X282" s="11"/>
      <c r="Y282" s="11"/>
      <c r="Z282" s="11"/>
    </row>
    <row r="283">
      <c r="A283" s="11"/>
      <c r="B283" s="11"/>
      <c r="C283" s="11"/>
      <c r="D283" s="11"/>
      <c r="E283" s="11"/>
      <c r="F283" s="12"/>
      <c r="G283" s="12"/>
      <c r="H283" s="12"/>
      <c r="I283" s="12"/>
      <c r="J283" s="11"/>
      <c r="K283" s="11"/>
      <c r="L283" s="11"/>
      <c r="M283" s="11"/>
      <c r="N283" s="11"/>
      <c r="O283" s="11"/>
      <c r="P283" s="11"/>
      <c r="Q283" s="11"/>
      <c r="R283" s="11"/>
      <c r="S283" s="11"/>
      <c r="T283" s="11"/>
      <c r="U283" s="11"/>
      <c r="V283" s="11"/>
      <c r="W283" s="11"/>
      <c r="X283" s="11"/>
      <c r="Y283" s="11"/>
      <c r="Z283" s="11"/>
    </row>
    <row r="284">
      <c r="A284" s="11"/>
      <c r="B284" s="11"/>
      <c r="C284" s="11"/>
      <c r="D284" s="11"/>
      <c r="E284" s="11"/>
      <c r="F284" s="12"/>
      <c r="G284" s="12"/>
      <c r="H284" s="12"/>
      <c r="I284" s="12"/>
      <c r="J284" s="11"/>
      <c r="K284" s="11"/>
      <c r="L284" s="11"/>
      <c r="M284" s="11"/>
      <c r="N284" s="11"/>
      <c r="O284" s="11"/>
      <c r="P284" s="11"/>
      <c r="Q284" s="11"/>
      <c r="R284" s="11"/>
      <c r="S284" s="11"/>
      <c r="T284" s="11"/>
      <c r="U284" s="11"/>
      <c r="V284" s="11"/>
      <c r="W284" s="11"/>
      <c r="X284" s="11"/>
      <c r="Y284" s="11"/>
      <c r="Z284" s="11"/>
    </row>
    <row r="285">
      <c r="A285" s="11"/>
      <c r="B285" s="11"/>
      <c r="C285" s="11"/>
      <c r="D285" s="11"/>
      <c r="E285" s="11"/>
      <c r="F285" s="12"/>
      <c r="G285" s="12"/>
      <c r="H285" s="12"/>
      <c r="I285" s="12"/>
      <c r="J285" s="11"/>
      <c r="K285" s="11"/>
      <c r="L285" s="11"/>
      <c r="M285" s="11"/>
      <c r="N285" s="11"/>
      <c r="O285" s="11"/>
      <c r="P285" s="11"/>
      <c r="Q285" s="11"/>
      <c r="R285" s="11"/>
      <c r="S285" s="11"/>
      <c r="T285" s="11"/>
      <c r="U285" s="11"/>
      <c r="V285" s="11"/>
      <c r="W285" s="11"/>
      <c r="X285" s="11"/>
      <c r="Y285" s="11"/>
      <c r="Z285" s="11"/>
    </row>
    <row r="286">
      <c r="A286" s="11"/>
      <c r="B286" s="11"/>
      <c r="C286" s="11"/>
      <c r="D286" s="11"/>
      <c r="E286" s="11"/>
      <c r="F286" s="12"/>
      <c r="G286" s="12"/>
      <c r="H286" s="12"/>
      <c r="I286" s="12"/>
      <c r="J286" s="11"/>
      <c r="K286" s="11"/>
      <c r="L286" s="11"/>
      <c r="M286" s="11"/>
      <c r="N286" s="11"/>
      <c r="O286" s="11"/>
      <c r="P286" s="11"/>
      <c r="Q286" s="11"/>
      <c r="R286" s="11"/>
      <c r="S286" s="11"/>
      <c r="T286" s="11"/>
      <c r="U286" s="11"/>
      <c r="V286" s="11"/>
      <c r="W286" s="11"/>
      <c r="X286" s="11"/>
      <c r="Y286" s="11"/>
      <c r="Z286" s="11"/>
    </row>
    <row r="287">
      <c r="A287" s="11"/>
      <c r="B287" s="11"/>
      <c r="C287" s="11"/>
      <c r="D287" s="11"/>
      <c r="E287" s="11"/>
      <c r="F287" s="12"/>
      <c r="G287" s="12"/>
      <c r="H287" s="12"/>
      <c r="I287" s="12"/>
      <c r="J287" s="11"/>
      <c r="K287" s="11"/>
      <c r="L287" s="11"/>
      <c r="M287" s="11"/>
      <c r="N287" s="11"/>
      <c r="O287" s="11"/>
      <c r="P287" s="11"/>
      <c r="Q287" s="11"/>
      <c r="R287" s="11"/>
      <c r="S287" s="11"/>
      <c r="T287" s="11"/>
      <c r="U287" s="11"/>
      <c r="V287" s="11"/>
      <c r="W287" s="11"/>
      <c r="X287" s="11"/>
      <c r="Y287" s="11"/>
      <c r="Z287" s="11"/>
    </row>
    <row r="288">
      <c r="A288" s="11"/>
      <c r="B288" s="11"/>
      <c r="C288" s="11"/>
      <c r="D288" s="11"/>
      <c r="E288" s="11"/>
      <c r="F288" s="12"/>
      <c r="G288" s="12"/>
      <c r="H288" s="12"/>
      <c r="I288" s="12"/>
      <c r="J288" s="11"/>
      <c r="K288" s="11"/>
      <c r="L288" s="11"/>
      <c r="M288" s="11"/>
      <c r="N288" s="11"/>
      <c r="O288" s="11"/>
      <c r="P288" s="11"/>
      <c r="Q288" s="11"/>
      <c r="R288" s="11"/>
      <c r="S288" s="11"/>
      <c r="T288" s="11"/>
      <c r="U288" s="11"/>
      <c r="V288" s="11"/>
      <c r="W288" s="11"/>
      <c r="X288" s="11"/>
      <c r="Y288" s="11"/>
      <c r="Z288" s="11"/>
    </row>
    <row r="289">
      <c r="A289" s="11"/>
      <c r="B289" s="11"/>
      <c r="C289" s="11"/>
      <c r="D289" s="11"/>
      <c r="E289" s="11"/>
      <c r="F289" s="12"/>
      <c r="G289" s="12"/>
      <c r="H289" s="12"/>
      <c r="I289" s="12"/>
      <c r="J289" s="11"/>
      <c r="K289" s="11"/>
      <c r="L289" s="11"/>
      <c r="M289" s="11"/>
      <c r="N289" s="11"/>
      <c r="O289" s="11"/>
      <c r="P289" s="11"/>
      <c r="Q289" s="11"/>
      <c r="R289" s="11"/>
      <c r="S289" s="11"/>
      <c r="T289" s="11"/>
      <c r="U289" s="11"/>
      <c r="V289" s="11"/>
      <c r="W289" s="11"/>
      <c r="X289" s="11"/>
      <c r="Y289" s="11"/>
      <c r="Z289" s="11"/>
    </row>
    <row r="290">
      <c r="A290" s="11"/>
      <c r="B290" s="11"/>
      <c r="C290" s="11"/>
      <c r="D290" s="11"/>
      <c r="E290" s="11"/>
      <c r="F290" s="12"/>
      <c r="G290" s="12"/>
      <c r="H290" s="12"/>
      <c r="I290" s="12"/>
      <c r="J290" s="11"/>
      <c r="K290" s="11"/>
      <c r="L290" s="11"/>
      <c r="M290" s="11"/>
      <c r="N290" s="11"/>
      <c r="O290" s="11"/>
      <c r="P290" s="11"/>
      <c r="Q290" s="11"/>
      <c r="R290" s="11"/>
      <c r="S290" s="11"/>
      <c r="T290" s="11"/>
      <c r="U290" s="11"/>
      <c r="V290" s="11"/>
      <c r="W290" s="11"/>
      <c r="X290" s="11"/>
      <c r="Y290" s="11"/>
      <c r="Z290" s="11"/>
    </row>
    <row r="291">
      <c r="A291" s="11"/>
      <c r="B291" s="11"/>
      <c r="C291" s="11"/>
      <c r="D291" s="11"/>
      <c r="E291" s="11"/>
      <c r="F291" s="12"/>
      <c r="G291" s="12"/>
      <c r="H291" s="12"/>
      <c r="I291" s="12"/>
      <c r="J291" s="11"/>
      <c r="K291" s="11"/>
      <c r="L291" s="11"/>
      <c r="M291" s="11"/>
      <c r="N291" s="11"/>
      <c r="O291" s="11"/>
      <c r="P291" s="11"/>
      <c r="Q291" s="11"/>
      <c r="R291" s="11"/>
      <c r="S291" s="11"/>
      <c r="T291" s="11"/>
      <c r="U291" s="11"/>
      <c r="V291" s="11"/>
      <c r="W291" s="11"/>
      <c r="X291" s="11"/>
      <c r="Y291" s="11"/>
      <c r="Z291" s="11"/>
    </row>
    <row r="292">
      <c r="A292" s="11"/>
      <c r="B292" s="11"/>
      <c r="C292" s="11"/>
      <c r="D292" s="11"/>
      <c r="E292" s="11"/>
      <c r="F292" s="12"/>
      <c r="G292" s="12"/>
      <c r="H292" s="12"/>
      <c r="I292" s="12"/>
      <c r="J292" s="11"/>
      <c r="K292" s="11"/>
      <c r="L292" s="11"/>
      <c r="M292" s="11"/>
      <c r="N292" s="11"/>
      <c r="O292" s="11"/>
      <c r="P292" s="11"/>
      <c r="Q292" s="11"/>
      <c r="R292" s="11"/>
      <c r="S292" s="11"/>
      <c r="T292" s="11"/>
      <c r="U292" s="11"/>
      <c r="V292" s="11"/>
      <c r="W292" s="11"/>
      <c r="X292" s="11"/>
      <c r="Y292" s="11"/>
      <c r="Z292" s="11"/>
    </row>
    <row r="293">
      <c r="A293" s="11"/>
      <c r="B293" s="11"/>
      <c r="C293" s="11"/>
      <c r="D293" s="11"/>
      <c r="E293" s="11"/>
      <c r="F293" s="12"/>
      <c r="G293" s="12"/>
      <c r="H293" s="12"/>
      <c r="I293" s="12"/>
      <c r="J293" s="11"/>
      <c r="K293" s="11"/>
      <c r="L293" s="11"/>
      <c r="M293" s="11"/>
      <c r="N293" s="11"/>
      <c r="O293" s="11"/>
      <c r="P293" s="11"/>
      <c r="Q293" s="11"/>
      <c r="R293" s="11"/>
      <c r="S293" s="11"/>
      <c r="T293" s="11"/>
      <c r="U293" s="11"/>
      <c r="V293" s="11"/>
      <c r="W293" s="11"/>
      <c r="X293" s="11"/>
      <c r="Y293" s="11"/>
      <c r="Z293" s="11"/>
    </row>
    <row r="294">
      <c r="A294" s="11"/>
      <c r="B294" s="11"/>
      <c r="C294" s="11"/>
      <c r="D294" s="11"/>
      <c r="E294" s="11"/>
      <c r="F294" s="12"/>
      <c r="G294" s="12"/>
      <c r="H294" s="12"/>
      <c r="I294" s="12"/>
      <c r="J294" s="11"/>
      <c r="K294" s="11"/>
      <c r="L294" s="11"/>
      <c r="M294" s="11"/>
      <c r="N294" s="11"/>
      <c r="O294" s="11"/>
      <c r="P294" s="11"/>
      <c r="Q294" s="11"/>
      <c r="R294" s="11"/>
      <c r="S294" s="11"/>
      <c r="T294" s="11"/>
      <c r="U294" s="11"/>
      <c r="V294" s="11"/>
      <c r="W294" s="11"/>
      <c r="X294" s="11"/>
      <c r="Y294" s="11"/>
      <c r="Z294" s="11"/>
    </row>
    <row r="295">
      <c r="A295" s="11"/>
      <c r="B295" s="11"/>
      <c r="C295" s="11"/>
      <c r="D295" s="11"/>
      <c r="E295" s="11"/>
      <c r="F295" s="12"/>
      <c r="G295" s="12"/>
      <c r="H295" s="12"/>
      <c r="I295" s="12"/>
      <c r="J295" s="11"/>
      <c r="K295" s="11"/>
      <c r="L295" s="11"/>
      <c r="M295" s="11"/>
      <c r="N295" s="11"/>
      <c r="O295" s="11"/>
      <c r="P295" s="11"/>
      <c r="Q295" s="11"/>
      <c r="R295" s="11"/>
      <c r="S295" s="11"/>
      <c r="T295" s="11"/>
      <c r="U295" s="11"/>
      <c r="V295" s="11"/>
      <c r="W295" s="11"/>
      <c r="X295" s="11"/>
      <c r="Y295" s="11"/>
      <c r="Z295" s="11"/>
    </row>
    <row r="296">
      <c r="A296" s="11"/>
      <c r="B296" s="11"/>
      <c r="C296" s="11"/>
      <c r="D296" s="11"/>
      <c r="E296" s="11"/>
      <c r="F296" s="12"/>
      <c r="G296" s="12"/>
      <c r="H296" s="12"/>
      <c r="I296" s="12"/>
      <c r="J296" s="11"/>
      <c r="K296" s="11"/>
      <c r="L296" s="11"/>
      <c r="M296" s="11"/>
      <c r="N296" s="11"/>
      <c r="O296" s="11"/>
      <c r="P296" s="11"/>
      <c r="Q296" s="11"/>
      <c r="R296" s="11"/>
      <c r="S296" s="11"/>
      <c r="T296" s="11"/>
      <c r="U296" s="11"/>
      <c r="V296" s="11"/>
      <c r="W296" s="11"/>
      <c r="X296" s="11"/>
      <c r="Y296" s="11"/>
      <c r="Z296" s="11"/>
    </row>
    <row r="297">
      <c r="A297" s="11"/>
      <c r="B297" s="11"/>
      <c r="C297" s="11"/>
      <c r="D297" s="11"/>
      <c r="E297" s="11"/>
      <c r="F297" s="12"/>
      <c r="G297" s="12"/>
      <c r="H297" s="12"/>
      <c r="I297" s="12"/>
      <c r="J297" s="11"/>
      <c r="K297" s="11"/>
      <c r="L297" s="11"/>
      <c r="M297" s="11"/>
      <c r="N297" s="11"/>
      <c r="O297" s="11"/>
      <c r="P297" s="11"/>
      <c r="Q297" s="11"/>
      <c r="R297" s="11"/>
      <c r="S297" s="11"/>
      <c r="T297" s="11"/>
      <c r="U297" s="11"/>
      <c r="V297" s="11"/>
      <c r="W297" s="11"/>
      <c r="X297" s="11"/>
      <c r="Y297" s="11"/>
      <c r="Z297" s="11"/>
    </row>
    <row r="298">
      <c r="A298" s="11"/>
      <c r="B298" s="11"/>
      <c r="C298" s="11"/>
      <c r="D298" s="11"/>
      <c r="E298" s="11"/>
      <c r="F298" s="12"/>
      <c r="G298" s="12"/>
      <c r="H298" s="12"/>
      <c r="I298" s="12"/>
      <c r="J298" s="11"/>
      <c r="K298" s="11"/>
      <c r="L298" s="11"/>
      <c r="M298" s="11"/>
      <c r="N298" s="11"/>
      <c r="O298" s="11"/>
      <c r="P298" s="11"/>
      <c r="Q298" s="11"/>
      <c r="R298" s="11"/>
      <c r="S298" s="11"/>
      <c r="T298" s="11"/>
      <c r="U298" s="11"/>
      <c r="V298" s="11"/>
      <c r="W298" s="11"/>
      <c r="X298" s="11"/>
      <c r="Y298" s="11"/>
      <c r="Z298" s="11"/>
    </row>
    <row r="299">
      <c r="A299" s="11"/>
      <c r="B299" s="11"/>
      <c r="C299" s="11"/>
      <c r="D299" s="11"/>
      <c r="E299" s="11"/>
      <c r="F299" s="12"/>
      <c r="G299" s="12"/>
      <c r="H299" s="12"/>
      <c r="I299" s="12"/>
      <c r="J299" s="11"/>
      <c r="K299" s="11"/>
      <c r="L299" s="11"/>
      <c r="M299" s="11"/>
      <c r="N299" s="11"/>
      <c r="O299" s="11"/>
      <c r="P299" s="11"/>
      <c r="Q299" s="11"/>
      <c r="R299" s="11"/>
      <c r="S299" s="11"/>
      <c r="T299" s="11"/>
      <c r="U299" s="11"/>
      <c r="V299" s="11"/>
      <c r="W299" s="11"/>
      <c r="X299" s="11"/>
      <c r="Y299" s="11"/>
      <c r="Z299" s="11"/>
    </row>
    <row r="300">
      <c r="A300" s="11"/>
      <c r="B300" s="11"/>
      <c r="C300" s="11"/>
      <c r="D300" s="11"/>
      <c r="E300" s="11"/>
      <c r="F300" s="12"/>
      <c r="G300" s="12"/>
      <c r="H300" s="12"/>
      <c r="I300" s="12"/>
      <c r="J300" s="11"/>
      <c r="K300" s="11"/>
      <c r="L300" s="11"/>
      <c r="M300" s="11"/>
      <c r="N300" s="11"/>
      <c r="O300" s="11"/>
      <c r="P300" s="11"/>
      <c r="Q300" s="11"/>
      <c r="R300" s="11"/>
      <c r="S300" s="11"/>
      <c r="T300" s="11"/>
      <c r="U300" s="11"/>
      <c r="V300" s="11"/>
      <c r="W300" s="11"/>
      <c r="X300" s="11"/>
      <c r="Y300" s="11"/>
      <c r="Z300" s="11"/>
    </row>
    <row r="301">
      <c r="A301" s="11"/>
      <c r="B301" s="11"/>
      <c r="C301" s="11"/>
      <c r="D301" s="11"/>
      <c r="E301" s="11"/>
      <c r="F301" s="12"/>
      <c r="G301" s="12"/>
      <c r="H301" s="12"/>
      <c r="I301" s="12"/>
      <c r="J301" s="11"/>
      <c r="K301" s="11"/>
      <c r="L301" s="11"/>
      <c r="M301" s="11"/>
      <c r="N301" s="11"/>
      <c r="O301" s="11"/>
      <c r="P301" s="11"/>
      <c r="Q301" s="11"/>
      <c r="R301" s="11"/>
      <c r="S301" s="11"/>
      <c r="T301" s="11"/>
      <c r="U301" s="11"/>
      <c r="V301" s="11"/>
      <c r="W301" s="11"/>
      <c r="X301" s="11"/>
      <c r="Y301" s="11"/>
      <c r="Z301" s="11"/>
    </row>
    <row r="302">
      <c r="A302" s="11"/>
      <c r="B302" s="11"/>
      <c r="C302" s="11"/>
      <c r="D302" s="11"/>
      <c r="E302" s="11"/>
      <c r="F302" s="12"/>
      <c r="G302" s="12"/>
      <c r="H302" s="12"/>
      <c r="I302" s="12"/>
      <c r="J302" s="11"/>
      <c r="K302" s="11"/>
      <c r="L302" s="11"/>
      <c r="M302" s="11"/>
      <c r="N302" s="11"/>
      <c r="O302" s="11"/>
      <c r="P302" s="11"/>
      <c r="Q302" s="11"/>
      <c r="R302" s="11"/>
      <c r="S302" s="11"/>
      <c r="T302" s="11"/>
      <c r="U302" s="11"/>
      <c r="V302" s="11"/>
      <c r="W302" s="11"/>
      <c r="X302" s="11"/>
      <c r="Y302" s="11"/>
      <c r="Z302" s="11"/>
    </row>
    <row r="303">
      <c r="A303" s="11"/>
      <c r="B303" s="11"/>
      <c r="C303" s="11"/>
      <c r="D303" s="11"/>
      <c r="E303" s="11"/>
      <c r="F303" s="12"/>
      <c r="G303" s="12"/>
      <c r="H303" s="12"/>
      <c r="I303" s="12"/>
      <c r="J303" s="11"/>
      <c r="K303" s="11"/>
      <c r="L303" s="11"/>
      <c r="M303" s="11"/>
      <c r="N303" s="11"/>
      <c r="O303" s="11"/>
      <c r="P303" s="11"/>
      <c r="Q303" s="11"/>
      <c r="R303" s="11"/>
      <c r="S303" s="11"/>
      <c r="T303" s="11"/>
      <c r="U303" s="11"/>
      <c r="V303" s="11"/>
      <c r="W303" s="11"/>
      <c r="X303" s="11"/>
      <c r="Y303" s="11"/>
      <c r="Z303" s="11"/>
    </row>
    <row r="304">
      <c r="A304" s="11"/>
      <c r="B304" s="11"/>
      <c r="C304" s="11"/>
      <c r="D304" s="11"/>
      <c r="E304" s="11"/>
      <c r="F304" s="12"/>
      <c r="G304" s="12"/>
      <c r="H304" s="12"/>
      <c r="I304" s="12"/>
      <c r="J304" s="11"/>
      <c r="K304" s="11"/>
      <c r="L304" s="11"/>
      <c r="M304" s="11"/>
      <c r="N304" s="11"/>
      <c r="O304" s="11"/>
      <c r="P304" s="11"/>
      <c r="Q304" s="11"/>
      <c r="R304" s="11"/>
      <c r="S304" s="11"/>
      <c r="T304" s="11"/>
      <c r="U304" s="11"/>
      <c r="V304" s="11"/>
      <c r="W304" s="11"/>
      <c r="X304" s="11"/>
      <c r="Y304" s="11"/>
      <c r="Z304" s="11"/>
    </row>
    <row r="305">
      <c r="A305" s="11"/>
      <c r="B305" s="11"/>
      <c r="C305" s="11"/>
      <c r="D305" s="11"/>
      <c r="E305" s="11"/>
      <c r="F305" s="12"/>
      <c r="G305" s="12"/>
      <c r="H305" s="12"/>
      <c r="I305" s="12"/>
      <c r="J305" s="11"/>
      <c r="K305" s="11"/>
      <c r="L305" s="11"/>
      <c r="M305" s="11"/>
      <c r="N305" s="11"/>
      <c r="O305" s="11"/>
      <c r="P305" s="11"/>
      <c r="Q305" s="11"/>
      <c r="R305" s="11"/>
      <c r="S305" s="11"/>
      <c r="T305" s="11"/>
      <c r="U305" s="11"/>
      <c r="V305" s="11"/>
      <c r="W305" s="11"/>
      <c r="X305" s="11"/>
      <c r="Y305" s="11"/>
      <c r="Z305" s="11"/>
    </row>
    <row r="306">
      <c r="A306" s="11"/>
      <c r="B306" s="11"/>
      <c r="C306" s="11"/>
      <c r="D306" s="11"/>
      <c r="E306" s="11"/>
      <c r="F306" s="12"/>
      <c r="G306" s="12"/>
      <c r="H306" s="12"/>
      <c r="I306" s="12"/>
      <c r="J306" s="11"/>
      <c r="K306" s="11"/>
      <c r="L306" s="11"/>
      <c r="M306" s="11"/>
      <c r="N306" s="11"/>
      <c r="O306" s="11"/>
      <c r="P306" s="11"/>
      <c r="Q306" s="11"/>
      <c r="R306" s="11"/>
      <c r="S306" s="11"/>
      <c r="T306" s="11"/>
      <c r="U306" s="11"/>
      <c r="V306" s="11"/>
      <c r="W306" s="11"/>
      <c r="X306" s="11"/>
      <c r="Y306" s="11"/>
      <c r="Z306" s="11"/>
    </row>
    <row r="307">
      <c r="A307" s="11"/>
      <c r="B307" s="11"/>
      <c r="C307" s="11"/>
      <c r="D307" s="11"/>
      <c r="E307" s="11"/>
      <c r="F307" s="12"/>
      <c r="G307" s="12"/>
      <c r="H307" s="12"/>
      <c r="I307" s="12"/>
      <c r="J307" s="11"/>
      <c r="K307" s="11"/>
      <c r="L307" s="11"/>
      <c r="M307" s="11"/>
      <c r="N307" s="11"/>
      <c r="O307" s="11"/>
      <c r="P307" s="11"/>
      <c r="Q307" s="11"/>
      <c r="R307" s="11"/>
      <c r="S307" s="11"/>
      <c r="T307" s="11"/>
      <c r="U307" s="11"/>
      <c r="V307" s="11"/>
      <c r="W307" s="11"/>
      <c r="X307" s="11"/>
      <c r="Y307" s="11"/>
      <c r="Z307" s="11"/>
    </row>
    <row r="308">
      <c r="A308" s="11"/>
      <c r="B308" s="11"/>
      <c r="C308" s="11"/>
      <c r="D308" s="11"/>
      <c r="E308" s="11"/>
      <c r="F308" s="12"/>
      <c r="G308" s="12"/>
      <c r="H308" s="12"/>
      <c r="I308" s="12"/>
      <c r="J308" s="11"/>
      <c r="K308" s="11"/>
      <c r="L308" s="11"/>
      <c r="M308" s="11"/>
      <c r="N308" s="11"/>
      <c r="O308" s="11"/>
      <c r="P308" s="11"/>
      <c r="Q308" s="11"/>
      <c r="R308" s="11"/>
      <c r="S308" s="11"/>
      <c r="T308" s="11"/>
      <c r="U308" s="11"/>
      <c r="V308" s="11"/>
      <c r="W308" s="11"/>
      <c r="X308" s="11"/>
      <c r="Y308" s="11"/>
      <c r="Z308" s="11"/>
    </row>
    <row r="309">
      <c r="A309" s="11"/>
      <c r="B309" s="11"/>
      <c r="C309" s="11"/>
      <c r="D309" s="11"/>
      <c r="E309" s="11"/>
      <c r="F309" s="12"/>
      <c r="G309" s="12"/>
      <c r="H309" s="12"/>
      <c r="I309" s="12"/>
      <c r="J309" s="11"/>
      <c r="K309" s="11"/>
      <c r="L309" s="11"/>
      <c r="M309" s="11"/>
      <c r="N309" s="11"/>
      <c r="O309" s="11"/>
      <c r="P309" s="11"/>
      <c r="Q309" s="11"/>
      <c r="R309" s="11"/>
      <c r="S309" s="11"/>
      <c r="T309" s="11"/>
      <c r="U309" s="11"/>
      <c r="V309" s="11"/>
      <c r="W309" s="11"/>
      <c r="X309" s="11"/>
      <c r="Y309" s="11"/>
      <c r="Z309" s="11"/>
    </row>
    <row r="310">
      <c r="A310" s="11"/>
      <c r="B310" s="11"/>
      <c r="C310" s="11"/>
      <c r="D310" s="11"/>
      <c r="E310" s="11"/>
      <c r="F310" s="12"/>
      <c r="G310" s="12"/>
      <c r="H310" s="12"/>
      <c r="I310" s="12"/>
      <c r="J310" s="11"/>
      <c r="K310" s="11"/>
      <c r="L310" s="11"/>
      <c r="M310" s="11"/>
      <c r="N310" s="11"/>
      <c r="O310" s="11"/>
      <c r="P310" s="11"/>
      <c r="Q310" s="11"/>
      <c r="R310" s="11"/>
      <c r="S310" s="11"/>
      <c r="T310" s="11"/>
      <c r="U310" s="11"/>
      <c r="V310" s="11"/>
      <c r="W310" s="11"/>
      <c r="X310" s="11"/>
      <c r="Y310" s="11"/>
      <c r="Z310" s="11"/>
    </row>
    <row r="311">
      <c r="A311" s="11"/>
      <c r="B311" s="11"/>
      <c r="C311" s="11"/>
      <c r="D311" s="11"/>
      <c r="E311" s="11"/>
      <c r="F311" s="12"/>
      <c r="G311" s="12"/>
      <c r="H311" s="12"/>
      <c r="I311" s="12"/>
      <c r="J311" s="11"/>
      <c r="K311" s="11"/>
      <c r="L311" s="11"/>
      <c r="M311" s="11"/>
      <c r="N311" s="11"/>
      <c r="O311" s="11"/>
      <c r="P311" s="11"/>
      <c r="Q311" s="11"/>
      <c r="R311" s="11"/>
      <c r="S311" s="11"/>
      <c r="T311" s="11"/>
      <c r="U311" s="11"/>
      <c r="V311" s="11"/>
      <c r="W311" s="11"/>
      <c r="X311" s="11"/>
      <c r="Y311" s="11"/>
      <c r="Z311" s="11"/>
    </row>
    <row r="312">
      <c r="A312" s="11"/>
      <c r="B312" s="11"/>
      <c r="C312" s="11"/>
      <c r="D312" s="11"/>
      <c r="E312" s="11"/>
      <c r="F312" s="12"/>
      <c r="G312" s="12"/>
      <c r="H312" s="12"/>
      <c r="I312" s="12"/>
      <c r="J312" s="11"/>
      <c r="K312" s="11"/>
      <c r="L312" s="11"/>
      <c r="M312" s="11"/>
      <c r="N312" s="11"/>
      <c r="O312" s="11"/>
      <c r="P312" s="11"/>
      <c r="Q312" s="11"/>
      <c r="R312" s="11"/>
      <c r="S312" s="11"/>
      <c r="T312" s="11"/>
      <c r="U312" s="11"/>
      <c r="V312" s="11"/>
      <c r="W312" s="11"/>
      <c r="X312" s="11"/>
      <c r="Y312" s="11"/>
      <c r="Z312" s="11"/>
    </row>
    <row r="313">
      <c r="A313" s="11"/>
      <c r="B313" s="11"/>
      <c r="C313" s="11"/>
      <c r="D313" s="11"/>
      <c r="E313" s="11"/>
      <c r="F313" s="12"/>
      <c r="G313" s="12"/>
      <c r="H313" s="12"/>
      <c r="I313" s="12"/>
      <c r="J313" s="11"/>
      <c r="K313" s="11"/>
      <c r="L313" s="11"/>
      <c r="M313" s="11"/>
      <c r="N313" s="11"/>
      <c r="O313" s="11"/>
      <c r="P313" s="11"/>
      <c r="Q313" s="11"/>
      <c r="R313" s="11"/>
      <c r="S313" s="11"/>
      <c r="T313" s="11"/>
      <c r="U313" s="11"/>
      <c r="V313" s="11"/>
      <c r="W313" s="11"/>
      <c r="X313" s="11"/>
      <c r="Y313" s="11"/>
      <c r="Z313" s="11"/>
    </row>
    <row r="314">
      <c r="A314" s="11"/>
      <c r="B314" s="11"/>
      <c r="C314" s="11"/>
      <c r="D314" s="11"/>
      <c r="E314" s="11"/>
      <c r="F314" s="12"/>
      <c r="G314" s="12"/>
      <c r="H314" s="12"/>
      <c r="I314" s="12"/>
      <c r="J314" s="11"/>
      <c r="K314" s="11"/>
      <c r="L314" s="11"/>
      <c r="M314" s="11"/>
      <c r="N314" s="11"/>
      <c r="O314" s="11"/>
      <c r="P314" s="11"/>
      <c r="Q314" s="11"/>
      <c r="R314" s="11"/>
      <c r="S314" s="11"/>
      <c r="T314" s="11"/>
      <c r="U314" s="11"/>
      <c r="V314" s="11"/>
      <c r="W314" s="11"/>
      <c r="X314" s="11"/>
      <c r="Y314" s="11"/>
      <c r="Z314" s="11"/>
    </row>
    <row r="315">
      <c r="A315" s="11"/>
      <c r="B315" s="11"/>
      <c r="C315" s="11"/>
      <c r="D315" s="11"/>
      <c r="E315" s="11"/>
      <c r="F315" s="12"/>
      <c r="G315" s="12"/>
      <c r="H315" s="12"/>
      <c r="I315" s="12"/>
      <c r="J315" s="11"/>
      <c r="K315" s="11"/>
      <c r="L315" s="11"/>
      <c r="M315" s="11"/>
      <c r="N315" s="11"/>
      <c r="O315" s="11"/>
      <c r="P315" s="11"/>
      <c r="Q315" s="11"/>
      <c r="R315" s="11"/>
      <c r="S315" s="11"/>
      <c r="T315" s="11"/>
      <c r="U315" s="11"/>
      <c r="V315" s="11"/>
      <c r="W315" s="11"/>
      <c r="X315" s="11"/>
      <c r="Y315" s="11"/>
      <c r="Z315" s="11"/>
    </row>
    <row r="316">
      <c r="A316" s="11"/>
      <c r="B316" s="11"/>
      <c r="C316" s="11"/>
      <c r="D316" s="11"/>
      <c r="E316" s="11"/>
      <c r="F316" s="12"/>
      <c r="G316" s="12"/>
      <c r="H316" s="12"/>
      <c r="I316" s="12"/>
      <c r="J316" s="11"/>
      <c r="K316" s="11"/>
      <c r="L316" s="11"/>
      <c r="M316" s="11"/>
      <c r="N316" s="11"/>
      <c r="O316" s="11"/>
      <c r="P316" s="11"/>
      <c r="Q316" s="11"/>
      <c r="R316" s="11"/>
      <c r="S316" s="11"/>
      <c r="T316" s="11"/>
      <c r="U316" s="11"/>
      <c r="V316" s="11"/>
      <c r="W316" s="11"/>
      <c r="X316" s="11"/>
      <c r="Y316" s="11"/>
      <c r="Z316" s="11"/>
    </row>
    <row r="317">
      <c r="A317" s="11"/>
      <c r="B317" s="11"/>
      <c r="C317" s="11"/>
      <c r="D317" s="11"/>
      <c r="E317" s="11"/>
      <c r="F317" s="12"/>
      <c r="G317" s="12"/>
      <c r="H317" s="12"/>
      <c r="I317" s="12"/>
      <c r="J317" s="11"/>
      <c r="K317" s="11"/>
      <c r="L317" s="11"/>
      <c r="M317" s="11"/>
      <c r="N317" s="11"/>
      <c r="O317" s="11"/>
      <c r="P317" s="11"/>
      <c r="Q317" s="11"/>
      <c r="R317" s="11"/>
      <c r="S317" s="11"/>
      <c r="T317" s="11"/>
      <c r="U317" s="11"/>
      <c r="V317" s="11"/>
      <c r="W317" s="11"/>
      <c r="X317" s="11"/>
      <c r="Y317" s="11"/>
      <c r="Z317" s="11"/>
    </row>
    <row r="318">
      <c r="A318" s="11"/>
      <c r="B318" s="11"/>
      <c r="C318" s="11"/>
      <c r="D318" s="11"/>
      <c r="E318" s="11"/>
      <c r="F318" s="12"/>
      <c r="G318" s="12"/>
      <c r="H318" s="12"/>
      <c r="I318" s="12"/>
      <c r="J318" s="11"/>
      <c r="K318" s="11"/>
      <c r="L318" s="11"/>
      <c r="M318" s="11"/>
      <c r="N318" s="11"/>
      <c r="O318" s="11"/>
      <c r="P318" s="11"/>
      <c r="Q318" s="11"/>
      <c r="R318" s="11"/>
      <c r="S318" s="11"/>
      <c r="T318" s="11"/>
      <c r="U318" s="11"/>
      <c r="V318" s="11"/>
      <c r="W318" s="11"/>
      <c r="X318" s="11"/>
      <c r="Y318" s="11"/>
      <c r="Z318" s="11"/>
    </row>
    <row r="319">
      <c r="A319" s="11"/>
      <c r="B319" s="11"/>
      <c r="C319" s="11"/>
      <c r="D319" s="11"/>
      <c r="E319" s="11"/>
      <c r="F319" s="12"/>
      <c r="G319" s="12"/>
      <c r="H319" s="12"/>
      <c r="I319" s="12"/>
      <c r="J319" s="11"/>
      <c r="K319" s="11"/>
      <c r="L319" s="11"/>
      <c r="M319" s="11"/>
      <c r="N319" s="11"/>
      <c r="O319" s="11"/>
      <c r="P319" s="11"/>
      <c r="Q319" s="11"/>
      <c r="R319" s="11"/>
      <c r="S319" s="11"/>
      <c r="T319" s="11"/>
      <c r="U319" s="11"/>
      <c r="V319" s="11"/>
      <c r="W319" s="11"/>
      <c r="X319" s="11"/>
      <c r="Y319" s="11"/>
      <c r="Z319" s="11"/>
    </row>
    <row r="320">
      <c r="A320" s="11"/>
      <c r="B320" s="11"/>
      <c r="C320" s="11"/>
      <c r="D320" s="11"/>
      <c r="E320" s="11"/>
      <c r="F320" s="12"/>
      <c r="G320" s="12"/>
      <c r="H320" s="12"/>
      <c r="I320" s="12"/>
      <c r="J320" s="11"/>
      <c r="K320" s="11"/>
      <c r="L320" s="11"/>
      <c r="M320" s="11"/>
      <c r="N320" s="11"/>
      <c r="O320" s="11"/>
      <c r="P320" s="11"/>
      <c r="Q320" s="11"/>
      <c r="R320" s="11"/>
      <c r="S320" s="11"/>
      <c r="T320" s="11"/>
      <c r="U320" s="11"/>
      <c r="V320" s="11"/>
      <c r="W320" s="11"/>
      <c r="X320" s="11"/>
      <c r="Y320" s="11"/>
      <c r="Z320" s="11"/>
    </row>
    <row r="321">
      <c r="A321" s="11"/>
      <c r="B321" s="11"/>
      <c r="C321" s="11"/>
      <c r="D321" s="11"/>
      <c r="E321" s="11"/>
      <c r="F321" s="12"/>
      <c r="G321" s="12"/>
      <c r="H321" s="12"/>
      <c r="I321" s="12"/>
      <c r="J321" s="11"/>
      <c r="K321" s="11"/>
      <c r="L321" s="11"/>
      <c r="M321" s="11"/>
      <c r="N321" s="11"/>
      <c r="O321" s="11"/>
      <c r="P321" s="11"/>
      <c r="Q321" s="11"/>
      <c r="R321" s="11"/>
      <c r="S321" s="11"/>
      <c r="T321" s="11"/>
      <c r="U321" s="11"/>
      <c r="V321" s="11"/>
      <c r="W321" s="11"/>
      <c r="X321" s="11"/>
      <c r="Y321" s="11"/>
      <c r="Z321" s="11"/>
    </row>
    <row r="322">
      <c r="A322" s="11"/>
      <c r="B322" s="11"/>
      <c r="C322" s="11"/>
      <c r="D322" s="11"/>
      <c r="E322" s="11"/>
      <c r="F322" s="12"/>
      <c r="G322" s="12"/>
      <c r="H322" s="12"/>
      <c r="I322" s="12"/>
      <c r="J322" s="11"/>
      <c r="K322" s="11"/>
      <c r="L322" s="11"/>
      <c r="M322" s="11"/>
      <c r="N322" s="11"/>
      <c r="O322" s="11"/>
      <c r="P322" s="11"/>
      <c r="Q322" s="11"/>
      <c r="R322" s="11"/>
      <c r="S322" s="11"/>
      <c r="T322" s="11"/>
      <c r="U322" s="11"/>
      <c r="V322" s="11"/>
      <c r="W322" s="11"/>
      <c r="X322" s="11"/>
      <c r="Y322" s="11"/>
      <c r="Z322" s="11"/>
    </row>
    <row r="323">
      <c r="A323" s="11"/>
      <c r="B323" s="11"/>
      <c r="C323" s="11"/>
      <c r="D323" s="11"/>
      <c r="E323" s="11"/>
      <c r="F323" s="12"/>
      <c r="G323" s="12"/>
      <c r="H323" s="12"/>
      <c r="I323" s="12"/>
      <c r="J323" s="11"/>
      <c r="K323" s="11"/>
      <c r="L323" s="11"/>
      <c r="M323" s="11"/>
      <c r="N323" s="11"/>
      <c r="O323" s="11"/>
      <c r="P323" s="11"/>
      <c r="Q323" s="11"/>
      <c r="R323" s="11"/>
      <c r="S323" s="11"/>
      <c r="T323" s="11"/>
      <c r="U323" s="11"/>
      <c r="V323" s="11"/>
      <c r="W323" s="11"/>
      <c r="X323" s="11"/>
      <c r="Y323" s="11"/>
      <c r="Z323" s="11"/>
    </row>
    <row r="324">
      <c r="A324" s="11"/>
      <c r="B324" s="11"/>
      <c r="C324" s="11"/>
      <c r="D324" s="11"/>
      <c r="E324" s="11"/>
      <c r="F324" s="12"/>
      <c r="G324" s="12"/>
      <c r="H324" s="12"/>
      <c r="I324" s="12"/>
      <c r="J324" s="11"/>
      <c r="K324" s="11"/>
      <c r="L324" s="11"/>
      <c r="M324" s="11"/>
      <c r="N324" s="11"/>
      <c r="O324" s="11"/>
      <c r="P324" s="11"/>
      <c r="Q324" s="11"/>
      <c r="R324" s="11"/>
      <c r="S324" s="11"/>
      <c r="T324" s="11"/>
      <c r="U324" s="11"/>
      <c r="V324" s="11"/>
      <c r="W324" s="11"/>
      <c r="X324" s="11"/>
      <c r="Y324" s="11"/>
      <c r="Z324" s="11"/>
    </row>
    <row r="325">
      <c r="A325" s="11"/>
      <c r="B325" s="11"/>
      <c r="C325" s="11"/>
      <c r="D325" s="11"/>
      <c r="E325" s="11"/>
      <c r="F325" s="12"/>
      <c r="G325" s="12"/>
      <c r="H325" s="12"/>
      <c r="I325" s="12"/>
      <c r="J325" s="11"/>
      <c r="K325" s="11"/>
      <c r="L325" s="11"/>
      <c r="M325" s="11"/>
      <c r="N325" s="11"/>
      <c r="O325" s="11"/>
      <c r="P325" s="11"/>
      <c r="Q325" s="11"/>
      <c r="R325" s="11"/>
      <c r="S325" s="11"/>
      <c r="T325" s="11"/>
      <c r="U325" s="11"/>
      <c r="V325" s="11"/>
      <c r="W325" s="11"/>
      <c r="X325" s="11"/>
      <c r="Y325" s="11"/>
      <c r="Z325" s="11"/>
    </row>
    <row r="326">
      <c r="A326" s="11"/>
      <c r="B326" s="11"/>
      <c r="C326" s="11"/>
      <c r="D326" s="11"/>
      <c r="E326" s="11"/>
      <c r="F326" s="12"/>
      <c r="G326" s="12"/>
      <c r="H326" s="12"/>
      <c r="I326" s="12"/>
      <c r="J326" s="11"/>
      <c r="K326" s="11"/>
      <c r="L326" s="11"/>
      <c r="M326" s="11"/>
      <c r="N326" s="11"/>
      <c r="O326" s="11"/>
      <c r="P326" s="11"/>
      <c r="Q326" s="11"/>
      <c r="R326" s="11"/>
      <c r="S326" s="11"/>
      <c r="T326" s="11"/>
      <c r="U326" s="11"/>
      <c r="V326" s="11"/>
      <c r="W326" s="11"/>
      <c r="X326" s="11"/>
      <c r="Y326" s="11"/>
      <c r="Z326" s="11"/>
    </row>
    <row r="327">
      <c r="A327" s="11"/>
      <c r="B327" s="11"/>
      <c r="C327" s="11"/>
      <c r="D327" s="11"/>
      <c r="E327" s="11"/>
      <c r="F327" s="12"/>
      <c r="G327" s="12"/>
      <c r="H327" s="12"/>
      <c r="I327" s="12"/>
      <c r="J327" s="11"/>
      <c r="K327" s="11"/>
      <c r="L327" s="11"/>
      <c r="M327" s="11"/>
      <c r="N327" s="11"/>
      <c r="O327" s="11"/>
      <c r="P327" s="11"/>
      <c r="Q327" s="11"/>
      <c r="R327" s="11"/>
      <c r="S327" s="11"/>
      <c r="T327" s="11"/>
      <c r="U327" s="11"/>
      <c r="V327" s="11"/>
      <c r="W327" s="11"/>
      <c r="X327" s="11"/>
      <c r="Y327" s="11"/>
      <c r="Z327" s="11"/>
    </row>
    <row r="328">
      <c r="A328" s="11"/>
      <c r="B328" s="11"/>
      <c r="C328" s="11"/>
      <c r="D328" s="11"/>
      <c r="E328" s="11"/>
      <c r="F328" s="12"/>
      <c r="G328" s="12"/>
      <c r="H328" s="12"/>
      <c r="I328" s="12"/>
      <c r="J328" s="11"/>
      <c r="K328" s="11"/>
      <c r="L328" s="11"/>
      <c r="M328" s="11"/>
      <c r="N328" s="11"/>
      <c r="O328" s="11"/>
      <c r="P328" s="11"/>
      <c r="Q328" s="11"/>
      <c r="R328" s="11"/>
      <c r="S328" s="11"/>
      <c r="T328" s="11"/>
      <c r="U328" s="11"/>
      <c r="V328" s="11"/>
      <c r="W328" s="11"/>
      <c r="X328" s="11"/>
      <c r="Y328" s="11"/>
      <c r="Z328" s="11"/>
    </row>
    <row r="329">
      <c r="A329" s="11"/>
      <c r="B329" s="11"/>
      <c r="C329" s="11"/>
      <c r="D329" s="11"/>
      <c r="E329" s="11"/>
      <c r="F329" s="12"/>
      <c r="G329" s="12"/>
      <c r="H329" s="12"/>
      <c r="I329" s="12"/>
      <c r="J329" s="11"/>
      <c r="K329" s="11"/>
      <c r="L329" s="11"/>
      <c r="M329" s="11"/>
      <c r="N329" s="11"/>
      <c r="O329" s="11"/>
      <c r="P329" s="11"/>
      <c r="Q329" s="11"/>
      <c r="R329" s="11"/>
      <c r="S329" s="11"/>
      <c r="T329" s="11"/>
      <c r="U329" s="11"/>
      <c r="V329" s="11"/>
      <c r="W329" s="11"/>
      <c r="X329" s="11"/>
      <c r="Y329" s="11"/>
      <c r="Z329" s="11"/>
    </row>
    <row r="330">
      <c r="A330" s="11"/>
      <c r="B330" s="11"/>
      <c r="C330" s="11"/>
      <c r="D330" s="11"/>
      <c r="E330" s="11"/>
      <c r="F330" s="12"/>
      <c r="G330" s="12"/>
      <c r="H330" s="12"/>
      <c r="I330" s="12"/>
      <c r="J330" s="11"/>
      <c r="K330" s="11"/>
      <c r="L330" s="11"/>
      <c r="M330" s="11"/>
      <c r="N330" s="11"/>
      <c r="O330" s="11"/>
      <c r="P330" s="11"/>
      <c r="Q330" s="11"/>
      <c r="R330" s="11"/>
      <c r="S330" s="11"/>
      <c r="T330" s="11"/>
      <c r="U330" s="11"/>
      <c r="V330" s="11"/>
      <c r="W330" s="11"/>
      <c r="X330" s="11"/>
      <c r="Y330" s="11"/>
      <c r="Z330" s="11"/>
    </row>
    <row r="331">
      <c r="A331" s="11"/>
      <c r="B331" s="11"/>
      <c r="C331" s="11"/>
      <c r="D331" s="11"/>
      <c r="E331" s="11"/>
      <c r="F331" s="12"/>
      <c r="G331" s="12"/>
      <c r="H331" s="12"/>
      <c r="I331" s="12"/>
      <c r="J331" s="11"/>
      <c r="K331" s="11"/>
      <c r="L331" s="11"/>
      <c r="M331" s="11"/>
      <c r="N331" s="11"/>
      <c r="O331" s="11"/>
      <c r="P331" s="11"/>
      <c r="Q331" s="11"/>
      <c r="R331" s="11"/>
      <c r="S331" s="11"/>
      <c r="T331" s="11"/>
      <c r="U331" s="11"/>
      <c r="V331" s="11"/>
      <c r="W331" s="11"/>
      <c r="X331" s="11"/>
      <c r="Y331" s="11"/>
      <c r="Z331" s="11"/>
    </row>
    <row r="332">
      <c r="A332" s="11"/>
      <c r="B332" s="11"/>
      <c r="C332" s="11"/>
      <c r="D332" s="11"/>
      <c r="E332" s="11"/>
      <c r="F332" s="12"/>
      <c r="G332" s="12"/>
      <c r="H332" s="12"/>
      <c r="I332" s="12"/>
      <c r="J332" s="11"/>
      <c r="K332" s="11"/>
      <c r="L332" s="11"/>
      <c r="M332" s="11"/>
      <c r="N332" s="11"/>
      <c r="O332" s="11"/>
      <c r="P332" s="11"/>
      <c r="Q332" s="11"/>
      <c r="R332" s="11"/>
      <c r="S332" s="11"/>
      <c r="T332" s="11"/>
      <c r="U332" s="11"/>
      <c r="V332" s="11"/>
      <c r="W332" s="11"/>
      <c r="X332" s="11"/>
      <c r="Y332" s="11"/>
      <c r="Z332" s="11"/>
    </row>
    <row r="333">
      <c r="A333" s="11"/>
      <c r="B333" s="11"/>
      <c r="C333" s="11"/>
      <c r="D333" s="11"/>
      <c r="E333" s="11"/>
      <c r="F333" s="12"/>
      <c r="G333" s="12"/>
      <c r="H333" s="12"/>
      <c r="I333" s="12"/>
      <c r="J333" s="11"/>
      <c r="K333" s="11"/>
      <c r="L333" s="11"/>
      <c r="M333" s="11"/>
      <c r="N333" s="11"/>
      <c r="O333" s="11"/>
      <c r="P333" s="11"/>
      <c r="Q333" s="11"/>
      <c r="R333" s="11"/>
      <c r="S333" s="11"/>
      <c r="T333" s="11"/>
      <c r="U333" s="11"/>
      <c r="V333" s="11"/>
      <c r="W333" s="11"/>
      <c r="X333" s="11"/>
      <c r="Y333" s="11"/>
      <c r="Z333" s="11"/>
    </row>
    <row r="334">
      <c r="A334" s="11"/>
      <c r="B334" s="11"/>
      <c r="C334" s="11"/>
      <c r="D334" s="11"/>
      <c r="E334" s="11"/>
      <c r="F334" s="12"/>
      <c r="G334" s="12"/>
      <c r="H334" s="12"/>
      <c r="I334" s="12"/>
      <c r="J334" s="11"/>
      <c r="K334" s="11"/>
      <c r="L334" s="11"/>
      <c r="M334" s="11"/>
      <c r="N334" s="11"/>
      <c r="O334" s="11"/>
      <c r="P334" s="11"/>
      <c r="Q334" s="11"/>
      <c r="R334" s="11"/>
      <c r="S334" s="11"/>
      <c r="T334" s="11"/>
      <c r="U334" s="11"/>
      <c r="V334" s="11"/>
      <c r="W334" s="11"/>
      <c r="X334" s="11"/>
      <c r="Y334" s="11"/>
      <c r="Z334" s="11"/>
    </row>
    <row r="335">
      <c r="A335" s="11"/>
      <c r="B335" s="11"/>
      <c r="C335" s="11"/>
      <c r="D335" s="11"/>
      <c r="E335" s="11"/>
      <c r="F335" s="12"/>
      <c r="G335" s="12"/>
      <c r="H335" s="12"/>
      <c r="I335" s="12"/>
      <c r="J335" s="11"/>
      <c r="K335" s="11"/>
      <c r="L335" s="11"/>
      <c r="M335" s="11"/>
      <c r="N335" s="11"/>
      <c r="O335" s="11"/>
      <c r="P335" s="11"/>
      <c r="Q335" s="11"/>
      <c r="R335" s="11"/>
      <c r="S335" s="11"/>
      <c r="T335" s="11"/>
      <c r="U335" s="11"/>
      <c r="V335" s="11"/>
      <c r="W335" s="11"/>
      <c r="X335" s="11"/>
      <c r="Y335" s="11"/>
      <c r="Z335" s="11"/>
    </row>
    <row r="336">
      <c r="A336" s="11"/>
      <c r="B336" s="11"/>
      <c r="C336" s="11"/>
      <c r="D336" s="11"/>
      <c r="E336" s="11"/>
      <c r="F336" s="12"/>
      <c r="G336" s="12"/>
      <c r="H336" s="12"/>
      <c r="I336" s="12"/>
      <c r="J336" s="11"/>
      <c r="K336" s="11"/>
      <c r="L336" s="11"/>
      <c r="M336" s="11"/>
      <c r="N336" s="11"/>
      <c r="O336" s="11"/>
      <c r="P336" s="11"/>
      <c r="Q336" s="11"/>
      <c r="R336" s="11"/>
      <c r="S336" s="11"/>
      <c r="T336" s="11"/>
      <c r="U336" s="11"/>
      <c r="V336" s="11"/>
      <c r="W336" s="11"/>
      <c r="X336" s="11"/>
      <c r="Y336" s="11"/>
      <c r="Z336" s="11"/>
    </row>
    <row r="337">
      <c r="A337" s="11"/>
      <c r="B337" s="11"/>
      <c r="C337" s="11"/>
      <c r="D337" s="11"/>
      <c r="E337" s="11"/>
      <c r="F337" s="12"/>
      <c r="G337" s="12"/>
      <c r="H337" s="12"/>
      <c r="I337" s="12"/>
      <c r="J337" s="11"/>
      <c r="K337" s="11"/>
      <c r="L337" s="11"/>
      <c r="M337" s="11"/>
      <c r="N337" s="11"/>
      <c r="O337" s="11"/>
      <c r="P337" s="11"/>
      <c r="Q337" s="11"/>
      <c r="R337" s="11"/>
      <c r="S337" s="11"/>
      <c r="T337" s="11"/>
      <c r="U337" s="11"/>
      <c r="V337" s="11"/>
      <c r="W337" s="11"/>
      <c r="X337" s="11"/>
      <c r="Y337" s="11"/>
      <c r="Z337" s="11"/>
    </row>
    <row r="338">
      <c r="A338" s="11"/>
      <c r="B338" s="11"/>
      <c r="C338" s="11"/>
      <c r="D338" s="11"/>
      <c r="E338" s="11"/>
      <c r="F338" s="12"/>
      <c r="G338" s="12"/>
      <c r="H338" s="12"/>
      <c r="I338" s="12"/>
      <c r="J338" s="11"/>
      <c r="K338" s="11"/>
      <c r="L338" s="11"/>
      <c r="M338" s="11"/>
      <c r="N338" s="11"/>
      <c r="O338" s="11"/>
      <c r="P338" s="11"/>
      <c r="Q338" s="11"/>
      <c r="R338" s="11"/>
      <c r="S338" s="11"/>
      <c r="T338" s="11"/>
      <c r="U338" s="11"/>
      <c r="V338" s="11"/>
      <c r="W338" s="11"/>
      <c r="X338" s="11"/>
      <c r="Y338" s="11"/>
      <c r="Z338" s="11"/>
    </row>
    <row r="339">
      <c r="A339" s="11"/>
      <c r="B339" s="11"/>
      <c r="C339" s="11"/>
      <c r="D339" s="11"/>
      <c r="E339" s="11"/>
      <c r="F339" s="12"/>
      <c r="G339" s="12"/>
      <c r="H339" s="12"/>
      <c r="I339" s="12"/>
      <c r="J339" s="11"/>
      <c r="K339" s="11"/>
      <c r="L339" s="11"/>
      <c r="M339" s="11"/>
      <c r="N339" s="11"/>
      <c r="O339" s="11"/>
      <c r="P339" s="11"/>
      <c r="Q339" s="11"/>
      <c r="R339" s="11"/>
      <c r="S339" s="11"/>
      <c r="T339" s="11"/>
      <c r="U339" s="11"/>
      <c r="V339" s="11"/>
      <c r="W339" s="11"/>
      <c r="X339" s="11"/>
      <c r="Y339" s="11"/>
      <c r="Z339" s="11"/>
    </row>
    <row r="340">
      <c r="A340" s="11"/>
      <c r="B340" s="11"/>
      <c r="C340" s="11"/>
      <c r="D340" s="11"/>
      <c r="E340" s="11"/>
      <c r="F340" s="12"/>
      <c r="G340" s="12"/>
      <c r="H340" s="12"/>
      <c r="I340" s="12"/>
      <c r="J340" s="11"/>
      <c r="K340" s="11"/>
      <c r="L340" s="11"/>
      <c r="M340" s="11"/>
      <c r="N340" s="11"/>
      <c r="O340" s="11"/>
      <c r="P340" s="11"/>
      <c r="Q340" s="11"/>
      <c r="R340" s="11"/>
      <c r="S340" s="11"/>
      <c r="T340" s="11"/>
      <c r="U340" s="11"/>
      <c r="V340" s="11"/>
      <c r="W340" s="11"/>
      <c r="X340" s="11"/>
      <c r="Y340" s="11"/>
      <c r="Z340" s="11"/>
    </row>
    <row r="341">
      <c r="A341" s="11"/>
      <c r="B341" s="11"/>
      <c r="C341" s="11"/>
      <c r="D341" s="11"/>
      <c r="E341" s="11"/>
      <c r="F341" s="12"/>
      <c r="G341" s="12"/>
      <c r="H341" s="12"/>
      <c r="I341" s="12"/>
      <c r="J341" s="11"/>
      <c r="K341" s="11"/>
      <c r="L341" s="11"/>
      <c r="M341" s="11"/>
      <c r="N341" s="11"/>
      <c r="O341" s="11"/>
      <c r="P341" s="11"/>
      <c r="Q341" s="11"/>
      <c r="R341" s="11"/>
      <c r="S341" s="11"/>
      <c r="T341" s="11"/>
      <c r="U341" s="11"/>
      <c r="V341" s="11"/>
      <c r="W341" s="11"/>
      <c r="X341" s="11"/>
      <c r="Y341" s="11"/>
      <c r="Z341" s="11"/>
    </row>
    <row r="342">
      <c r="A342" s="11"/>
      <c r="B342" s="11"/>
      <c r="C342" s="11"/>
      <c r="D342" s="11"/>
      <c r="E342" s="11"/>
      <c r="F342" s="12"/>
      <c r="G342" s="12"/>
      <c r="H342" s="12"/>
      <c r="I342" s="12"/>
      <c r="J342" s="11"/>
      <c r="K342" s="11"/>
      <c r="L342" s="11"/>
      <c r="M342" s="11"/>
      <c r="N342" s="11"/>
      <c r="O342" s="11"/>
      <c r="P342" s="11"/>
      <c r="Q342" s="11"/>
      <c r="R342" s="11"/>
      <c r="S342" s="11"/>
      <c r="T342" s="11"/>
      <c r="U342" s="11"/>
      <c r="V342" s="11"/>
      <c r="W342" s="11"/>
      <c r="X342" s="11"/>
      <c r="Y342" s="11"/>
      <c r="Z342" s="11"/>
    </row>
    <row r="343">
      <c r="A343" s="11"/>
      <c r="B343" s="11"/>
      <c r="C343" s="11"/>
      <c r="D343" s="11"/>
      <c r="E343" s="11"/>
      <c r="F343" s="12"/>
      <c r="G343" s="12"/>
      <c r="H343" s="12"/>
      <c r="I343" s="12"/>
      <c r="J343" s="11"/>
      <c r="K343" s="11"/>
      <c r="L343" s="11"/>
      <c r="M343" s="11"/>
      <c r="N343" s="11"/>
      <c r="O343" s="11"/>
      <c r="P343" s="11"/>
      <c r="Q343" s="11"/>
      <c r="R343" s="11"/>
      <c r="S343" s="11"/>
      <c r="T343" s="11"/>
      <c r="U343" s="11"/>
      <c r="V343" s="11"/>
      <c r="W343" s="11"/>
      <c r="X343" s="11"/>
      <c r="Y343" s="11"/>
      <c r="Z343" s="11"/>
    </row>
    <row r="344">
      <c r="A344" s="11"/>
      <c r="B344" s="11"/>
      <c r="C344" s="11"/>
      <c r="D344" s="11"/>
      <c r="E344" s="11"/>
      <c r="F344" s="12"/>
      <c r="G344" s="12"/>
      <c r="H344" s="12"/>
      <c r="I344" s="12"/>
      <c r="J344" s="11"/>
      <c r="K344" s="11"/>
      <c r="L344" s="11"/>
      <c r="M344" s="11"/>
      <c r="N344" s="11"/>
      <c r="O344" s="11"/>
      <c r="P344" s="11"/>
      <c r="Q344" s="11"/>
      <c r="R344" s="11"/>
      <c r="S344" s="11"/>
      <c r="T344" s="11"/>
      <c r="U344" s="11"/>
      <c r="V344" s="11"/>
      <c r="W344" s="11"/>
      <c r="X344" s="11"/>
      <c r="Y344" s="11"/>
      <c r="Z344" s="11"/>
    </row>
    <row r="345">
      <c r="A345" s="11"/>
      <c r="B345" s="11"/>
      <c r="C345" s="11"/>
      <c r="D345" s="11"/>
      <c r="E345" s="11"/>
      <c r="F345" s="12"/>
      <c r="G345" s="12"/>
      <c r="H345" s="12"/>
      <c r="I345" s="12"/>
      <c r="J345" s="11"/>
      <c r="K345" s="11"/>
      <c r="L345" s="11"/>
      <c r="M345" s="11"/>
      <c r="N345" s="11"/>
      <c r="O345" s="11"/>
      <c r="P345" s="11"/>
      <c r="Q345" s="11"/>
      <c r="R345" s="11"/>
      <c r="S345" s="11"/>
      <c r="T345" s="11"/>
      <c r="U345" s="11"/>
      <c r="V345" s="11"/>
      <c r="W345" s="11"/>
      <c r="X345" s="11"/>
      <c r="Y345" s="11"/>
      <c r="Z345" s="11"/>
    </row>
    <row r="346">
      <c r="A346" s="11"/>
      <c r="B346" s="11"/>
      <c r="C346" s="11"/>
      <c r="D346" s="11"/>
      <c r="E346" s="11"/>
      <c r="F346" s="12"/>
      <c r="G346" s="12"/>
      <c r="H346" s="12"/>
      <c r="I346" s="12"/>
      <c r="J346" s="11"/>
      <c r="K346" s="11"/>
      <c r="L346" s="11"/>
      <c r="M346" s="11"/>
      <c r="N346" s="11"/>
      <c r="O346" s="11"/>
      <c r="P346" s="11"/>
      <c r="Q346" s="11"/>
      <c r="R346" s="11"/>
      <c r="S346" s="11"/>
      <c r="T346" s="11"/>
      <c r="U346" s="11"/>
      <c r="V346" s="11"/>
      <c r="W346" s="11"/>
      <c r="X346" s="11"/>
      <c r="Y346" s="11"/>
      <c r="Z346" s="11"/>
    </row>
    <row r="347">
      <c r="A347" s="11"/>
      <c r="B347" s="11"/>
      <c r="C347" s="11"/>
      <c r="D347" s="11"/>
      <c r="E347" s="11"/>
      <c r="F347" s="12"/>
      <c r="G347" s="12"/>
      <c r="H347" s="12"/>
      <c r="I347" s="12"/>
      <c r="J347" s="11"/>
      <c r="K347" s="11"/>
      <c r="L347" s="11"/>
      <c r="M347" s="11"/>
      <c r="N347" s="11"/>
      <c r="O347" s="11"/>
      <c r="P347" s="11"/>
      <c r="Q347" s="11"/>
      <c r="R347" s="11"/>
      <c r="S347" s="11"/>
      <c r="T347" s="11"/>
      <c r="U347" s="11"/>
      <c r="V347" s="11"/>
      <c r="W347" s="11"/>
      <c r="X347" s="11"/>
      <c r="Y347" s="11"/>
      <c r="Z347" s="11"/>
    </row>
    <row r="348">
      <c r="A348" s="11"/>
      <c r="B348" s="11"/>
      <c r="C348" s="11"/>
      <c r="D348" s="11"/>
      <c r="E348" s="11"/>
      <c r="F348" s="12"/>
      <c r="G348" s="12"/>
      <c r="H348" s="12"/>
      <c r="I348" s="12"/>
      <c r="J348" s="11"/>
      <c r="K348" s="11"/>
      <c r="L348" s="11"/>
      <c r="M348" s="11"/>
      <c r="N348" s="11"/>
      <c r="O348" s="11"/>
      <c r="P348" s="11"/>
      <c r="Q348" s="11"/>
      <c r="R348" s="11"/>
      <c r="S348" s="11"/>
      <c r="T348" s="11"/>
      <c r="U348" s="11"/>
      <c r="V348" s="11"/>
      <c r="W348" s="11"/>
      <c r="X348" s="11"/>
      <c r="Y348" s="11"/>
      <c r="Z348" s="11"/>
    </row>
    <row r="349">
      <c r="A349" s="11"/>
      <c r="B349" s="11"/>
      <c r="C349" s="11"/>
      <c r="D349" s="11"/>
      <c r="E349" s="11"/>
      <c r="F349" s="12"/>
      <c r="G349" s="12"/>
      <c r="H349" s="12"/>
      <c r="I349" s="12"/>
      <c r="J349" s="11"/>
      <c r="K349" s="11"/>
      <c r="L349" s="11"/>
      <c r="M349" s="11"/>
      <c r="N349" s="11"/>
      <c r="O349" s="11"/>
      <c r="P349" s="11"/>
      <c r="Q349" s="11"/>
      <c r="R349" s="11"/>
      <c r="S349" s="11"/>
      <c r="T349" s="11"/>
      <c r="U349" s="11"/>
      <c r="V349" s="11"/>
      <c r="W349" s="11"/>
      <c r="X349" s="11"/>
      <c r="Y349" s="11"/>
      <c r="Z349" s="11"/>
    </row>
    <row r="350">
      <c r="A350" s="11"/>
      <c r="B350" s="11"/>
      <c r="C350" s="11"/>
      <c r="D350" s="11"/>
      <c r="E350" s="11"/>
      <c r="F350" s="12"/>
      <c r="G350" s="12"/>
      <c r="H350" s="12"/>
      <c r="I350" s="12"/>
      <c r="J350" s="11"/>
      <c r="K350" s="11"/>
      <c r="L350" s="11"/>
      <c r="M350" s="11"/>
      <c r="N350" s="11"/>
      <c r="O350" s="11"/>
      <c r="P350" s="11"/>
      <c r="Q350" s="11"/>
      <c r="R350" s="11"/>
      <c r="S350" s="11"/>
      <c r="T350" s="11"/>
      <c r="U350" s="11"/>
      <c r="V350" s="11"/>
      <c r="W350" s="11"/>
      <c r="X350" s="11"/>
      <c r="Y350" s="11"/>
      <c r="Z350" s="11"/>
    </row>
    <row r="351">
      <c r="A351" s="11"/>
      <c r="B351" s="11"/>
      <c r="C351" s="11"/>
      <c r="D351" s="11"/>
      <c r="E351" s="11"/>
      <c r="F351" s="12"/>
      <c r="G351" s="12"/>
      <c r="H351" s="12"/>
      <c r="I351" s="12"/>
      <c r="J351" s="11"/>
      <c r="K351" s="11"/>
      <c r="L351" s="11"/>
      <c r="M351" s="11"/>
      <c r="N351" s="11"/>
      <c r="O351" s="11"/>
      <c r="P351" s="11"/>
      <c r="Q351" s="11"/>
      <c r="R351" s="11"/>
      <c r="S351" s="11"/>
      <c r="T351" s="11"/>
      <c r="U351" s="11"/>
      <c r="V351" s="11"/>
      <c r="W351" s="11"/>
      <c r="X351" s="11"/>
      <c r="Y351" s="11"/>
      <c r="Z351" s="11"/>
    </row>
    <row r="352">
      <c r="A352" s="11"/>
      <c r="B352" s="11"/>
      <c r="C352" s="11"/>
      <c r="D352" s="11"/>
      <c r="E352" s="11"/>
      <c r="F352" s="12"/>
      <c r="G352" s="12"/>
      <c r="H352" s="12"/>
      <c r="I352" s="12"/>
      <c r="J352" s="11"/>
      <c r="K352" s="11"/>
      <c r="L352" s="11"/>
      <c r="M352" s="11"/>
      <c r="N352" s="11"/>
      <c r="O352" s="11"/>
      <c r="P352" s="11"/>
      <c r="Q352" s="11"/>
      <c r="R352" s="11"/>
      <c r="S352" s="11"/>
      <c r="T352" s="11"/>
      <c r="U352" s="11"/>
      <c r="V352" s="11"/>
      <c r="W352" s="11"/>
      <c r="X352" s="11"/>
      <c r="Y352" s="11"/>
      <c r="Z352" s="11"/>
    </row>
    <row r="353">
      <c r="A353" s="11"/>
      <c r="B353" s="11"/>
      <c r="C353" s="11"/>
      <c r="D353" s="11"/>
      <c r="E353" s="11"/>
      <c r="F353" s="12"/>
      <c r="G353" s="12"/>
      <c r="H353" s="12"/>
      <c r="I353" s="12"/>
      <c r="J353" s="11"/>
      <c r="K353" s="11"/>
      <c r="L353" s="11"/>
      <c r="M353" s="11"/>
      <c r="N353" s="11"/>
      <c r="O353" s="11"/>
      <c r="P353" s="11"/>
      <c r="Q353" s="11"/>
      <c r="R353" s="11"/>
      <c r="S353" s="11"/>
      <c r="T353" s="11"/>
      <c r="U353" s="11"/>
      <c r="V353" s="11"/>
      <c r="W353" s="11"/>
      <c r="X353" s="11"/>
      <c r="Y353" s="11"/>
      <c r="Z353" s="11"/>
    </row>
    <row r="354">
      <c r="A354" s="11"/>
      <c r="B354" s="11"/>
      <c r="C354" s="11"/>
      <c r="D354" s="11"/>
      <c r="E354" s="11"/>
      <c r="F354" s="12"/>
      <c r="G354" s="12"/>
      <c r="H354" s="12"/>
      <c r="I354" s="12"/>
      <c r="J354" s="11"/>
      <c r="K354" s="11"/>
      <c r="L354" s="11"/>
      <c r="M354" s="11"/>
      <c r="N354" s="11"/>
      <c r="O354" s="11"/>
      <c r="P354" s="11"/>
      <c r="Q354" s="11"/>
      <c r="R354" s="11"/>
      <c r="S354" s="11"/>
      <c r="T354" s="11"/>
      <c r="U354" s="11"/>
      <c r="V354" s="11"/>
      <c r="W354" s="11"/>
      <c r="X354" s="11"/>
      <c r="Y354" s="11"/>
      <c r="Z354" s="11"/>
    </row>
    <row r="355">
      <c r="A355" s="11"/>
      <c r="B355" s="11"/>
      <c r="C355" s="11"/>
      <c r="D355" s="11"/>
      <c r="E355" s="11"/>
      <c r="F355" s="12"/>
      <c r="G355" s="12"/>
      <c r="H355" s="12"/>
      <c r="I355" s="12"/>
      <c r="J355" s="11"/>
      <c r="K355" s="11"/>
      <c r="L355" s="11"/>
      <c r="M355" s="11"/>
      <c r="N355" s="11"/>
      <c r="O355" s="11"/>
      <c r="P355" s="11"/>
      <c r="Q355" s="11"/>
      <c r="R355" s="11"/>
      <c r="S355" s="11"/>
      <c r="T355" s="11"/>
      <c r="U355" s="11"/>
      <c r="V355" s="11"/>
      <c r="W355" s="11"/>
      <c r="X355" s="11"/>
      <c r="Y355" s="11"/>
      <c r="Z355" s="11"/>
    </row>
    <row r="356">
      <c r="A356" s="11"/>
      <c r="B356" s="11"/>
      <c r="C356" s="11"/>
      <c r="D356" s="11"/>
      <c r="E356" s="11"/>
      <c r="F356" s="12"/>
      <c r="G356" s="12"/>
      <c r="H356" s="12"/>
      <c r="I356" s="12"/>
      <c r="J356" s="11"/>
      <c r="K356" s="11"/>
      <c r="L356" s="11"/>
      <c r="M356" s="11"/>
      <c r="N356" s="11"/>
      <c r="O356" s="11"/>
      <c r="P356" s="11"/>
      <c r="Q356" s="11"/>
      <c r="R356" s="11"/>
      <c r="S356" s="11"/>
      <c r="T356" s="11"/>
      <c r="U356" s="11"/>
      <c r="V356" s="11"/>
      <c r="W356" s="11"/>
      <c r="X356" s="11"/>
      <c r="Y356" s="11"/>
      <c r="Z356" s="11"/>
    </row>
    <row r="357">
      <c r="A357" s="11"/>
      <c r="B357" s="11"/>
      <c r="C357" s="11"/>
      <c r="D357" s="11"/>
      <c r="E357" s="11"/>
      <c r="F357" s="12"/>
      <c r="G357" s="12"/>
      <c r="H357" s="12"/>
      <c r="I357" s="12"/>
      <c r="J357" s="11"/>
      <c r="K357" s="11"/>
      <c r="L357" s="11"/>
      <c r="M357" s="11"/>
      <c r="N357" s="11"/>
      <c r="O357" s="11"/>
      <c r="P357" s="11"/>
      <c r="Q357" s="11"/>
      <c r="R357" s="11"/>
      <c r="S357" s="11"/>
      <c r="T357" s="11"/>
      <c r="U357" s="11"/>
      <c r="V357" s="11"/>
      <c r="W357" s="11"/>
      <c r="X357" s="11"/>
      <c r="Y357" s="11"/>
      <c r="Z357" s="11"/>
    </row>
    <row r="358">
      <c r="A358" s="11"/>
      <c r="B358" s="11"/>
      <c r="C358" s="11"/>
      <c r="D358" s="11"/>
      <c r="E358" s="11"/>
      <c r="F358" s="12"/>
      <c r="G358" s="12"/>
      <c r="H358" s="12"/>
      <c r="I358" s="12"/>
      <c r="J358" s="11"/>
      <c r="K358" s="11"/>
      <c r="L358" s="11"/>
      <c r="M358" s="11"/>
      <c r="N358" s="11"/>
      <c r="O358" s="11"/>
      <c r="P358" s="11"/>
      <c r="Q358" s="11"/>
      <c r="R358" s="11"/>
      <c r="S358" s="11"/>
      <c r="T358" s="11"/>
      <c r="U358" s="11"/>
      <c r="V358" s="11"/>
      <c r="W358" s="11"/>
      <c r="X358" s="11"/>
      <c r="Y358" s="11"/>
      <c r="Z358" s="11"/>
    </row>
    <row r="359">
      <c r="A359" s="11"/>
      <c r="B359" s="11"/>
      <c r="C359" s="11"/>
      <c r="D359" s="11"/>
      <c r="E359" s="11"/>
      <c r="F359" s="12"/>
      <c r="G359" s="12"/>
      <c r="H359" s="12"/>
      <c r="I359" s="12"/>
      <c r="J359" s="11"/>
      <c r="K359" s="11"/>
      <c r="L359" s="11"/>
      <c r="M359" s="11"/>
      <c r="N359" s="11"/>
      <c r="O359" s="11"/>
      <c r="P359" s="11"/>
      <c r="Q359" s="11"/>
      <c r="R359" s="11"/>
      <c r="S359" s="11"/>
      <c r="T359" s="11"/>
      <c r="U359" s="11"/>
      <c r="V359" s="11"/>
      <c r="W359" s="11"/>
      <c r="X359" s="11"/>
      <c r="Y359" s="11"/>
      <c r="Z359" s="11"/>
    </row>
    <row r="360">
      <c r="A360" s="11"/>
      <c r="B360" s="11"/>
      <c r="C360" s="11"/>
      <c r="D360" s="11"/>
      <c r="E360" s="11"/>
      <c r="F360" s="12"/>
      <c r="G360" s="12"/>
      <c r="H360" s="12"/>
      <c r="I360" s="12"/>
      <c r="J360" s="11"/>
      <c r="K360" s="11"/>
      <c r="L360" s="11"/>
      <c r="M360" s="11"/>
      <c r="N360" s="11"/>
      <c r="O360" s="11"/>
      <c r="P360" s="11"/>
      <c r="Q360" s="11"/>
      <c r="R360" s="11"/>
      <c r="S360" s="11"/>
      <c r="T360" s="11"/>
      <c r="U360" s="11"/>
      <c r="V360" s="11"/>
      <c r="W360" s="11"/>
      <c r="X360" s="11"/>
      <c r="Y360" s="11"/>
      <c r="Z360" s="11"/>
    </row>
    <row r="361">
      <c r="A361" s="11"/>
      <c r="B361" s="11"/>
      <c r="C361" s="11"/>
      <c r="D361" s="11"/>
      <c r="E361" s="11"/>
      <c r="F361" s="12"/>
      <c r="G361" s="12"/>
      <c r="H361" s="12"/>
      <c r="I361" s="12"/>
      <c r="J361" s="11"/>
      <c r="K361" s="11"/>
      <c r="L361" s="11"/>
      <c r="M361" s="11"/>
      <c r="N361" s="11"/>
      <c r="O361" s="11"/>
      <c r="P361" s="11"/>
      <c r="Q361" s="11"/>
      <c r="R361" s="11"/>
      <c r="S361" s="11"/>
      <c r="T361" s="11"/>
      <c r="U361" s="11"/>
      <c r="V361" s="11"/>
      <c r="W361" s="11"/>
      <c r="X361" s="11"/>
      <c r="Y361" s="11"/>
      <c r="Z361" s="11"/>
    </row>
    <row r="362">
      <c r="A362" s="11"/>
      <c r="B362" s="11"/>
      <c r="C362" s="11"/>
      <c r="D362" s="11"/>
      <c r="E362" s="11"/>
      <c r="F362" s="12"/>
      <c r="G362" s="12"/>
      <c r="H362" s="12"/>
      <c r="I362" s="12"/>
      <c r="J362" s="11"/>
      <c r="K362" s="11"/>
      <c r="L362" s="11"/>
      <c r="M362" s="11"/>
      <c r="N362" s="11"/>
      <c r="O362" s="11"/>
      <c r="P362" s="11"/>
      <c r="Q362" s="11"/>
      <c r="R362" s="11"/>
      <c r="S362" s="11"/>
      <c r="T362" s="11"/>
      <c r="U362" s="11"/>
      <c r="V362" s="11"/>
      <c r="W362" s="11"/>
      <c r="X362" s="11"/>
      <c r="Y362" s="11"/>
      <c r="Z362" s="11"/>
    </row>
    <row r="363">
      <c r="A363" s="11"/>
      <c r="B363" s="11"/>
      <c r="C363" s="11"/>
      <c r="D363" s="11"/>
      <c r="E363" s="11"/>
      <c r="F363" s="12"/>
      <c r="G363" s="12"/>
      <c r="H363" s="12"/>
      <c r="I363" s="12"/>
      <c r="J363" s="11"/>
      <c r="K363" s="11"/>
      <c r="L363" s="11"/>
      <c r="M363" s="11"/>
      <c r="N363" s="11"/>
      <c r="O363" s="11"/>
      <c r="P363" s="11"/>
      <c r="Q363" s="11"/>
      <c r="R363" s="11"/>
      <c r="S363" s="11"/>
      <c r="T363" s="11"/>
      <c r="U363" s="11"/>
      <c r="V363" s="11"/>
      <c r="W363" s="11"/>
      <c r="X363" s="11"/>
      <c r="Y363" s="11"/>
      <c r="Z363" s="11"/>
    </row>
    <row r="364">
      <c r="A364" s="11"/>
      <c r="B364" s="11"/>
      <c r="C364" s="11"/>
      <c r="D364" s="11"/>
      <c r="E364" s="11"/>
      <c r="F364" s="12"/>
      <c r="G364" s="12"/>
      <c r="H364" s="12"/>
      <c r="I364" s="12"/>
      <c r="J364" s="11"/>
      <c r="K364" s="11"/>
      <c r="L364" s="11"/>
      <c r="M364" s="11"/>
      <c r="N364" s="11"/>
      <c r="O364" s="11"/>
      <c r="P364" s="11"/>
      <c r="Q364" s="11"/>
      <c r="R364" s="11"/>
      <c r="S364" s="11"/>
      <c r="T364" s="11"/>
      <c r="U364" s="11"/>
      <c r="V364" s="11"/>
      <c r="W364" s="11"/>
      <c r="X364" s="11"/>
      <c r="Y364" s="11"/>
      <c r="Z364" s="11"/>
    </row>
    <row r="365">
      <c r="A365" s="11"/>
      <c r="B365" s="11"/>
      <c r="C365" s="11"/>
      <c r="D365" s="11"/>
      <c r="E365" s="11"/>
      <c r="F365" s="12"/>
      <c r="G365" s="12"/>
      <c r="H365" s="12"/>
      <c r="I365" s="12"/>
      <c r="J365" s="11"/>
      <c r="K365" s="11"/>
      <c r="L365" s="11"/>
      <c r="M365" s="11"/>
      <c r="N365" s="11"/>
      <c r="O365" s="11"/>
      <c r="P365" s="11"/>
      <c r="Q365" s="11"/>
      <c r="R365" s="11"/>
      <c r="S365" s="11"/>
      <c r="T365" s="11"/>
      <c r="U365" s="11"/>
      <c r="V365" s="11"/>
      <c r="W365" s="11"/>
      <c r="X365" s="11"/>
      <c r="Y365" s="11"/>
      <c r="Z365" s="11"/>
    </row>
    <row r="366">
      <c r="A366" s="11"/>
      <c r="B366" s="11"/>
      <c r="C366" s="11"/>
      <c r="D366" s="11"/>
      <c r="E366" s="11"/>
      <c r="F366" s="12"/>
      <c r="G366" s="12"/>
      <c r="H366" s="12"/>
      <c r="I366" s="12"/>
      <c r="J366" s="11"/>
      <c r="K366" s="11"/>
      <c r="L366" s="11"/>
      <c r="M366" s="11"/>
      <c r="N366" s="11"/>
      <c r="O366" s="11"/>
      <c r="P366" s="11"/>
      <c r="Q366" s="11"/>
      <c r="R366" s="11"/>
      <c r="S366" s="11"/>
      <c r="T366" s="11"/>
      <c r="U366" s="11"/>
      <c r="V366" s="11"/>
      <c r="W366" s="11"/>
      <c r="X366" s="11"/>
      <c r="Y366" s="11"/>
      <c r="Z366" s="11"/>
    </row>
    <row r="367">
      <c r="A367" s="11"/>
      <c r="B367" s="11"/>
      <c r="C367" s="11"/>
      <c r="D367" s="11"/>
      <c r="E367" s="11"/>
      <c r="F367" s="12"/>
      <c r="G367" s="12"/>
      <c r="H367" s="12"/>
      <c r="I367" s="12"/>
      <c r="J367" s="11"/>
      <c r="K367" s="11"/>
      <c r="L367" s="11"/>
      <c r="M367" s="11"/>
      <c r="N367" s="11"/>
      <c r="O367" s="11"/>
      <c r="P367" s="11"/>
      <c r="Q367" s="11"/>
      <c r="R367" s="11"/>
      <c r="S367" s="11"/>
      <c r="T367" s="11"/>
      <c r="U367" s="11"/>
      <c r="V367" s="11"/>
      <c r="W367" s="11"/>
      <c r="X367" s="11"/>
      <c r="Y367" s="11"/>
      <c r="Z367" s="11"/>
    </row>
    <row r="368">
      <c r="A368" s="11"/>
      <c r="B368" s="11"/>
      <c r="C368" s="11"/>
      <c r="D368" s="11"/>
      <c r="E368" s="11"/>
      <c r="F368" s="12"/>
      <c r="G368" s="12"/>
      <c r="H368" s="12"/>
      <c r="I368" s="12"/>
      <c r="J368" s="11"/>
      <c r="K368" s="11"/>
      <c r="L368" s="11"/>
      <c r="M368" s="11"/>
      <c r="N368" s="11"/>
      <c r="O368" s="11"/>
      <c r="P368" s="11"/>
      <c r="Q368" s="11"/>
      <c r="R368" s="11"/>
      <c r="S368" s="11"/>
      <c r="T368" s="11"/>
      <c r="U368" s="11"/>
      <c r="V368" s="11"/>
      <c r="W368" s="11"/>
      <c r="X368" s="11"/>
      <c r="Y368" s="11"/>
      <c r="Z368" s="11"/>
    </row>
    <row r="369">
      <c r="A369" s="11"/>
      <c r="B369" s="11"/>
      <c r="C369" s="11"/>
      <c r="D369" s="11"/>
      <c r="E369" s="11"/>
      <c r="F369" s="12"/>
      <c r="G369" s="12"/>
      <c r="H369" s="12"/>
      <c r="I369" s="12"/>
      <c r="J369" s="11"/>
      <c r="K369" s="11"/>
      <c r="L369" s="11"/>
      <c r="M369" s="11"/>
      <c r="N369" s="11"/>
      <c r="O369" s="11"/>
      <c r="P369" s="11"/>
      <c r="Q369" s="11"/>
      <c r="R369" s="11"/>
      <c r="S369" s="11"/>
      <c r="T369" s="11"/>
      <c r="U369" s="11"/>
      <c r="V369" s="11"/>
      <c r="W369" s="11"/>
      <c r="X369" s="11"/>
      <c r="Y369" s="11"/>
      <c r="Z369" s="11"/>
    </row>
    <row r="370">
      <c r="A370" s="11"/>
      <c r="B370" s="11"/>
      <c r="C370" s="11"/>
      <c r="D370" s="11"/>
      <c r="E370" s="11"/>
      <c r="F370" s="12"/>
      <c r="G370" s="12"/>
      <c r="H370" s="12"/>
      <c r="I370" s="12"/>
      <c r="J370" s="11"/>
      <c r="K370" s="11"/>
      <c r="L370" s="11"/>
      <c r="M370" s="11"/>
      <c r="N370" s="11"/>
      <c r="O370" s="11"/>
      <c r="P370" s="11"/>
      <c r="Q370" s="11"/>
      <c r="R370" s="11"/>
      <c r="S370" s="11"/>
      <c r="T370" s="11"/>
      <c r="U370" s="11"/>
      <c r="V370" s="11"/>
      <c r="W370" s="11"/>
      <c r="X370" s="11"/>
      <c r="Y370" s="11"/>
      <c r="Z370" s="11"/>
    </row>
    <row r="371">
      <c r="A371" s="11"/>
      <c r="B371" s="11"/>
      <c r="C371" s="11"/>
      <c r="D371" s="11"/>
      <c r="E371" s="11"/>
      <c r="F371" s="12"/>
      <c r="G371" s="12"/>
      <c r="H371" s="12"/>
      <c r="I371" s="12"/>
      <c r="J371" s="11"/>
      <c r="K371" s="11"/>
      <c r="L371" s="11"/>
      <c r="M371" s="11"/>
      <c r="N371" s="11"/>
      <c r="O371" s="11"/>
      <c r="P371" s="11"/>
      <c r="Q371" s="11"/>
      <c r="R371" s="11"/>
      <c r="S371" s="11"/>
      <c r="T371" s="11"/>
      <c r="U371" s="11"/>
      <c r="V371" s="11"/>
      <c r="W371" s="11"/>
      <c r="X371" s="11"/>
      <c r="Y371" s="11"/>
      <c r="Z371" s="11"/>
    </row>
    <row r="372">
      <c r="A372" s="11"/>
      <c r="B372" s="11"/>
      <c r="C372" s="11"/>
      <c r="D372" s="11"/>
      <c r="E372" s="11"/>
      <c r="F372" s="12"/>
      <c r="G372" s="12"/>
      <c r="H372" s="12"/>
      <c r="I372" s="12"/>
      <c r="J372" s="11"/>
      <c r="K372" s="11"/>
      <c r="L372" s="11"/>
      <c r="M372" s="11"/>
      <c r="N372" s="11"/>
      <c r="O372" s="11"/>
      <c r="P372" s="11"/>
      <c r="Q372" s="11"/>
      <c r="R372" s="11"/>
      <c r="S372" s="11"/>
      <c r="T372" s="11"/>
      <c r="U372" s="11"/>
      <c r="V372" s="11"/>
      <c r="W372" s="11"/>
      <c r="X372" s="11"/>
      <c r="Y372" s="11"/>
      <c r="Z372" s="11"/>
    </row>
    <row r="373">
      <c r="A373" s="11"/>
      <c r="B373" s="11"/>
      <c r="C373" s="11"/>
      <c r="D373" s="11"/>
      <c r="E373" s="11"/>
      <c r="F373" s="12"/>
      <c r="G373" s="12"/>
      <c r="H373" s="12"/>
      <c r="I373" s="12"/>
      <c r="J373" s="11"/>
      <c r="K373" s="11"/>
      <c r="L373" s="11"/>
      <c r="M373" s="11"/>
      <c r="N373" s="11"/>
      <c r="O373" s="11"/>
      <c r="P373" s="11"/>
      <c r="Q373" s="11"/>
      <c r="R373" s="11"/>
      <c r="S373" s="11"/>
      <c r="T373" s="11"/>
      <c r="U373" s="11"/>
      <c r="V373" s="11"/>
      <c r="W373" s="11"/>
      <c r="X373" s="11"/>
      <c r="Y373" s="11"/>
      <c r="Z373" s="11"/>
    </row>
    <row r="374">
      <c r="A374" s="11"/>
      <c r="B374" s="11"/>
      <c r="C374" s="11"/>
      <c r="D374" s="11"/>
      <c r="E374" s="11"/>
      <c r="F374" s="12"/>
      <c r="G374" s="12"/>
      <c r="H374" s="12"/>
      <c r="I374" s="12"/>
      <c r="J374" s="11"/>
      <c r="K374" s="11"/>
      <c r="L374" s="11"/>
      <c r="M374" s="11"/>
      <c r="N374" s="11"/>
      <c r="O374" s="11"/>
      <c r="P374" s="11"/>
      <c r="Q374" s="11"/>
      <c r="R374" s="11"/>
      <c r="S374" s="11"/>
      <c r="T374" s="11"/>
      <c r="U374" s="11"/>
      <c r="V374" s="11"/>
      <c r="W374" s="11"/>
      <c r="X374" s="11"/>
      <c r="Y374" s="11"/>
      <c r="Z374" s="11"/>
    </row>
    <row r="375">
      <c r="A375" s="11"/>
      <c r="B375" s="11"/>
      <c r="C375" s="11"/>
      <c r="D375" s="11"/>
      <c r="E375" s="11"/>
      <c r="F375" s="12"/>
      <c r="G375" s="12"/>
      <c r="H375" s="12"/>
      <c r="I375" s="12"/>
      <c r="J375" s="11"/>
      <c r="K375" s="11"/>
      <c r="L375" s="11"/>
      <c r="M375" s="11"/>
      <c r="N375" s="11"/>
      <c r="O375" s="11"/>
      <c r="P375" s="11"/>
      <c r="Q375" s="11"/>
      <c r="R375" s="11"/>
      <c r="S375" s="11"/>
      <c r="T375" s="11"/>
      <c r="U375" s="11"/>
      <c r="V375" s="11"/>
      <c r="W375" s="11"/>
      <c r="X375" s="11"/>
      <c r="Y375" s="11"/>
      <c r="Z375" s="11"/>
    </row>
    <row r="376">
      <c r="A376" s="11"/>
      <c r="B376" s="11"/>
      <c r="C376" s="11"/>
      <c r="D376" s="11"/>
      <c r="E376" s="11"/>
      <c r="F376" s="12"/>
      <c r="G376" s="12"/>
      <c r="H376" s="12"/>
      <c r="I376" s="12"/>
      <c r="J376" s="11"/>
      <c r="K376" s="11"/>
      <c r="L376" s="11"/>
      <c r="M376" s="11"/>
      <c r="N376" s="11"/>
      <c r="O376" s="11"/>
      <c r="P376" s="11"/>
      <c r="Q376" s="11"/>
      <c r="R376" s="11"/>
      <c r="S376" s="11"/>
      <c r="T376" s="11"/>
      <c r="U376" s="11"/>
      <c r="V376" s="11"/>
      <c r="W376" s="11"/>
      <c r="X376" s="11"/>
      <c r="Y376" s="11"/>
      <c r="Z376" s="11"/>
    </row>
    <row r="377">
      <c r="A377" s="11"/>
      <c r="B377" s="11"/>
      <c r="C377" s="11"/>
      <c r="D377" s="11"/>
      <c r="E377" s="11"/>
      <c r="F377" s="12"/>
      <c r="G377" s="12"/>
      <c r="H377" s="12"/>
      <c r="I377" s="12"/>
      <c r="J377" s="11"/>
      <c r="K377" s="11"/>
      <c r="L377" s="11"/>
      <c r="M377" s="11"/>
      <c r="N377" s="11"/>
      <c r="O377" s="11"/>
      <c r="P377" s="11"/>
      <c r="Q377" s="11"/>
      <c r="R377" s="11"/>
      <c r="S377" s="11"/>
      <c r="T377" s="11"/>
      <c r="U377" s="11"/>
      <c r="V377" s="11"/>
      <c r="W377" s="11"/>
      <c r="X377" s="11"/>
      <c r="Y377" s="11"/>
      <c r="Z377" s="11"/>
    </row>
    <row r="378">
      <c r="A378" s="11"/>
      <c r="B378" s="11"/>
      <c r="C378" s="11"/>
      <c r="D378" s="11"/>
      <c r="E378" s="11"/>
      <c r="F378" s="12"/>
      <c r="G378" s="12"/>
      <c r="H378" s="12"/>
      <c r="I378" s="12"/>
      <c r="J378" s="11"/>
      <c r="K378" s="11"/>
      <c r="L378" s="11"/>
      <c r="M378" s="11"/>
      <c r="N378" s="11"/>
      <c r="O378" s="11"/>
      <c r="P378" s="11"/>
      <c r="Q378" s="11"/>
      <c r="R378" s="11"/>
      <c r="S378" s="11"/>
      <c r="T378" s="11"/>
      <c r="U378" s="11"/>
      <c r="V378" s="11"/>
      <c r="W378" s="11"/>
      <c r="X378" s="11"/>
      <c r="Y378" s="11"/>
      <c r="Z378" s="11"/>
    </row>
    <row r="379">
      <c r="A379" s="11"/>
      <c r="B379" s="11"/>
      <c r="C379" s="11"/>
      <c r="D379" s="11"/>
      <c r="E379" s="11"/>
      <c r="F379" s="12"/>
      <c r="G379" s="12"/>
      <c r="H379" s="12"/>
      <c r="I379" s="12"/>
      <c r="J379" s="11"/>
      <c r="K379" s="11"/>
      <c r="L379" s="11"/>
      <c r="M379" s="11"/>
      <c r="N379" s="11"/>
      <c r="O379" s="11"/>
      <c r="P379" s="11"/>
      <c r="Q379" s="11"/>
      <c r="R379" s="11"/>
      <c r="S379" s="11"/>
      <c r="T379" s="11"/>
      <c r="U379" s="11"/>
      <c r="V379" s="11"/>
      <c r="W379" s="11"/>
      <c r="X379" s="11"/>
      <c r="Y379" s="11"/>
      <c r="Z379" s="11"/>
    </row>
    <row r="380">
      <c r="A380" s="11"/>
      <c r="B380" s="11"/>
      <c r="C380" s="11"/>
      <c r="D380" s="11"/>
      <c r="E380" s="11"/>
      <c r="F380" s="12"/>
      <c r="G380" s="12"/>
      <c r="H380" s="12"/>
      <c r="I380" s="12"/>
      <c r="J380" s="11"/>
      <c r="K380" s="11"/>
      <c r="L380" s="11"/>
      <c r="M380" s="11"/>
      <c r="N380" s="11"/>
      <c r="O380" s="11"/>
      <c r="P380" s="11"/>
      <c r="Q380" s="11"/>
      <c r="R380" s="11"/>
      <c r="S380" s="11"/>
      <c r="T380" s="11"/>
      <c r="U380" s="11"/>
      <c r="V380" s="11"/>
      <c r="W380" s="11"/>
      <c r="X380" s="11"/>
      <c r="Y380" s="11"/>
      <c r="Z380" s="11"/>
    </row>
    <row r="381">
      <c r="A381" s="11"/>
      <c r="B381" s="11"/>
      <c r="C381" s="11"/>
      <c r="D381" s="11"/>
      <c r="E381" s="11"/>
      <c r="F381" s="12"/>
      <c r="G381" s="12"/>
      <c r="H381" s="12"/>
      <c r="I381" s="12"/>
      <c r="J381" s="11"/>
      <c r="K381" s="11"/>
      <c r="L381" s="11"/>
      <c r="M381" s="11"/>
      <c r="N381" s="11"/>
      <c r="O381" s="11"/>
      <c r="P381" s="11"/>
      <c r="Q381" s="11"/>
      <c r="R381" s="11"/>
      <c r="S381" s="11"/>
      <c r="T381" s="11"/>
      <c r="U381" s="11"/>
      <c r="V381" s="11"/>
      <c r="W381" s="11"/>
      <c r="X381" s="11"/>
      <c r="Y381" s="11"/>
      <c r="Z381" s="11"/>
    </row>
    <row r="382">
      <c r="A382" s="11"/>
      <c r="B382" s="11"/>
      <c r="C382" s="11"/>
      <c r="D382" s="11"/>
      <c r="E382" s="11"/>
      <c r="F382" s="12"/>
      <c r="G382" s="12"/>
      <c r="H382" s="12"/>
      <c r="I382" s="12"/>
      <c r="J382" s="11"/>
      <c r="K382" s="11"/>
      <c r="L382" s="11"/>
      <c r="M382" s="11"/>
      <c r="N382" s="11"/>
      <c r="O382" s="11"/>
      <c r="P382" s="11"/>
      <c r="Q382" s="11"/>
      <c r="R382" s="11"/>
      <c r="S382" s="11"/>
      <c r="T382" s="11"/>
      <c r="U382" s="11"/>
      <c r="V382" s="11"/>
      <c r="W382" s="11"/>
      <c r="X382" s="11"/>
      <c r="Y382" s="11"/>
      <c r="Z382" s="11"/>
    </row>
    <row r="383">
      <c r="A383" s="11"/>
      <c r="B383" s="11"/>
      <c r="C383" s="11"/>
      <c r="D383" s="11"/>
      <c r="E383" s="11"/>
      <c r="F383" s="12"/>
      <c r="G383" s="12"/>
      <c r="H383" s="12"/>
      <c r="I383" s="12"/>
      <c r="J383" s="11"/>
      <c r="K383" s="11"/>
      <c r="L383" s="11"/>
      <c r="M383" s="11"/>
      <c r="N383" s="11"/>
      <c r="O383" s="11"/>
      <c r="P383" s="11"/>
      <c r="Q383" s="11"/>
      <c r="R383" s="11"/>
      <c r="S383" s="11"/>
      <c r="T383" s="11"/>
      <c r="U383" s="11"/>
      <c r="V383" s="11"/>
      <c r="W383" s="11"/>
      <c r="X383" s="11"/>
      <c r="Y383" s="11"/>
      <c r="Z383" s="11"/>
    </row>
    <row r="384">
      <c r="A384" s="11"/>
      <c r="B384" s="11"/>
      <c r="C384" s="11"/>
      <c r="D384" s="11"/>
      <c r="E384" s="11"/>
      <c r="F384" s="12"/>
      <c r="G384" s="12"/>
      <c r="H384" s="12"/>
      <c r="I384" s="12"/>
      <c r="J384" s="11"/>
      <c r="K384" s="11"/>
      <c r="L384" s="11"/>
      <c r="M384" s="11"/>
      <c r="N384" s="11"/>
      <c r="O384" s="11"/>
      <c r="P384" s="11"/>
      <c r="Q384" s="11"/>
      <c r="R384" s="11"/>
      <c r="S384" s="11"/>
      <c r="T384" s="11"/>
      <c r="U384" s="11"/>
      <c r="V384" s="11"/>
      <c r="W384" s="11"/>
      <c r="X384" s="11"/>
      <c r="Y384" s="11"/>
      <c r="Z384" s="11"/>
    </row>
    <row r="385">
      <c r="A385" s="11"/>
      <c r="B385" s="11"/>
      <c r="C385" s="11"/>
      <c r="D385" s="11"/>
      <c r="E385" s="11"/>
      <c r="F385" s="12"/>
      <c r="G385" s="12"/>
      <c r="H385" s="12"/>
      <c r="I385" s="12"/>
      <c r="J385" s="11"/>
      <c r="K385" s="11"/>
      <c r="L385" s="11"/>
      <c r="M385" s="11"/>
      <c r="N385" s="11"/>
      <c r="O385" s="11"/>
      <c r="P385" s="11"/>
      <c r="Q385" s="11"/>
      <c r="R385" s="11"/>
      <c r="S385" s="11"/>
      <c r="T385" s="11"/>
      <c r="U385" s="11"/>
      <c r="V385" s="11"/>
      <c r="W385" s="11"/>
      <c r="X385" s="11"/>
      <c r="Y385" s="11"/>
      <c r="Z385" s="11"/>
    </row>
    <row r="386">
      <c r="A386" s="11"/>
      <c r="B386" s="11"/>
      <c r="C386" s="11"/>
      <c r="D386" s="11"/>
      <c r="E386" s="11"/>
      <c r="F386" s="12"/>
      <c r="G386" s="12"/>
      <c r="H386" s="12"/>
      <c r="I386" s="12"/>
      <c r="J386" s="11"/>
      <c r="K386" s="11"/>
      <c r="L386" s="11"/>
      <c r="M386" s="11"/>
      <c r="N386" s="11"/>
      <c r="O386" s="11"/>
      <c r="P386" s="11"/>
      <c r="Q386" s="11"/>
      <c r="R386" s="11"/>
      <c r="S386" s="11"/>
      <c r="T386" s="11"/>
      <c r="U386" s="11"/>
      <c r="V386" s="11"/>
      <c r="W386" s="11"/>
      <c r="X386" s="11"/>
      <c r="Y386" s="11"/>
      <c r="Z386" s="11"/>
    </row>
    <row r="387">
      <c r="A387" s="11"/>
      <c r="B387" s="11"/>
      <c r="C387" s="11"/>
      <c r="D387" s="11"/>
      <c r="E387" s="11"/>
      <c r="F387" s="12"/>
      <c r="G387" s="12"/>
      <c r="H387" s="12"/>
      <c r="I387" s="12"/>
      <c r="J387" s="11"/>
      <c r="K387" s="11"/>
      <c r="L387" s="11"/>
      <c r="M387" s="11"/>
      <c r="N387" s="11"/>
      <c r="O387" s="11"/>
      <c r="P387" s="11"/>
      <c r="Q387" s="11"/>
      <c r="R387" s="11"/>
      <c r="S387" s="11"/>
      <c r="T387" s="11"/>
      <c r="U387" s="11"/>
      <c r="V387" s="11"/>
      <c r="W387" s="11"/>
      <c r="X387" s="11"/>
      <c r="Y387" s="11"/>
      <c r="Z387" s="11"/>
    </row>
    <row r="388">
      <c r="A388" s="11"/>
      <c r="B388" s="11"/>
      <c r="C388" s="11"/>
      <c r="D388" s="11"/>
      <c r="E388" s="11"/>
      <c r="F388" s="12"/>
      <c r="G388" s="12"/>
      <c r="H388" s="12"/>
      <c r="I388" s="12"/>
      <c r="J388" s="11"/>
      <c r="K388" s="11"/>
      <c r="L388" s="11"/>
      <c r="M388" s="11"/>
      <c r="N388" s="11"/>
      <c r="O388" s="11"/>
      <c r="P388" s="11"/>
      <c r="Q388" s="11"/>
      <c r="R388" s="11"/>
      <c r="S388" s="11"/>
      <c r="T388" s="11"/>
      <c r="U388" s="11"/>
      <c r="V388" s="11"/>
      <c r="W388" s="11"/>
      <c r="X388" s="11"/>
      <c r="Y388" s="11"/>
      <c r="Z388" s="11"/>
    </row>
    <row r="389">
      <c r="A389" s="11"/>
      <c r="B389" s="11"/>
      <c r="C389" s="11"/>
      <c r="D389" s="11"/>
      <c r="E389" s="11"/>
      <c r="F389" s="12"/>
      <c r="G389" s="12"/>
      <c r="H389" s="12"/>
      <c r="I389" s="12"/>
      <c r="J389" s="11"/>
      <c r="K389" s="11"/>
      <c r="L389" s="11"/>
      <c r="M389" s="11"/>
      <c r="N389" s="11"/>
      <c r="O389" s="11"/>
      <c r="P389" s="11"/>
      <c r="Q389" s="11"/>
      <c r="R389" s="11"/>
      <c r="S389" s="11"/>
      <c r="T389" s="11"/>
      <c r="U389" s="11"/>
      <c r="V389" s="11"/>
      <c r="W389" s="11"/>
      <c r="X389" s="11"/>
      <c r="Y389" s="11"/>
      <c r="Z389" s="11"/>
    </row>
    <row r="390">
      <c r="A390" s="11"/>
      <c r="B390" s="11"/>
      <c r="C390" s="11"/>
      <c r="D390" s="11"/>
      <c r="E390" s="11"/>
      <c r="F390" s="12"/>
      <c r="G390" s="12"/>
      <c r="H390" s="12"/>
      <c r="I390" s="12"/>
      <c r="J390" s="11"/>
      <c r="K390" s="11"/>
      <c r="L390" s="11"/>
      <c r="M390" s="11"/>
      <c r="N390" s="11"/>
      <c r="O390" s="11"/>
      <c r="P390" s="11"/>
      <c r="Q390" s="11"/>
      <c r="R390" s="11"/>
      <c r="S390" s="11"/>
      <c r="T390" s="11"/>
      <c r="U390" s="11"/>
      <c r="V390" s="11"/>
      <c r="W390" s="11"/>
      <c r="X390" s="11"/>
      <c r="Y390" s="11"/>
      <c r="Z390" s="11"/>
    </row>
    <row r="391">
      <c r="A391" s="11"/>
      <c r="B391" s="11"/>
      <c r="C391" s="11"/>
      <c r="D391" s="11"/>
      <c r="E391" s="11"/>
      <c r="F391" s="12"/>
      <c r="G391" s="12"/>
      <c r="H391" s="12"/>
      <c r="I391" s="12"/>
      <c r="J391" s="11"/>
      <c r="K391" s="11"/>
      <c r="L391" s="11"/>
      <c r="M391" s="11"/>
      <c r="N391" s="11"/>
      <c r="O391" s="11"/>
      <c r="P391" s="11"/>
      <c r="Q391" s="11"/>
      <c r="R391" s="11"/>
      <c r="S391" s="11"/>
      <c r="T391" s="11"/>
      <c r="U391" s="11"/>
      <c r="V391" s="11"/>
      <c r="W391" s="11"/>
      <c r="X391" s="11"/>
      <c r="Y391" s="11"/>
      <c r="Z391" s="11"/>
    </row>
    <row r="392">
      <c r="A392" s="11"/>
      <c r="B392" s="11"/>
      <c r="C392" s="11"/>
      <c r="D392" s="11"/>
      <c r="E392" s="11"/>
      <c r="F392" s="12"/>
      <c r="G392" s="12"/>
      <c r="H392" s="12"/>
      <c r="I392" s="12"/>
      <c r="J392" s="11"/>
      <c r="K392" s="11"/>
      <c r="L392" s="11"/>
      <c r="M392" s="11"/>
      <c r="N392" s="11"/>
      <c r="O392" s="11"/>
      <c r="P392" s="11"/>
      <c r="Q392" s="11"/>
      <c r="R392" s="11"/>
      <c r="S392" s="11"/>
      <c r="T392" s="11"/>
      <c r="U392" s="11"/>
      <c r="V392" s="11"/>
      <c r="W392" s="11"/>
      <c r="X392" s="11"/>
      <c r="Y392" s="11"/>
      <c r="Z392" s="11"/>
    </row>
    <row r="393">
      <c r="A393" s="11"/>
      <c r="B393" s="11"/>
      <c r="C393" s="11"/>
      <c r="D393" s="11"/>
      <c r="E393" s="11"/>
      <c r="F393" s="12"/>
      <c r="G393" s="12"/>
      <c r="H393" s="12"/>
      <c r="I393" s="12"/>
      <c r="J393" s="11"/>
      <c r="K393" s="11"/>
      <c r="L393" s="11"/>
      <c r="M393" s="11"/>
      <c r="N393" s="11"/>
      <c r="O393" s="11"/>
      <c r="P393" s="11"/>
      <c r="Q393" s="11"/>
      <c r="R393" s="11"/>
      <c r="S393" s="11"/>
      <c r="T393" s="11"/>
      <c r="U393" s="11"/>
      <c r="V393" s="11"/>
      <c r="W393" s="11"/>
      <c r="X393" s="11"/>
      <c r="Y393" s="11"/>
      <c r="Z393" s="11"/>
    </row>
    <row r="394">
      <c r="A394" s="11"/>
      <c r="B394" s="11"/>
      <c r="C394" s="11"/>
      <c r="D394" s="11"/>
      <c r="E394" s="11"/>
      <c r="F394" s="12"/>
      <c r="G394" s="12"/>
      <c r="H394" s="12"/>
      <c r="I394" s="12"/>
      <c r="J394" s="11"/>
      <c r="K394" s="11"/>
      <c r="L394" s="11"/>
      <c r="M394" s="11"/>
      <c r="N394" s="11"/>
      <c r="O394" s="11"/>
      <c r="P394" s="11"/>
      <c r="Q394" s="11"/>
      <c r="R394" s="11"/>
      <c r="S394" s="11"/>
      <c r="T394" s="11"/>
      <c r="U394" s="11"/>
      <c r="V394" s="11"/>
      <c r="W394" s="11"/>
      <c r="X394" s="11"/>
      <c r="Y394" s="11"/>
      <c r="Z394" s="11"/>
    </row>
    <row r="395">
      <c r="A395" s="11"/>
      <c r="B395" s="11"/>
      <c r="C395" s="11"/>
      <c r="D395" s="11"/>
      <c r="E395" s="11"/>
      <c r="F395" s="12"/>
      <c r="G395" s="12"/>
      <c r="H395" s="12"/>
      <c r="I395" s="12"/>
      <c r="J395" s="11"/>
      <c r="K395" s="11"/>
      <c r="L395" s="11"/>
      <c r="M395" s="11"/>
      <c r="N395" s="11"/>
      <c r="O395" s="11"/>
      <c r="P395" s="11"/>
      <c r="Q395" s="11"/>
      <c r="R395" s="11"/>
      <c r="S395" s="11"/>
      <c r="T395" s="11"/>
      <c r="U395" s="11"/>
      <c r="V395" s="11"/>
      <c r="W395" s="11"/>
      <c r="X395" s="11"/>
      <c r="Y395" s="11"/>
      <c r="Z395" s="11"/>
    </row>
    <row r="396">
      <c r="A396" s="11"/>
      <c r="B396" s="11"/>
      <c r="C396" s="11"/>
      <c r="D396" s="11"/>
      <c r="E396" s="11"/>
      <c r="F396" s="12"/>
      <c r="G396" s="12"/>
      <c r="H396" s="12"/>
      <c r="I396" s="12"/>
      <c r="J396" s="11"/>
      <c r="K396" s="11"/>
      <c r="L396" s="11"/>
      <c r="M396" s="11"/>
      <c r="N396" s="11"/>
      <c r="O396" s="11"/>
      <c r="P396" s="11"/>
      <c r="Q396" s="11"/>
      <c r="R396" s="11"/>
      <c r="S396" s="11"/>
      <c r="T396" s="11"/>
      <c r="U396" s="11"/>
      <c r="V396" s="11"/>
      <c r="W396" s="11"/>
      <c r="X396" s="11"/>
      <c r="Y396" s="11"/>
      <c r="Z396" s="11"/>
    </row>
    <row r="397">
      <c r="A397" s="11"/>
      <c r="B397" s="11"/>
      <c r="C397" s="11"/>
      <c r="D397" s="11"/>
      <c r="E397" s="11"/>
      <c r="F397" s="12"/>
      <c r="G397" s="12"/>
      <c r="H397" s="12"/>
      <c r="I397" s="12"/>
      <c r="J397" s="11"/>
      <c r="K397" s="11"/>
      <c r="L397" s="11"/>
      <c r="M397" s="11"/>
      <c r="N397" s="11"/>
      <c r="O397" s="11"/>
      <c r="P397" s="11"/>
      <c r="Q397" s="11"/>
      <c r="R397" s="11"/>
      <c r="S397" s="11"/>
      <c r="T397" s="11"/>
      <c r="U397" s="11"/>
      <c r="V397" s="11"/>
      <c r="W397" s="11"/>
      <c r="X397" s="11"/>
      <c r="Y397" s="11"/>
      <c r="Z397" s="11"/>
    </row>
    <row r="398">
      <c r="A398" s="11"/>
      <c r="B398" s="11"/>
      <c r="C398" s="11"/>
      <c r="D398" s="11"/>
      <c r="E398" s="11"/>
      <c r="F398" s="12"/>
      <c r="G398" s="12"/>
      <c r="H398" s="12"/>
      <c r="I398" s="12"/>
      <c r="J398" s="11"/>
      <c r="K398" s="11"/>
      <c r="L398" s="11"/>
      <c r="M398" s="11"/>
      <c r="N398" s="11"/>
      <c r="O398" s="11"/>
      <c r="P398" s="11"/>
      <c r="Q398" s="11"/>
      <c r="R398" s="11"/>
      <c r="S398" s="11"/>
      <c r="T398" s="11"/>
      <c r="U398" s="11"/>
      <c r="V398" s="11"/>
      <c r="W398" s="11"/>
      <c r="X398" s="11"/>
      <c r="Y398" s="11"/>
      <c r="Z398" s="11"/>
    </row>
    <row r="399">
      <c r="A399" s="11"/>
      <c r="B399" s="11"/>
      <c r="C399" s="11"/>
      <c r="D399" s="11"/>
      <c r="E399" s="11"/>
      <c r="F399" s="12"/>
      <c r="G399" s="12"/>
      <c r="H399" s="12"/>
      <c r="I399" s="12"/>
      <c r="J399" s="11"/>
      <c r="K399" s="11"/>
      <c r="L399" s="11"/>
      <c r="M399" s="11"/>
      <c r="N399" s="11"/>
      <c r="O399" s="11"/>
      <c r="P399" s="11"/>
      <c r="Q399" s="11"/>
      <c r="R399" s="11"/>
      <c r="S399" s="11"/>
      <c r="T399" s="11"/>
      <c r="U399" s="11"/>
      <c r="V399" s="11"/>
      <c r="W399" s="11"/>
      <c r="X399" s="11"/>
      <c r="Y399" s="11"/>
      <c r="Z399" s="11"/>
    </row>
    <row r="400">
      <c r="A400" s="11"/>
      <c r="B400" s="11"/>
      <c r="C400" s="11"/>
      <c r="D400" s="11"/>
      <c r="E400" s="11"/>
      <c r="F400" s="12"/>
      <c r="G400" s="12"/>
      <c r="H400" s="12"/>
      <c r="I400" s="12"/>
      <c r="J400" s="11"/>
      <c r="K400" s="11"/>
      <c r="L400" s="11"/>
      <c r="M400" s="11"/>
      <c r="N400" s="11"/>
      <c r="O400" s="11"/>
      <c r="P400" s="11"/>
      <c r="Q400" s="11"/>
      <c r="R400" s="11"/>
      <c r="S400" s="11"/>
      <c r="T400" s="11"/>
      <c r="U400" s="11"/>
      <c r="V400" s="11"/>
      <c r="W400" s="11"/>
      <c r="X400" s="11"/>
      <c r="Y400" s="11"/>
      <c r="Z400" s="11"/>
    </row>
    <row r="401">
      <c r="A401" s="11"/>
      <c r="B401" s="11"/>
      <c r="C401" s="11"/>
      <c r="D401" s="11"/>
      <c r="E401" s="11"/>
      <c r="F401" s="12"/>
      <c r="G401" s="12"/>
      <c r="H401" s="12"/>
      <c r="I401" s="12"/>
      <c r="J401" s="11"/>
      <c r="K401" s="11"/>
      <c r="L401" s="11"/>
      <c r="M401" s="11"/>
      <c r="N401" s="11"/>
      <c r="O401" s="11"/>
      <c r="P401" s="11"/>
      <c r="Q401" s="11"/>
      <c r="R401" s="11"/>
      <c r="S401" s="11"/>
      <c r="T401" s="11"/>
      <c r="U401" s="11"/>
      <c r="V401" s="11"/>
      <c r="W401" s="11"/>
      <c r="X401" s="11"/>
      <c r="Y401" s="11"/>
      <c r="Z401" s="11"/>
    </row>
    <row r="402">
      <c r="A402" s="11"/>
      <c r="B402" s="11"/>
      <c r="C402" s="11"/>
      <c r="D402" s="11"/>
      <c r="E402" s="11"/>
      <c r="F402" s="12"/>
      <c r="G402" s="12"/>
      <c r="H402" s="12"/>
      <c r="I402" s="12"/>
      <c r="J402" s="11"/>
      <c r="K402" s="11"/>
      <c r="L402" s="11"/>
      <c r="M402" s="11"/>
      <c r="N402" s="11"/>
      <c r="O402" s="11"/>
      <c r="P402" s="11"/>
      <c r="Q402" s="11"/>
      <c r="R402" s="11"/>
      <c r="S402" s="11"/>
      <c r="T402" s="11"/>
      <c r="U402" s="11"/>
      <c r="V402" s="11"/>
      <c r="W402" s="11"/>
      <c r="X402" s="11"/>
      <c r="Y402" s="11"/>
      <c r="Z402" s="11"/>
    </row>
    <row r="403">
      <c r="A403" s="11"/>
      <c r="B403" s="11"/>
      <c r="C403" s="11"/>
      <c r="D403" s="11"/>
      <c r="E403" s="11"/>
      <c r="F403" s="12"/>
      <c r="G403" s="12"/>
      <c r="H403" s="12"/>
      <c r="I403" s="12"/>
      <c r="J403" s="11"/>
      <c r="K403" s="11"/>
      <c r="L403" s="11"/>
      <c r="M403" s="11"/>
      <c r="N403" s="11"/>
      <c r="O403" s="11"/>
      <c r="P403" s="11"/>
      <c r="Q403" s="11"/>
      <c r="R403" s="11"/>
      <c r="S403" s="11"/>
      <c r="T403" s="11"/>
      <c r="U403" s="11"/>
      <c r="V403" s="11"/>
      <c r="W403" s="11"/>
      <c r="X403" s="11"/>
      <c r="Y403" s="11"/>
      <c r="Z403" s="11"/>
    </row>
    <row r="404">
      <c r="A404" s="11"/>
      <c r="B404" s="11"/>
      <c r="C404" s="11"/>
      <c r="D404" s="11"/>
      <c r="E404" s="11"/>
      <c r="F404" s="12"/>
      <c r="G404" s="12"/>
      <c r="H404" s="12"/>
      <c r="I404" s="12"/>
      <c r="J404" s="11"/>
      <c r="K404" s="11"/>
      <c r="L404" s="11"/>
      <c r="M404" s="11"/>
      <c r="N404" s="11"/>
      <c r="O404" s="11"/>
      <c r="P404" s="11"/>
      <c r="Q404" s="11"/>
      <c r="R404" s="11"/>
      <c r="S404" s="11"/>
      <c r="T404" s="11"/>
      <c r="U404" s="11"/>
      <c r="V404" s="11"/>
      <c r="W404" s="11"/>
      <c r="X404" s="11"/>
      <c r="Y404" s="11"/>
      <c r="Z404" s="11"/>
    </row>
    <row r="405">
      <c r="A405" s="11"/>
      <c r="B405" s="11"/>
      <c r="C405" s="11"/>
      <c r="D405" s="11"/>
      <c r="E405" s="11"/>
      <c r="F405" s="12"/>
      <c r="G405" s="12"/>
      <c r="H405" s="12"/>
      <c r="I405" s="12"/>
      <c r="J405" s="11"/>
      <c r="K405" s="11"/>
      <c r="L405" s="11"/>
      <c r="M405" s="11"/>
      <c r="N405" s="11"/>
      <c r="O405" s="11"/>
      <c r="P405" s="11"/>
      <c r="Q405" s="11"/>
      <c r="R405" s="11"/>
      <c r="S405" s="11"/>
      <c r="T405" s="11"/>
      <c r="U405" s="11"/>
      <c r="V405" s="11"/>
      <c r="W405" s="11"/>
      <c r="X405" s="11"/>
      <c r="Y405" s="11"/>
      <c r="Z405" s="11"/>
    </row>
    <row r="406">
      <c r="A406" s="11"/>
      <c r="B406" s="11"/>
      <c r="C406" s="11"/>
      <c r="D406" s="11"/>
      <c r="E406" s="11"/>
      <c r="F406" s="12"/>
      <c r="G406" s="12"/>
      <c r="H406" s="12"/>
      <c r="I406" s="12"/>
      <c r="J406" s="11"/>
      <c r="K406" s="11"/>
      <c r="L406" s="11"/>
      <c r="M406" s="11"/>
      <c r="N406" s="11"/>
      <c r="O406" s="11"/>
      <c r="P406" s="11"/>
      <c r="Q406" s="11"/>
      <c r="R406" s="11"/>
      <c r="S406" s="11"/>
      <c r="T406" s="11"/>
      <c r="U406" s="11"/>
      <c r="V406" s="11"/>
      <c r="W406" s="11"/>
      <c r="X406" s="11"/>
      <c r="Y406" s="11"/>
      <c r="Z406" s="11"/>
    </row>
    <row r="407">
      <c r="A407" s="11"/>
      <c r="B407" s="11"/>
      <c r="C407" s="11"/>
      <c r="D407" s="11"/>
      <c r="E407" s="11"/>
      <c r="F407" s="12"/>
      <c r="G407" s="12"/>
      <c r="H407" s="12"/>
      <c r="I407" s="12"/>
      <c r="J407" s="11"/>
      <c r="K407" s="11"/>
      <c r="L407" s="11"/>
      <c r="M407" s="11"/>
      <c r="N407" s="11"/>
      <c r="O407" s="11"/>
      <c r="P407" s="11"/>
      <c r="Q407" s="11"/>
      <c r="R407" s="11"/>
      <c r="S407" s="11"/>
      <c r="T407" s="11"/>
      <c r="U407" s="11"/>
      <c r="V407" s="11"/>
      <c r="W407" s="11"/>
      <c r="X407" s="11"/>
      <c r="Y407" s="11"/>
      <c r="Z407" s="11"/>
    </row>
    <row r="408">
      <c r="A408" s="11"/>
      <c r="B408" s="11"/>
      <c r="C408" s="11"/>
      <c r="D408" s="11"/>
      <c r="E408" s="11"/>
      <c r="F408" s="12"/>
      <c r="G408" s="12"/>
      <c r="H408" s="12"/>
      <c r="I408" s="12"/>
      <c r="J408" s="11"/>
      <c r="K408" s="11"/>
      <c r="L408" s="11"/>
      <c r="M408" s="11"/>
      <c r="N408" s="11"/>
      <c r="O408" s="11"/>
      <c r="P408" s="11"/>
      <c r="Q408" s="11"/>
      <c r="R408" s="11"/>
      <c r="S408" s="11"/>
      <c r="T408" s="11"/>
      <c r="U408" s="11"/>
      <c r="V408" s="11"/>
      <c r="W408" s="11"/>
      <c r="X408" s="11"/>
      <c r="Y408" s="11"/>
      <c r="Z408" s="11"/>
    </row>
    <row r="409">
      <c r="A409" s="11"/>
      <c r="B409" s="11"/>
      <c r="C409" s="11"/>
      <c r="D409" s="11"/>
      <c r="E409" s="11"/>
      <c r="F409" s="12"/>
      <c r="G409" s="12"/>
      <c r="H409" s="12"/>
      <c r="I409" s="12"/>
      <c r="J409" s="11"/>
      <c r="K409" s="11"/>
      <c r="L409" s="11"/>
      <c r="M409" s="11"/>
      <c r="N409" s="11"/>
      <c r="O409" s="11"/>
      <c r="P409" s="11"/>
      <c r="Q409" s="11"/>
      <c r="R409" s="11"/>
      <c r="S409" s="11"/>
      <c r="T409" s="11"/>
      <c r="U409" s="11"/>
      <c r="V409" s="11"/>
      <c r="W409" s="11"/>
      <c r="X409" s="11"/>
      <c r="Y409" s="11"/>
      <c r="Z409" s="11"/>
    </row>
    <row r="410">
      <c r="A410" s="11"/>
      <c r="B410" s="11"/>
      <c r="C410" s="11"/>
      <c r="D410" s="11"/>
      <c r="E410" s="11"/>
      <c r="F410" s="12"/>
      <c r="G410" s="12"/>
      <c r="H410" s="12"/>
      <c r="I410" s="12"/>
      <c r="J410" s="11"/>
      <c r="K410" s="11"/>
      <c r="L410" s="11"/>
      <c r="M410" s="11"/>
      <c r="N410" s="11"/>
      <c r="O410" s="11"/>
      <c r="P410" s="11"/>
      <c r="Q410" s="11"/>
      <c r="R410" s="11"/>
      <c r="S410" s="11"/>
      <c r="T410" s="11"/>
      <c r="U410" s="11"/>
      <c r="V410" s="11"/>
      <c r="W410" s="11"/>
      <c r="X410" s="11"/>
      <c r="Y410" s="11"/>
      <c r="Z410" s="11"/>
    </row>
    <row r="411">
      <c r="A411" s="11"/>
      <c r="B411" s="11"/>
      <c r="C411" s="11"/>
      <c r="D411" s="11"/>
      <c r="E411" s="11"/>
      <c r="F411" s="12"/>
      <c r="G411" s="12"/>
      <c r="H411" s="12"/>
      <c r="I411" s="12"/>
      <c r="J411" s="11"/>
      <c r="K411" s="11"/>
      <c r="L411" s="11"/>
      <c r="M411" s="11"/>
      <c r="N411" s="11"/>
      <c r="O411" s="11"/>
      <c r="P411" s="11"/>
      <c r="Q411" s="11"/>
      <c r="R411" s="11"/>
      <c r="S411" s="11"/>
      <c r="T411" s="11"/>
      <c r="U411" s="11"/>
      <c r="V411" s="11"/>
      <c r="W411" s="11"/>
      <c r="X411" s="11"/>
      <c r="Y411" s="11"/>
      <c r="Z411" s="11"/>
    </row>
    <row r="412">
      <c r="A412" s="11"/>
      <c r="B412" s="11"/>
      <c r="C412" s="11"/>
      <c r="D412" s="11"/>
      <c r="E412" s="11"/>
      <c r="F412" s="12"/>
      <c r="G412" s="12"/>
      <c r="H412" s="12"/>
      <c r="I412" s="12"/>
      <c r="J412" s="11"/>
      <c r="K412" s="11"/>
      <c r="L412" s="11"/>
      <c r="M412" s="11"/>
      <c r="N412" s="11"/>
      <c r="O412" s="11"/>
      <c r="P412" s="11"/>
      <c r="Q412" s="11"/>
      <c r="R412" s="11"/>
      <c r="S412" s="11"/>
      <c r="T412" s="11"/>
      <c r="U412" s="11"/>
      <c r="V412" s="11"/>
      <c r="W412" s="11"/>
      <c r="X412" s="11"/>
      <c r="Y412" s="11"/>
      <c r="Z412" s="11"/>
    </row>
    <row r="413">
      <c r="A413" s="11"/>
      <c r="B413" s="11"/>
      <c r="C413" s="11"/>
      <c r="D413" s="11"/>
      <c r="E413" s="11"/>
      <c r="F413" s="12"/>
      <c r="G413" s="12"/>
      <c r="H413" s="12"/>
      <c r="I413" s="12"/>
      <c r="J413" s="11"/>
      <c r="K413" s="11"/>
      <c r="L413" s="11"/>
      <c r="M413" s="11"/>
      <c r="N413" s="11"/>
      <c r="O413" s="11"/>
      <c r="P413" s="11"/>
      <c r="Q413" s="11"/>
      <c r="R413" s="11"/>
      <c r="S413" s="11"/>
      <c r="T413" s="11"/>
      <c r="U413" s="11"/>
      <c r="V413" s="11"/>
      <c r="W413" s="11"/>
      <c r="X413" s="11"/>
      <c r="Y413" s="11"/>
      <c r="Z413" s="11"/>
    </row>
    <row r="414">
      <c r="A414" s="11"/>
      <c r="B414" s="11"/>
      <c r="C414" s="11"/>
      <c r="D414" s="11"/>
      <c r="E414" s="11"/>
      <c r="F414" s="12"/>
      <c r="G414" s="12"/>
      <c r="H414" s="12"/>
      <c r="I414" s="12"/>
      <c r="J414" s="11"/>
      <c r="K414" s="11"/>
      <c r="L414" s="11"/>
      <c r="M414" s="11"/>
      <c r="N414" s="11"/>
      <c r="O414" s="11"/>
      <c r="P414" s="11"/>
      <c r="Q414" s="11"/>
      <c r="R414" s="11"/>
      <c r="S414" s="11"/>
      <c r="T414" s="11"/>
      <c r="U414" s="11"/>
      <c r="V414" s="11"/>
      <c r="W414" s="11"/>
      <c r="X414" s="11"/>
      <c r="Y414" s="11"/>
      <c r="Z414" s="11"/>
    </row>
    <row r="415">
      <c r="A415" s="11"/>
      <c r="B415" s="11"/>
      <c r="C415" s="11"/>
      <c r="D415" s="11"/>
      <c r="E415" s="11"/>
      <c r="F415" s="12"/>
      <c r="G415" s="12"/>
      <c r="H415" s="12"/>
      <c r="I415" s="12"/>
      <c r="J415" s="11"/>
      <c r="K415" s="11"/>
      <c r="L415" s="11"/>
      <c r="M415" s="11"/>
      <c r="N415" s="11"/>
      <c r="O415" s="11"/>
      <c r="P415" s="11"/>
      <c r="Q415" s="11"/>
      <c r="R415" s="11"/>
      <c r="S415" s="11"/>
      <c r="T415" s="11"/>
      <c r="U415" s="11"/>
      <c r="V415" s="11"/>
      <c r="W415" s="11"/>
      <c r="X415" s="11"/>
      <c r="Y415" s="11"/>
      <c r="Z415" s="11"/>
    </row>
    <row r="416">
      <c r="A416" s="11"/>
      <c r="B416" s="11"/>
      <c r="C416" s="11"/>
      <c r="D416" s="11"/>
      <c r="E416" s="11"/>
      <c r="F416" s="12"/>
      <c r="G416" s="12"/>
      <c r="H416" s="12"/>
      <c r="I416" s="12"/>
      <c r="J416" s="11"/>
      <c r="K416" s="11"/>
      <c r="L416" s="11"/>
      <c r="M416" s="11"/>
      <c r="N416" s="11"/>
      <c r="O416" s="11"/>
      <c r="P416" s="11"/>
      <c r="Q416" s="11"/>
      <c r="R416" s="11"/>
      <c r="S416" s="11"/>
      <c r="T416" s="11"/>
      <c r="U416" s="11"/>
      <c r="V416" s="11"/>
      <c r="W416" s="11"/>
      <c r="X416" s="11"/>
      <c r="Y416" s="11"/>
      <c r="Z416" s="11"/>
    </row>
    <row r="417">
      <c r="A417" s="11"/>
      <c r="B417" s="11"/>
      <c r="C417" s="11"/>
      <c r="D417" s="11"/>
      <c r="E417" s="11"/>
      <c r="F417" s="12"/>
      <c r="G417" s="12"/>
      <c r="H417" s="12"/>
      <c r="I417" s="12"/>
      <c r="J417" s="11"/>
      <c r="K417" s="11"/>
      <c r="L417" s="11"/>
      <c r="M417" s="11"/>
      <c r="N417" s="11"/>
      <c r="O417" s="11"/>
      <c r="P417" s="11"/>
      <c r="Q417" s="11"/>
      <c r="R417" s="11"/>
      <c r="S417" s="11"/>
      <c r="T417" s="11"/>
      <c r="U417" s="11"/>
      <c r="V417" s="11"/>
      <c r="W417" s="11"/>
      <c r="X417" s="11"/>
      <c r="Y417" s="11"/>
      <c r="Z417" s="11"/>
    </row>
    <row r="418">
      <c r="A418" s="11"/>
      <c r="B418" s="11"/>
      <c r="C418" s="11"/>
      <c r="D418" s="11"/>
      <c r="E418" s="11"/>
      <c r="F418" s="12"/>
      <c r="G418" s="12"/>
      <c r="H418" s="12"/>
      <c r="I418" s="12"/>
      <c r="J418" s="11"/>
      <c r="K418" s="11"/>
      <c r="L418" s="11"/>
      <c r="M418" s="11"/>
      <c r="N418" s="11"/>
      <c r="O418" s="11"/>
      <c r="P418" s="11"/>
      <c r="Q418" s="11"/>
      <c r="R418" s="11"/>
      <c r="S418" s="11"/>
      <c r="T418" s="11"/>
      <c r="U418" s="11"/>
      <c r="V418" s="11"/>
      <c r="W418" s="11"/>
      <c r="X418" s="11"/>
      <c r="Y418" s="11"/>
      <c r="Z418" s="11"/>
    </row>
    <row r="419">
      <c r="A419" s="11"/>
      <c r="B419" s="11"/>
      <c r="C419" s="11"/>
      <c r="D419" s="11"/>
      <c r="E419" s="11"/>
      <c r="F419" s="12"/>
      <c r="G419" s="12"/>
      <c r="H419" s="12"/>
      <c r="I419" s="12"/>
      <c r="J419" s="11"/>
      <c r="K419" s="11"/>
      <c r="L419" s="11"/>
      <c r="M419" s="11"/>
      <c r="N419" s="11"/>
      <c r="O419" s="11"/>
      <c r="P419" s="11"/>
      <c r="Q419" s="11"/>
      <c r="R419" s="11"/>
      <c r="S419" s="11"/>
      <c r="T419" s="11"/>
      <c r="U419" s="11"/>
      <c r="V419" s="11"/>
      <c r="W419" s="11"/>
      <c r="X419" s="11"/>
      <c r="Y419" s="11"/>
      <c r="Z419" s="11"/>
    </row>
    <row r="420">
      <c r="A420" s="11"/>
      <c r="B420" s="11"/>
      <c r="C420" s="11"/>
      <c r="D420" s="11"/>
      <c r="E420" s="11"/>
      <c r="F420" s="12"/>
      <c r="G420" s="12"/>
      <c r="H420" s="12"/>
      <c r="I420" s="12"/>
      <c r="J420" s="11"/>
      <c r="K420" s="11"/>
      <c r="L420" s="11"/>
      <c r="M420" s="11"/>
      <c r="N420" s="11"/>
      <c r="O420" s="11"/>
      <c r="P420" s="11"/>
      <c r="Q420" s="11"/>
      <c r="R420" s="11"/>
      <c r="S420" s="11"/>
      <c r="T420" s="11"/>
      <c r="U420" s="11"/>
      <c r="V420" s="11"/>
      <c r="W420" s="11"/>
      <c r="X420" s="11"/>
      <c r="Y420" s="11"/>
      <c r="Z420" s="11"/>
    </row>
    <row r="421">
      <c r="A421" s="11"/>
      <c r="B421" s="11"/>
      <c r="C421" s="11"/>
      <c r="D421" s="11"/>
      <c r="E421" s="11"/>
      <c r="F421" s="12"/>
      <c r="G421" s="12"/>
      <c r="H421" s="12"/>
      <c r="I421" s="12"/>
      <c r="J421" s="11"/>
      <c r="K421" s="11"/>
      <c r="L421" s="11"/>
      <c r="M421" s="11"/>
      <c r="N421" s="11"/>
      <c r="O421" s="11"/>
      <c r="P421" s="11"/>
      <c r="Q421" s="11"/>
      <c r="R421" s="11"/>
      <c r="S421" s="11"/>
      <c r="T421" s="11"/>
      <c r="U421" s="11"/>
      <c r="V421" s="11"/>
      <c r="W421" s="11"/>
      <c r="X421" s="11"/>
      <c r="Y421" s="11"/>
      <c r="Z421" s="11"/>
    </row>
    <row r="422">
      <c r="A422" s="11"/>
      <c r="B422" s="11"/>
      <c r="C422" s="11"/>
      <c r="D422" s="11"/>
      <c r="E422" s="11"/>
      <c r="F422" s="12"/>
      <c r="G422" s="12"/>
      <c r="H422" s="12"/>
      <c r="I422" s="12"/>
      <c r="J422" s="11"/>
      <c r="K422" s="11"/>
      <c r="L422" s="11"/>
      <c r="M422" s="11"/>
      <c r="N422" s="11"/>
      <c r="O422" s="11"/>
      <c r="P422" s="11"/>
      <c r="Q422" s="11"/>
      <c r="R422" s="11"/>
      <c r="S422" s="11"/>
      <c r="T422" s="11"/>
      <c r="U422" s="11"/>
      <c r="V422" s="11"/>
      <c r="W422" s="11"/>
      <c r="X422" s="11"/>
      <c r="Y422" s="11"/>
      <c r="Z422" s="11"/>
    </row>
    <row r="423">
      <c r="A423" s="11"/>
      <c r="B423" s="11"/>
      <c r="C423" s="11"/>
      <c r="D423" s="11"/>
      <c r="E423" s="11"/>
      <c r="F423" s="12"/>
      <c r="G423" s="12"/>
      <c r="H423" s="12"/>
      <c r="I423" s="12"/>
      <c r="J423" s="11"/>
      <c r="K423" s="11"/>
      <c r="L423" s="11"/>
      <c r="M423" s="11"/>
      <c r="N423" s="11"/>
      <c r="O423" s="11"/>
      <c r="P423" s="11"/>
      <c r="Q423" s="11"/>
      <c r="R423" s="11"/>
      <c r="S423" s="11"/>
      <c r="T423" s="11"/>
      <c r="U423" s="11"/>
      <c r="V423" s="11"/>
      <c r="W423" s="11"/>
      <c r="X423" s="11"/>
      <c r="Y423" s="11"/>
      <c r="Z423" s="11"/>
    </row>
    <row r="424">
      <c r="A424" s="11"/>
      <c r="B424" s="11"/>
      <c r="C424" s="11"/>
      <c r="D424" s="11"/>
      <c r="E424" s="11"/>
      <c r="F424" s="12"/>
      <c r="G424" s="12"/>
      <c r="H424" s="12"/>
      <c r="I424" s="12"/>
      <c r="J424" s="11"/>
      <c r="K424" s="11"/>
      <c r="L424" s="11"/>
      <c r="M424" s="11"/>
      <c r="N424" s="11"/>
      <c r="O424" s="11"/>
      <c r="P424" s="11"/>
      <c r="Q424" s="11"/>
      <c r="R424" s="11"/>
      <c r="S424" s="11"/>
      <c r="T424" s="11"/>
      <c r="U424" s="11"/>
      <c r="V424" s="11"/>
      <c r="W424" s="11"/>
      <c r="X424" s="11"/>
      <c r="Y424" s="11"/>
      <c r="Z424" s="11"/>
    </row>
    <row r="425">
      <c r="A425" s="11"/>
      <c r="B425" s="11"/>
      <c r="C425" s="11"/>
      <c r="D425" s="11"/>
      <c r="E425" s="11"/>
      <c r="F425" s="12"/>
      <c r="G425" s="12"/>
      <c r="H425" s="12"/>
      <c r="I425" s="12"/>
      <c r="J425" s="11"/>
      <c r="K425" s="11"/>
      <c r="L425" s="11"/>
      <c r="M425" s="11"/>
      <c r="N425" s="11"/>
      <c r="O425" s="11"/>
      <c r="P425" s="11"/>
      <c r="Q425" s="11"/>
      <c r="R425" s="11"/>
      <c r="S425" s="11"/>
      <c r="T425" s="11"/>
      <c r="U425" s="11"/>
      <c r="V425" s="11"/>
      <c r="W425" s="11"/>
      <c r="X425" s="11"/>
      <c r="Y425" s="11"/>
      <c r="Z425" s="11"/>
    </row>
    <row r="426">
      <c r="A426" s="11"/>
      <c r="B426" s="11"/>
      <c r="C426" s="11"/>
      <c r="D426" s="11"/>
      <c r="E426" s="11"/>
      <c r="F426" s="12"/>
      <c r="G426" s="12"/>
      <c r="H426" s="12"/>
      <c r="I426" s="12"/>
      <c r="J426" s="11"/>
      <c r="K426" s="11"/>
      <c r="L426" s="11"/>
      <c r="M426" s="11"/>
      <c r="N426" s="11"/>
      <c r="O426" s="11"/>
      <c r="P426" s="11"/>
      <c r="Q426" s="11"/>
      <c r="R426" s="11"/>
      <c r="S426" s="11"/>
      <c r="T426" s="11"/>
      <c r="U426" s="11"/>
      <c r="V426" s="11"/>
      <c r="W426" s="11"/>
      <c r="X426" s="11"/>
      <c r="Y426" s="11"/>
      <c r="Z426" s="11"/>
    </row>
    <row r="427">
      <c r="A427" s="11"/>
      <c r="B427" s="11"/>
      <c r="C427" s="11"/>
      <c r="D427" s="11"/>
      <c r="E427" s="11"/>
      <c r="F427" s="12"/>
      <c r="G427" s="12"/>
      <c r="H427" s="12"/>
      <c r="I427" s="12"/>
      <c r="J427" s="11"/>
      <c r="K427" s="11"/>
      <c r="L427" s="11"/>
      <c r="M427" s="11"/>
      <c r="N427" s="11"/>
      <c r="O427" s="11"/>
      <c r="P427" s="11"/>
      <c r="Q427" s="11"/>
      <c r="R427" s="11"/>
      <c r="S427" s="11"/>
      <c r="T427" s="11"/>
      <c r="U427" s="11"/>
      <c r="V427" s="11"/>
      <c r="W427" s="11"/>
      <c r="X427" s="11"/>
      <c r="Y427" s="11"/>
      <c r="Z427" s="11"/>
    </row>
    <row r="428">
      <c r="A428" s="11"/>
      <c r="B428" s="11"/>
      <c r="C428" s="11"/>
      <c r="D428" s="11"/>
      <c r="E428" s="11"/>
      <c r="F428" s="12"/>
      <c r="G428" s="12"/>
      <c r="H428" s="12"/>
      <c r="I428" s="12"/>
      <c r="J428" s="11"/>
      <c r="K428" s="11"/>
      <c r="L428" s="11"/>
      <c r="M428" s="11"/>
      <c r="N428" s="11"/>
      <c r="O428" s="11"/>
      <c r="P428" s="11"/>
      <c r="Q428" s="11"/>
      <c r="R428" s="11"/>
      <c r="S428" s="11"/>
      <c r="T428" s="11"/>
      <c r="U428" s="11"/>
      <c r="V428" s="11"/>
      <c r="W428" s="11"/>
      <c r="X428" s="11"/>
      <c r="Y428" s="11"/>
      <c r="Z428" s="11"/>
    </row>
    <row r="429">
      <c r="A429" s="11"/>
      <c r="B429" s="11"/>
      <c r="C429" s="11"/>
      <c r="D429" s="11"/>
      <c r="E429" s="11"/>
      <c r="F429" s="12"/>
      <c r="G429" s="12"/>
      <c r="H429" s="12"/>
      <c r="I429" s="12"/>
      <c r="J429" s="11"/>
      <c r="K429" s="11"/>
      <c r="L429" s="11"/>
      <c r="M429" s="11"/>
      <c r="N429" s="11"/>
      <c r="O429" s="11"/>
      <c r="P429" s="11"/>
      <c r="Q429" s="11"/>
      <c r="R429" s="11"/>
      <c r="S429" s="11"/>
      <c r="T429" s="11"/>
      <c r="U429" s="11"/>
      <c r="V429" s="11"/>
      <c r="W429" s="11"/>
      <c r="X429" s="11"/>
      <c r="Y429" s="11"/>
      <c r="Z429" s="11"/>
    </row>
    <row r="430">
      <c r="A430" s="11"/>
      <c r="B430" s="11"/>
      <c r="C430" s="11"/>
      <c r="D430" s="11"/>
      <c r="E430" s="11"/>
      <c r="F430" s="12"/>
      <c r="G430" s="12"/>
      <c r="H430" s="12"/>
      <c r="I430" s="12"/>
      <c r="J430" s="11"/>
      <c r="K430" s="11"/>
      <c r="L430" s="11"/>
      <c r="M430" s="11"/>
      <c r="N430" s="11"/>
      <c r="O430" s="11"/>
      <c r="P430" s="11"/>
      <c r="Q430" s="11"/>
      <c r="R430" s="11"/>
      <c r="S430" s="11"/>
      <c r="T430" s="11"/>
      <c r="U430" s="11"/>
      <c r="V430" s="11"/>
      <c r="W430" s="11"/>
      <c r="X430" s="11"/>
      <c r="Y430" s="11"/>
      <c r="Z430" s="11"/>
    </row>
    <row r="431">
      <c r="A431" s="11"/>
      <c r="B431" s="11"/>
      <c r="C431" s="11"/>
      <c r="D431" s="11"/>
      <c r="E431" s="11"/>
      <c r="F431" s="12"/>
      <c r="G431" s="12"/>
      <c r="H431" s="12"/>
      <c r="I431" s="12"/>
      <c r="J431" s="11"/>
      <c r="K431" s="11"/>
      <c r="L431" s="11"/>
      <c r="M431" s="11"/>
      <c r="N431" s="11"/>
      <c r="O431" s="11"/>
      <c r="P431" s="11"/>
      <c r="Q431" s="11"/>
      <c r="R431" s="11"/>
      <c r="S431" s="11"/>
      <c r="T431" s="11"/>
      <c r="U431" s="11"/>
      <c r="V431" s="11"/>
      <c r="W431" s="11"/>
      <c r="X431" s="11"/>
      <c r="Y431" s="11"/>
      <c r="Z431" s="11"/>
    </row>
    <row r="432">
      <c r="A432" s="11"/>
      <c r="B432" s="11"/>
      <c r="C432" s="11"/>
      <c r="D432" s="11"/>
      <c r="E432" s="11"/>
      <c r="F432" s="12"/>
      <c r="G432" s="12"/>
      <c r="H432" s="12"/>
      <c r="I432" s="12"/>
      <c r="J432" s="11"/>
      <c r="K432" s="11"/>
      <c r="L432" s="11"/>
      <c r="M432" s="11"/>
      <c r="N432" s="11"/>
      <c r="O432" s="11"/>
      <c r="P432" s="11"/>
      <c r="Q432" s="11"/>
      <c r="R432" s="11"/>
      <c r="S432" s="11"/>
      <c r="T432" s="11"/>
      <c r="U432" s="11"/>
      <c r="V432" s="11"/>
      <c r="W432" s="11"/>
      <c r="X432" s="11"/>
      <c r="Y432" s="11"/>
      <c r="Z432" s="11"/>
    </row>
    <row r="433">
      <c r="A433" s="11"/>
      <c r="B433" s="11"/>
      <c r="C433" s="11"/>
      <c r="D433" s="11"/>
      <c r="E433" s="11"/>
      <c r="F433" s="12"/>
      <c r="G433" s="12"/>
      <c r="H433" s="12"/>
      <c r="I433" s="12"/>
      <c r="J433" s="11"/>
      <c r="K433" s="11"/>
      <c r="L433" s="11"/>
      <c r="M433" s="11"/>
      <c r="N433" s="11"/>
      <c r="O433" s="11"/>
      <c r="P433" s="11"/>
      <c r="Q433" s="11"/>
      <c r="R433" s="11"/>
      <c r="S433" s="11"/>
      <c r="T433" s="11"/>
      <c r="U433" s="11"/>
      <c r="V433" s="11"/>
      <c r="W433" s="11"/>
      <c r="X433" s="11"/>
      <c r="Y433" s="11"/>
      <c r="Z433" s="11"/>
    </row>
    <row r="434">
      <c r="A434" s="11"/>
      <c r="B434" s="11"/>
      <c r="C434" s="11"/>
      <c r="D434" s="11"/>
      <c r="E434" s="11"/>
      <c r="F434" s="12"/>
      <c r="G434" s="12"/>
      <c r="H434" s="12"/>
      <c r="I434" s="12"/>
      <c r="J434" s="11"/>
      <c r="K434" s="11"/>
      <c r="L434" s="11"/>
      <c r="M434" s="11"/>
      <c r="N434" s="11"/>
      <c r="O434" s="11"/>
      <c r="P434" s="11"/>
      <c r="Q434" s="11"/>
      <c r="R434" s="11"/>
      <c r="S434" s="11"/>
      <c r="T434" s="11"/>
      <c r="U434" s="11"/>
      <c r="V434" s="11"/>
      <c r="W434" s="11"/>
      <c r="X434" s="11"/>
      <c r="Y434" s="11"/>
      <c r="Z434" s="11"/>
    </row>
    <row r="435">
      <c r="A435" s="11"/>
      <c r="B435" s="11"/>
      <c r="C435" s="11"/>
      <c r="D435" s="11"/>
      <c r="E435" s="11"/>
      <c r="F435" s="12"/>
      <c r="G435" s="12"/>
      <c r="H435" s="12"/>
      <c r="I435" s="12"/>
      <c r="J435" s="11"/>
      <c r="K435" s="11"/>
      <c r="L435" s="11"/>
      <c r="M435" s="11"/>
      <c r="N435" s="11"/>
      <c r="O435" s="11"/>
      <c r="P435" s="11"/>
      <c r="Q435" s="11"/>
      <c r="R435" s="11"/>
      <c r="S435" s="11"/>
      <c r="T435" s="11"/>
      <c r="U435" s="11"/>
      <c r="V435" s="11"/>
      <c r="W435" s="11"/>
      <c r="X435" s="11"/>
      <c r="Y435" s="11"/>
      <c r="Z435" s="11"/>
    </row>
    <row r="436">
      <c r="A436" s="11"/>
      <c r="B436" s="11"/>
      <c r="C436" s="11"/>
      <c r="D436" s="11"/>
      <c r="E436" s="11"/>
      <c r="F436" s="12"/>
      <c r="G436" s="12"/>
      <c r="H436" s="12"/>
      <c r="I436" s="12"/>
      <c r="J436" s="11"/>
      <c r="K436" s="11"/>
      <c r="L436" s="11"/>
      <c r="M436" s="11"/>
      <c r="N436" s="11"/>
      <c r="O436" s="11"/>
      <c r="P436" s="11"/>
      <c r="Q436" s="11"/>
      <c r="R436" s="11"/>
      <c r="S436" s="11"/>
      <c r="T436" s="11"/>
      <c r="U436" s="11"/>
      <c r="V436" s="11"/>
      <c r="W436" s="11"/>
      <c r="X436" s="11"/>
      <c r="Y436" s="11"/>
      <c r="Z436" s="11"/>
    </row>
    <row r="437">
      <c r="A437" s="11"/>
      <c r="B437" s="11"/>
      <c r="C437" s="11"/>
      <c r="D437" s="11"/>
      <c r="E437" s="11"/>
      <c r="F437" s="12"/>
      <c r="G437" s="12"/>
      <c r="H437" s="12"/>
      <c r="I437" s="12"/>
      <c r="J437" s="11"/>
      <c r="K437" s="11"/>
      <c r="L437" s="11"/>
      <c r="M437" s="11"/>
      <c r="N437" s="11"/>
      <c r="O437" s="11"/>
      <c r="P437" s="11"/>
      <c r="Q437" s="11"/>
      <c r="R437" s="11"/>
      <c r="S437" s="11"/>
      <c r="T437" s="11"/>
      <c r="U437" s="11"/>
      <c r="V437" s="11"/>
      <c r="W437" s="11"/>
      <c r="X437" s="11"/>
      <c r="Y437" s="11"/>
      <c r="Z437" s="11"/>
    </row>
    <row r="438">
      <c r="A438" s="11"/>
      <c r="B438" s="11"/>
      <c r="C438" s="11"/>
      <c r="D438" s="11"/>
      <c r="E438" s="11"/>
      <c r="F438" s="12"/>
      <c r="G438" s="12"/>
      <c r="H438" s="12"/>
      <c r="I438" s="12"/>
      <c r="J438" s="11"/>
      <c r="K438" s="11"/>
      <c r="L438" s="11"/>
      <c r="M438" s="11"/>
      <c r="N438" s="11"/>
      <c r="O438" s="11"/>
      <c r="P438" s="11"/>
      <c r="Q438" s="11"/>
      <c r="R438" s="11"/>
      <c r="S438" s="11"/>
      <c r="T438" s="11"/>
      <c r="U438" s="11"/>
      <c r="V438" s="11"/>
      <c r="W438" s="11"/>
      <c r="X438" s="11"/>
      <c r="Y438" s="11"/>
      <c r="Z438" s="11"/>
    </row>
    <row r="439">
      <c r="A439" s="11"/>
      <c r="B439" s="11"/>
      <c r="C439" s="11"/>
      <c r="D439" s="11"/>
      <c r="E439" s="11"/>
      <c r="F439" s="12"/>
      <c r="G439" s="12"/>
      <c r="H439" s="12"/>
      <c r="I439" s="12"/>
      <c r="J439" s="11"/>
      <c r="K439" s="11"/>
      <c r="L439" s="11"/>
      <c r="M439" s="11"/>
      <c r="N439" s="11"/>
      <c r="O439" s="11"/>
      <c r="P439" s="11"/>
      <c r="Q439" s="11"/>
      <c r="R439" s="11"/>
      <c r="S439" s="11"/>
      <c r="T439" s="11"/>
      <c r="U439" s="11"/>
      <c r="V439" s="11"/>
      <c r="W439" s="11"/>
      <c r="X439" s="11"/>
      <c r="Y439" s="11"/>
      <c r="Z439" s="11"/>
    </row>
    <row r="440">
      <c r="A440" s="11"/>
      <c r="B440" s="11"/>
      <c r="C440" s="11"/>
      <c r="D440" s="11"/>
      <c r="E440" s="11"/>
      <c r="F440" s="12"/>
      <c r="G440" s="12"/>
      <c r="H440" s="12"/>
      <c r="I440" s="12"/>
      <c r="J440" s="11"/>
      <c r="K440" s="11"/>
      <c r="L440" s="11"/>
      <c r="M440" s="11"/>
      <c r="N440" s="11"/>
      <c r="O440" s="11"/>
      <c r="P440" s="11"/>
      <c r="Q440" s="11"/>
      <c r="R440" s="11"/>
      <c r="S440" s="11"/>
      <c r="T440" s="11"/>
      <c r="U440" s="11"/>
      <c r="V440" s="11"/>
      <c r="W440" s="11"/>
      <c r="X440" s="11"/>
      <c r="Y440" s="11"/>
      <c r="Z440" s="11"/>
    </row>
    <row r="441">
      <c r="A441" s="11"/>
      <c r="B441" s="11"/>
      <c r="C441" s="11"/>
      <c r="D441" s="11"/>
      <c r="E441" s="11"/>
      <c r="F441" s="12"/>
      <c r="G441" s="12"/>
      <c r="H441" s="12"/>
      <c r="I441" s="12"/>
      <c r="J441" s="11"/>
      <c r="K441" s="11"/>
      <c r="L441" s="11"/>
      <c r="M441" s="11"/>
      <c r="N441" s="11"/>
      <c r="O441" s="11"/>
      <c r="P441" s="11"/>
      <c r="Q441" s="11"/>
      <c r="R441" s="11"/>
      <c r="S441" s="11"/>
      <c r="T441" s="11"/>
      <c r="U441" s="11"/>
      <c r="V441" s="11"/>
      <c r="W441" s="11"/>
      <c r="X441" s="11"/>
      <c r="Y441" s="11"/>
      <c r="Z441" s="11"/>
    </row>
    <row r="442">
      <c r="A442" s="11"/>
      <c r="B442" s="11"/>
      <c r="C442" s="11"/>
      <c r="D442" s="11"/>
      <c r="E442" s="11"/>
      <c r="F442" s="12"/>
      <c r="G442" s="12"/>
      <c r="H442" s="12"/>
      <c r="I442" s="12"/>
      <c r="J442" s="11"/>
      <c r="K442" s="11"/>
      <c r="L442" s="11"/>
      <c r="M442" s="11"/>
      <c r="N442" s="11"/>
      <c r="O442" s="11"/>
      <c r="P442" s="11"/>
      <c r="Q442" s="11"/>
      <c r="R442" s="11"/>
      <c r="S442" s="11"/>
      <c r="T442" s="11"/>
      <c r="U442" s="11"/>
      <c r="V442" s="11"/>
      <c r="W442" s="11"/>
      <c r="X442" s="11"/>
      <c r="Y442" s="11"/>
      <c r="Z442" s="11"/>
    </row>
    <row r="443">
      <c r="A443" s="11"/>
      <c r="B443" s="11"/>
      <c r="C443" s="11"/>
      <c r="D443" s="11"/>
      <c r="E443" s="11"/>
      <c r="F443" s="12"/>
      <c r="G443" s="12"/>
      <c r="H443" s="12"/>
      <c r="I443" s="12"/>
      <c r="J443" s="11"/>
      <c r="K443" s="11"/>
      <c r="L443" s="11"/>
      <c r="M443" s="11"/>
      <c r="N443" s="11"/>
      <c r="O443" s="11"/>
      <c r="P443" s="11"/>
      <c r="Q443" s="11"/>
      <c r="R443" s="11"/>
      <c r="S443" s="11"/>
      <c r="T443" s="11"/>
      <c r="U443" s="11"/>
      <c r="V443" s="11"/>
      <c r="W443" s="11"/>
      <c r="X443" s="11"/>
      <c r="Y443" s="11"/>
      <c r="Z443" s="11"/>
    </row>
    <row r="444">
      <c r="A444" s="11"/>
      <c r="B444" s="11"/>
      <c r="C444" s="11"/>
      <c r="D444" s="11"/>
      <c r="E444" s="11"/>
      <c r="F444" s="12"/>
      <c r="G444" s="12"/>
      <c r="H444" s="12"/>
      <c r="I444" s="12"/>
      <c r="J444" s="11"/>
      <c r="K444" s="11"/>
      <c r="L444" s="11"/>
      <c r="M444" s="11"/>
      <c r="N444" s="11"/>
      <c r="O444" s="11"/>
      <c r="P444" s="11"/>
      <c r="Q444" s="11"/>
      <c r="R444" s="11"/>
      <c r="S444" s="11"/>
      <c r="T444" s="11"/>
      <c r="U444" s="11"/>
      <c r="V444" s="11"/>
      <c r="W444" s="11"/>
      <c r="X444" s="11"/>
      <c r="Y444" s="11"/>
      <c r="Z444" s="11"/>
    </row>
    <row r="445">
      <c r="A445" s="11"/>
      <c r="B445" s="11"/>
      <c r="C445" s="11"/>
      <c r="D445" s="11"/>
      <c r="E445" s="11"/>
      <c r="F445" s="12"/>
      <c r="G445" s="12"/>
      <c r="H445" s="12"/>
      <c r="I445" s="12"/>
      <c r="J445" s="11"/>
      <c r="K445" s="11"/>
      <c r="L445" s="11"/>
      <c r="M445" s="11"/>
      <c r="N445" s="11"/>
      <c r="O445" s="11"/>
      <c r="P445" s="11"/>
      <c r="Q445" s="11"/>
      <c r="R445" s="11"/>
      <c r="S445" s="11"/>
      <c r="T445" s="11"/>
      <c r="U445" s="11"/>
      <c r="V445" s="11"/>
      <c r="W445" s="11"/>
      <c r="X445" s="11"/>
      <c r="Y445" s="11"/>
      <c r="Z445" s="11"/>
    </row>
    <row r="446">
      <c r="A446" s="11"/>
      <c r="B446" s="11"/>
      <c r="C446" s="11"/>
      <c r="D446" s="11"/>
      <c r="E446" s="11"/>
      <c r="F446" s="12"/>
      <c r="G446" s="12"/>
      <c r="H446" s="12"/>
      <c r="I446" s="12"/>
      <c r="J446" s="11"/>
      <c r="K446" s="11"/>
      <c r="L446" s="11"/>
      <c r="M446" s="11"/>
      <c r="N446" s="11"/>
      <c r="O446" s="11"/>
      <c r="P446" s="11"/>
      <c r="Q446" s="11"/>
      <c r="R446" s="11"/>
      <c r="S446" s="11"/>
      <c r="T446" s="11"/>
      <c r="U446" s="11"/>
      <c r="V446" s="11"/>
      <c r="W446" s="11"/>
      <c r="X446" s="11"/>
      <c r="Y446" s="11"/>
      <c r="Z446" s="11"/>
    </row>
    <row r="447">
      <c r="A447" s="11"/>
      <c r="B447" s="11"/>
      <c r="C447" s="11"/>
      <c r="D447" s="11"/>
      <c r="E447" s="11"/>
      <c r="F447" s="12"/>
      <c r="G447" s="12"/>
      <c r="H447" s="12"/>
      <c r="I447" s="12"/>
      <c r="J447" s="11"/>
      <c r="K447" s="11"/>
      <c r="L447" s="11"/>
      <c r="M447" s="11"/>
      <c r="N447" s="11"/>
      <c r="O447" s="11"/>
      <c r="P447" s="11"/>
      <c r="Q447" s="11"/>
      <c r="R447" s="11"/>
      <c r="S447" s="11"/>
      <c r="T447" s="11"/>
      <c r="U447" s="11"/>
      <c r="V447" s="11"/>
      <c r="W447" s="11"/>
      <c r="X447" s="11"/>
      <c r="Y447" s="11"/>
      <c r="Z447" s="11"/>
    </row>
    <row r="448">
      <c r="A448" s="11"/>
      <c r="B448" s="11"/>
      <c r="C448" s="11"/>
      <c r="D448" s="11"/>
      <c r="E448" s="11"/>
      <c r="F448" s="12"/>
      <c r="G448" s="12"/>
      <c r="H448" s="12"/>
      <c r="I448" s="12"/>
      <c r="J448" s="11"/>
      <c r="K448" s="11"/>
      <c r="L448" s="11"/>
      <c r="M448" s="11"/>
      <c r="N448" s="11"/>
      <c r="O448" s="11"/>
      <c r="P448" s="11"/>
      <c r="Q448" s="11"/>
      <c r="R448" s="11"/>
      <c r="S448" s="11"/>
      <c r="T448" s="11"/>
      <c r="U448" s="11"/>
      <c r="V448" s="11"/>
      <c r="W448" s="11"/>
      <c r="X448" s="11"/>
      <c r="Y448" s="11"/>
      <c r="Z448" s="11"/>
    </row>
    <row r="449">
      <c r="A449" s="11"/>
      <c r="B449" s="11"/>
      <c r="C449" s="11"/>
      <c r="D449" s="11"/>
      <c r="E449" s="11"/>
      <c r="F449" s="12"/>
      <c r="G449" s="12"/>
      <c r="H449" s="12"/>
      <c r="I449" s="12"/>
      <c r="J449" s="11"/>
      <c r="K449" s="11"/>
      <c r="L449" s="11"/>
      <c r="M449" s="11"/>
      <c r="N449" s="11"/>
      <c r="O449" s="11"/>
      <c r="P449" s="11"/>
      <c r="Q449" s="11"/>
      <c r="R449" s="11"/>
      <c r="S449" s="11"/>
      <c r="T449" s="11"/>
      <c r="U449" s="11"/>
      <c r="V449" s="11"/>
      <c r="W449" s="11"/>
      <c r="X449" s="11"/>
      <c r="Y449" s="11"/>
      <c r="Z449" s="11"/>
    </row>
    <row r="450">
      <c r="A450" s="11"/>
      <c r="B450" s="11"/>
      <c r="C450" s="11"/>
      <c r="D450" s="11"/>
      <c r="E450" s="11"/>
      <c r="F450" s="12"/>
      <c r="G450" s="12"/>
      <c r="H450" s="12"/>
      <c r="I450" s="12"/>
      <c r="J450" s="11"/>
      <c r="K450" s="11"/>
      <c r="L450" s="11"/>
      <c r="M450" s="11"/>
      <c r="N450" s="11"/>
      <c r="O450" s="11"/>
      <c r="P450" s="11"/>
      <c r="Q450" s="11"/>
      <c r="R450" s="11"/>
      <c r="S450" s="11"/>
      <c r="T450" s="11"/>
      <c r="U450" s="11"/>
      <c r="V450" s="11"/>
      <c r="W450" s="11"/>
      <c r="X450" s="11"/>
      <c r="Y450" s="11"/>
      <c r="Z450" s="11"/>
    </row>
    <row r="451">
      <c r="A451" s="11"/>
      <c r="B451" s="11"/>
      <c r="C451" s="11"/>
      <c r="D451" s="11"/>
      <c r="E451" s="11"/>
      <c r="F451" s="12"/>
      <c r="G451" s="12"/>
      <c r="H451" s="12"/>
      <c r="I451" s="12"/>
      <c r="J451" s="11"/>
      <c r="K451" s="11"/>
      <c r="L451" s="11"/>
      <c r="M451" s="11"/>
      <c r="N451" s="11"/>
      <c r="O451" s="11"/>
      <c r="P451" s="11"/>
      <c r="Q451" s="11"/>
      <c r="R451" s="11"/>
      <c r="S451" s="11"/>
      <c r="T451" s="11"/>
      <c r="U451" s="11"/>
      <c r="V451" s="11"/>
      <c r="W451" s="11"/>
      <c r="X451" s="11"/>
      <c r="Y451" s="11"/>
      <c r="Z451" s="11"/>
    </row>
    <row r="452">
      <c r="A452" s="11"/>
      <c r="B452" s="11"/>
      <c r="C452" s="11"/>
      <c r="D452" s="11"/>
      <c r="E452" s="11"/>
      <c r="F452" s="12"/>
      <c r="G452" s="12"/>
      <c r="H452" s="12"/>
      <c r="I452" s="12"/>
      <c r="J452" s="11"/>
      <c r="K452" s="11"/>
      <c r="L452" s="11"/>
      <c r="M452" s="11"/>
      <c r="N452" s="11"/>
      <c r="O452" s="11"/>
      <c r="P452" s="11"/>
      <c r="Q452" s="11"/>
      <c r="R452" s="11"/>
      <c r="S452" s="11"/>
      <c r="T452" s="11"/>
      <c r="U452" s="11"/>
      <c r="V452" s="11"/>
      <c r="W452" s="11"/>
      <c r="X452" s="11"/>
      <c r="Y452" s="11"/>
      <c r="Z452" s="11"/>
    </row>
    <row r="453">
      <c r="A453" s="11"/>
      <c r="B453" s="11"/>
      <c r="C453" s="11"/>
      <c r="D453" s="11"/>
      <c r="E453" s="11"/>
      <c r="F453" s="12"/>
      <c r="G453" s="12"/>
      <c r="H453" s="12"/>
      <c r="I453" s="12"/>
      <c r="J453" s="11"/>
      <c r="K453" s="11"/>
      <c r="L453" s="11"/>
      <c r="M453" s="11"/>
      <c r="N453" s="11"/>
      <c r="O453" s="11"/>
      <c r="P453" s="11"/>
      <c r="Q453" s="11"/>
      <c r="R453" s="11"/>
      <c r="S453" s="11"/>
      <c r="T453" s="11"/>
      <c r="U453" s="11"/>
      <c r="V453" s="11"/>
      <c r="W453" s="11"/>
      <c r="X453" s="11"/>
      <c r="Y453" s="11"/>
      <c r="Z453" s="11"/>
    </row>
    <row r="454">
      <c r="A454" s="11"/>
      <c r="B454" s="11"/>
      <c r="C454" s="11"/>
      <c r="D454" s="11"/>
      <c r="E454" s="11"/>
      <c r="F454" s="12"/>
      <c r="G454" s="12"/>
      <c r="H454" s="12"/>
      <c r="I454" s="12"/>
      <c r="J454" s="11"/>
      <c r="K454" s="11"/>
      <c r="L454" s="11"/>
      <c r="M454" s="11"/>
      <c r="N454" s="11"/>
      <c r="O454" s="11"/>
      <c r="P454" s="11"/>
      <c r="Q454" s="11"/>
      <c r="R454" s="11"/>
      <c r="S454" s="11"/>
      <c r="T454" s="11"/>
      <c r="U454" s="11"/>
      <c r="V454" s="11"/>
      <c r="W454" s="11"/>
      <c r="X454" s="11"/>
      <c r="Y454" s="11"/>
      <c r="Z454" s="11"/>
    </row>
    <row r="455">
      <c r="A455" s="11"/>
      <c r="B455" s="11"/>
      <c r="C455" s="11"/>
      <c r="D455" s="11"/>
      <c r="E455" s="11"/>
      <c r="F455" s="12"/>
      <c r="G455" s="12"/>
      <c r="H455" s="12"/>
      <c r="I455" s="12"/>
      <c r="J455" s="11"/>
      <c r="K455" s="11"/>
      <c r="L455" s="11"/>
      <c r="M455" s="11"/>
      <c r="N455" s="11"/>
      <c r="O455" s="11"/>
      <c r="P455" s="11"/>
      <c r="Q455" s="11"/>
      <c r="R455" s="11"/>
      <c r="S455" s="11"/>
      <c r="T455" s="11"/>
      <c r="U455" s="11"/>
      <c r="V455" s="11"/>
      <c r="W455" s="11"/>
      <c r="X455" s="11"/>
      <c r="Y455" s="11"/>
      <c r="Z455" s="11"/>
    </row>
    <row r="456">
      <c r="A456" s="11"/>
      <c r="B456" s="11"/>
      <c r="C456" s="11"/>
      <c r="D456" s="11"/>
      <c r="E456" s="11"/>
      <c r="F456" s="12"/>
      <c r="G456" s="12"/>
      <c r="H456" s="12"/>
      <c r="I456" s="12"/>
      <c r="J456" s="11"/>
      <c r="K456" s="11"/>
      <c r="L456" s="11"/>
      <c r="M456" s="11"/>
      <c r="N456" s="11"/>
      <c r="O456" s="11"/>
      <c r="P456" s="11"/>
      <c r="Q456" s="11"/>
      <c r="R456" s="11"/>
      <c r="S456" s="11"/>
      <c r="T456" s="11"/>
      <c r="U456" s="11"/>
      <c r="V456" s="11"/>
      <c r="W456" s="11"/>
      <c r="X456" s="11"/>
      <c r="Y456" s="11"/>
      <c r="Z456" s="11"/>
    </row>
    <row r="457">
      <c r="A457" s="11"/>
      <c r="B457" s="11"/>
      <c r="C457" s="11"/>
      <c r="D457" s="11"/>
      <c r="E457" s="11"/>
      <c r="F457" s="12"/>
      <c r="G457" s="12"/>
      <c r="H457" s="12"/>
      <c r="I457" s="12"/>
      <c r="J457" s="11"/>
      <c r="K457" s="11"/>
      <c r="L457" s="11"/>
      <c r="M457" s="11"/>
      <c r="N457" s="11"/>
      <c r="O457" s="11"/>
      <c r="P457" s="11"/>
      <c r="Q457" s="11"/>
      <c r="R457" s="11"/>
      <c r="S457" s="11"/>
      <c r="T457" s="11"/>
      <c r="U457" s="11"/>
      <c r="V457" s="11"/>
      <c r="W457" s="11"/>
      <c r="X457" s="11"/>
      <c r="Y457" s="11"/>
      <c r="Z457" s="11"/>
    </row>
    <row r="458">
      <c r="A458" s="11"/>
      <c r="B458" s="11"/>
      <c r="C458" s="11"/>
      <c r="D458" s="11"/>
      <c r="E458" s="11"/>
      <c r="F458" s="12"/>
      <c r="G458" s="12"/>
      <c r="H458" s="12"/>
      <c r="I458" s="12"/>
      <c r="J458" s="11"/>
      <c r="K458" s="11"/>
      <c r="L458" s="11"/>
      <c r="M458" s="11"/>
      <c r="N458" s="11"/>
      <c r="O458" s="11"/>
      <c r="P458" s="11"/>
      <c r="Q458" s="11"/>
      <c r="R458" s="11"/>
      <c r="S458" s="11"/>
      <c r="T458" s="11"/>
      <c r="U458" s="11"/>
      <c r="V458" s="11"/>
      <c r="W458" s="11"/>
      <c r="X458" s="11"/>
      <c r="Y458" s="11"/>
      <c r="Z458" s="11"/>
    </row>
    <row r="459">
      <c r="A459" s="11"/>
      <c r="B459" s="11"/>
      <c r="C459" s="11"/>
      <c r="D459" s="11"/>
      <c r="E459" s="11"/>
      <c r="F459" s="12"/>
      <c r="G459" s="12"/>
      <c r="H459" s="12"/>
      <c r="I459" s="12"/>
      <c r="J459" s="11"/>
      <c r="K459" s="11"/>
      <c r="L459" s="11"/>
      <c r="M459" s="11"/>
      <c r="N459" s="11"/>
      <c r="O459" s="11"/>
      <c r="P459" s="11"/>
      <c r="Q459" s="11"/>
      <c r="R459" s="11"/>
      <c r="S459" s="11"/>
      <c r="T459" s="11"/>
      <c r="U459" s="11"/>
      <c r="V459" s="11"/>
      <c r="W459" s="11"/>
      <c r="X459" s="11"/>
      <c r="Y459" s="11"/>
      <c r="Z459" s="11"/>
    </row>
    <row r="460">
      <c r="A460" s="11"/>
      <c r="B460" s="11"/>
      <c r="C460" s="11"/>
      <c r="D460" s="11"/>
      <c r="E460" s="11"/>
      <c r="F460" s="12"/>
      <c r="G460" s="12"/>
      <c r="H460" s="12"/>
      <c r="I460" s="12"/>
      <c r="J460" s="11"/>
      <c r="K460" s="11"/>
      <c r="L460" s="11"/>
      <c r="M460" s="11"/>
      <c r="N460" s="11"/>
      <c r="O460" s="11"/>
      <c r="P460" s="11"/>
      <c r="Q460" s="11"/>
      <c r="R460" s="11"/>
      <c r="S460" s="11"/>
      <c r="T460" s="11"/>
      <c r="U460" s="11"/>
      <c r="V460" s="11"/>
      <c r="W460" s="11"/>
      <c r="X460" s="11"/>
      <c r="Y460" s="11"/>
      <c r="Z460" s="11"/>
    </row>
    <row r="461">
      <c r="A461" s="11"/>
      <c r="B461" s="11"/>
      <c r="C461" s="11"/>
      <c r="D461" s="11"/>
      <c r="E461" s="11"/>
      <c r="F461" s="12"/>
      <c r="G461" s="12"/>
      <c r="H461" s="12"/>
      <c r="I461" s="12"/>
      <c r="J461" s="11"/>
      <c r="K461" s="11"/>
      <c r="L461" s="11"/>
      <c r="M461" s="11"/>
      <c r="N461" s="11"/>
      <c r="O461" s="11"/>
      <c r="P461" s="11"/>
      <c r="Q461" s="11"/>
      <c r="R461" s="11"/>
      <c r="S461" s="11"/>
      <c r="T461" s="11"/>
      <c r="U461" s="11"/>
      <c r="V461" s="11"/>
      <c r="W461" s="11"/>
      <c r="X461" s="11"/>
      <c r="Y461" s="11"/>
      <c r="Z461" s="11"/>
    </row>
    <row r="462">
      <c r="A462" s="11"/>
      <c r="B462" s="11"/>
      <c r="C462" s="11"/>
      <c r="D462" s="11"/>
      <c r="E462" s="11"/>
      <c r="F462" s="12"/>
      <c r="G462" s="12"/>
      <c r="H462" s="12"/>
      <c r="I462" s="12"/>
      <c r="J462" s="11"/>
      <c r="K462" s="11"/>
      <c r="L462" s="11"/>
      <c r="M462" s="11"/>
      <c r="N462" s="11"/>
      <c r="O462" s="11"/>
      <c r="P462" s="11"/>
      <c r="Q462" s="11"/>
      <c r="R462" s="11"/>
      <c r="S462" s="11"/>
      <c r="T462" s="11"/>
      <c r="U462" s="11"/>
      <c r="V462" s="11"/>
      <c r="W462" s="11"/>
      <c r="X462" s="11"/>
      <c r="Y462" s="11"/>
      <c r="Z462" s="11"/>
    </row>
    <row r="463">
      <c r="A463" s="11"/>
      <c r="B463" s="11"/>
      <c r="C463" s="11"/>
      <c r="D463" s="11"/>
      <c r="E463" s="11"/>
      <c r="F463" s="12"/>
      <c r="G463" s="12"/>
      <c r="H463" s="12"/>
      <c r="I463" s="12"/>
      <c r="J463" s="11"/>
      <c r="K463" s="11"/>
      <c r="L463" s="11"/>
      <c r="M463" s="11"/>
      <c r="N463" s="11"/>
      <c r="O463" s="11"/>
      <c r="P463" s="11"/>
      <c r="Q463" s="11"/>
      <c r="R463" s="11"/>
      <c r="S463" s="11"/>
      <c r="T463" s="11"/>
      <c r="U463" s="11"/>
      <c r="V463" s="11"/>
      <c r="W463" s="11"/>
      <c r="X463" s="11"/>
      <c r="Y463" s="11"/>
      <c r="Z463" s="11"/>
    </row>
    <row r="464">
      <c r="A464" s="11"/>
      <c r="B464" s="11"/>
      <c r="C464" s="11"/>
      <c r="D464" s="11"/>
      <c r="E464" s="11"/>
      <c r="F464" s="12"/>
      <c r="G464" s="12"/>
      <c r="H464" s="12"/>
      <c r="I464" s="12"/>
      <c r="J464" s="11"/>
      <c r="K464" s="11"/>
      <c r="L464" s="11"/>
      <c r="M464" s="11"/>
      <c r="N464" s="11"/>
      <c r="O464" s="11"/>
      <c r="P464" s="11"/>
      <c r="Q464" s="11"/>
      <c r="R464" s="11"/>
      <c r="S464" s="11"/>
      <c r="T464" s="11"/>
      <c r="U464" s="11"/>
      <c r="V464" s="11"/>
      <c r="W464" s="11"/>
      <c r="X464" s="11"/>
      <c r="Y464" s="11"/>
      <c r="Z464" s="11"/>
    </row>
    <row r="465">
      <c r="A465" s="11"/>
      <c r="B465" s="11"/>
      <c r="C465" s="11"/>
      <c r="D465" s="11"/>
      <c r="E465" s="11"/>
      <c r="F465" s="12"/>
      <c r="G465" s="12"/>
      <c r="H465" s="12"/>
      <c r="I465" s="12"/>
      <c r="J465" s="11"/>
      <c r="K465" s="11"/>
      <c r="L465" s="11"/>
      <c r="M465" s="11"/>
      <c r="N465" s="11"/>
      <c r="O465" s="11"/>
      <c r="P465" s="11"/>
      <c r="Q465" s="11"/>
      <c r="R465" s="11"/>
      <c r="S465" s="11"/>
      <c r="T465" s="11"/>
      <c r="U465" s="11"/>
      <c r="V465" s="11"/>
      <c r="W465" s="11"/>
      <c r="X465" s="11"/>
      <c r="Y465" s="11"/>
      <c r="Z465" s="11"/>
    </row>
    <row r="466">
      <c r="A466" s="11"/>
      <c r="B466" s="11"/>
      <c r="C466" s="11"/>
      <c r="D466" s="11"/>
      <c r="E466" s="11"/>
      <c r="F466" s="12"/>
      <c r="G466" s="12"/>
      <c r="H466" s="12"/>
      <c r="I466" s="12"/>
      <c r="J466" s="11"/>
      <c r="K466" s="11"/>
      <c r="L466" s="11"/>
      <c r="M466" s="11"/>
      <c r="N466" s="11"/>
      <c r="O466" s="11"/>
      <c r="P466" s="11"/>
      <c r="Q466" s="11"/>
      <c r="R466" s="11"/>
      <c r="S466" s="11"/>
      <c r="T466" s="11"/>
      <c r="U466" s="11"/>
      <c r="V466" s="11"/>
      <c r="W466" s="11"/>
      <c r="X466" s="11"/>
      <c r="Y466" s="11"/>
      <c r="Z466" s="11"/>
    </row>
    <row r="467">
      <c r="A467" s="11"/>
      <c r="B467" s="11"/>
      <c r="C467" s="11"/>
      <c r="D467" s="11"/>
      <c r="E467" s="11"/>
      <c r="F467" s="12"/>
      <c r="G467" s="12"/>
      <c r="H467" s="12"/>
      <c r="I467" s="12"/>
      <c r="J467" s="11"/>
      <c r="K467" s="11"/>
      <c r="L467" s="11"/>
      <c r="M467" s="11"/>
      <c r="N467" s="11"/>
      <c r="O467" s="11"/>
      <c r="P467" s="11"/>
      <c r="Q467" s="11"/>
      <c r="R467" s="11"/>
      <c r="S467" s="11"/>
      <c r="T467" s="11"/>
      <c r="U467" s="11"/>
      <c r="V467" s="11"/>
      <c r="W467" s="11"/>
      <c r="X467" s="11"/>
      <c r="Y467" s="11"/>
      <c r="Z467" s="11"/>
    </row>
    <row r="468">
      <c r="A468" s="11"/>
      <c r="B468" s="11"/>
      <c r="C468" s="11"/>
      <c r="D468" s="11"/>
      <c r="E468" s="11"/>
      <c r="F468" s="12"/>
      <c r="G468" s="12"/>
      <c r="H468" s="12"/>
      <c r="I468" s="12"/>
      <c r="J468" s="11"/>
      <c r="K468" s="11"/>
      <c r="L468" s="11"/>
      <c r="M468" s="11"/>
      <c r="N468" s="11"/>
      <c r="O468" s="11"/>
      <c r="P468" s="11"/>
      <c r="Q468" s="11"/>
      <c r="R468" s="11"/>
      <c r="S468" s="11"/>
      <c r="T468" s="11"/>
      <c r="U468" s="11"/>
      <c r="V468" s="11"/>
      <c r="W468" s="11"/>
      <c r="X468" s="11"/>
      <c r="Y468" s="11"/>
      <c r="Z468" s="11"/>
    </row>
    <row r="469">
      <c r="A469" s="11"/>
      <c r="B469" s="11"/>
      <c r="C469" s="11"/>
      <c r="D469" s="11"/>
      <c r="E469" s="11"/>
      <c r="F469" s="12"/>
      <c r="G469" s="12"/>
      <c r="H469" s="12"/>
      <c r="I469" s="12"/>
      <c r="J469" s="11"/>
      <c r="K469" s="11"/>
      <c r="L469" s="11"/>
      <c r="M469" s="11"/>
      <c r="N469" s="11"/>
      <c r="O469" s="11"/>
      <c r="P469" s="11"/>
      <c r="Q469" s="11"/>
      <c r="R469" s="11"/>
      <c r="S469" s="11"/>
      <c r="T469" s="11"/>
      <c r="U469" s="11"/>
      <c r="V469" s="11"/>
      <c r="W469" s="11"/>
      <c r="X469" s="11"/>
      <c r="Y469" s="11"/>
      <c r="Z469" s="11"/>
    </row>
    <row r="470">
      <c r="A470" s="11"/>
      <c r="B470" s="11"/>
      <c r="C470" s="11"/>
      <c r="D470" s="11"/>
      <c r="E470" s="11"/>
      <c r="F470" s="12"/>
      <c r="G470" s="12"/>
      <c r="H470" s="12"/>
      <c r="I470" s="12"/>
      <c r="J470" s="11"/>
      <c r="K470" s="11"/>
      <c r="L470" s="11"/>
      <c r="M470" s="11"/>
      <c r="N470" s="11"/>
      <c r="O470" s="11"/>
      <c r="P470" s="11"/>
      <c r="Q470" s="11"/>
      <c r="R470" s="11"/>
      <c r="S470" s="11"/>
      <c r="T470" s="11"/>
      <c r="U470" s="11"/>
      <c r="V470" s="11"/>
      <c r="W470" s="11"/>
      <c r="X470" s="11"/>
      <c r="Y470" s="11"/>
      <c r="Z470" s="11"/>
    </row>
    <row r="471">
      <c r="A471" s="11"/>
      <c r="B471" s="11"/>
      <c r="C471" s="11"/>
      <c r="D471" s="11"/>
      <c r="E471" s="11"/>
      <c r="F471" s="12"/>
      <c r="G471" s="12"/>
      <c r="H471" s="12"/>
      <c r="I471" s="12"/>
      <c r="J471" s="11"/>
      <c r="K471" s="11"/>
      <c r="L471" s="11"/>
      <c r="M471" s="11"/>
      <c r="N471" s="11"/>
      <c r="O471" s="11"/>
      <c r="P471" s="11"/>
      <c r="Q471" s="11"/>
      <c r="R471" s="11"/>
      <c r="S471" s="11"/>
      <c r="T471" s="11"/>
      <c r="U471" s="11"/>
      <c r="V471" s="11"/>
      <c r="W471" s="11"/>
      <c r="X471" s="11"/>
      <c r="Y471" s="11"/>
      <c r="Z471" s="11"/>
    </row>
    <row r="472">
      <c r="A472" s="11"/>
      <c r="B472" s="11"/>
      <c r="C472" s="11"/>
      <c r="D472" s="11"/>
      <c r="E472" s="11"/>
      <c r="F472" s="12"/>
      <c r="G472" s="12"/>
      <c r="H472" s="12"/>
      <c r="I472" s="12"/>
      <c r="J472" s="11"/>
      <c r="K472" s="11"/>
      <c r="L472" s="11"/>
      <c r="M472" s="11"/>
      <c r="N472" s="11"/>
      <c r="O472" s="11"/>
      <c r="P472" s="11"/>
      <c r="Q472" s="11"/>
      <c r="R472" s="11"/>
      <c r="S472" s="11"/>
      <c r="T472" s="11"/>
      <c r="U472" s="11"/>
      <c r="V472" s="11"/>
      <c r="W472" s="11"/>
      <c r="X472" s="11"/>
      <c r="Y472" s="11"/>
      <c r="Z472" s="11"/>
    </row>
    <row r="473">
      <c r="A473" s="11"/>
      <c r="B473" s="11"/>
      <c r="C473" s="11"/>
      <c r="D473" s="11"/>
      <c r="E473" s="11"/>
      <c r="F473" s="12"/>
      <c r="G473" s="12"/>
      <c r="H473" s="12"/>
      <c r="I473" s="12"/>
      <c r="J473" s="11"/>
      <c r="K473" s="11"/>
      <c r="L473" s="11"/>
      <c r="M473" s="11"/>
      <c r="N473" s="11"/>
      <c r="O473" s="11"/>
      <c r="P473" s="11"/>
      <c r="Q473" s="11"/>
      <c r="R473" s="11"/>
      <c r="S473" s="11"/>
      <c r="T473" s="11"/>
      <c r="U473" s="11"/>
      <c r="V473" s="11"/>
      <c r="W473" s="11"/>
      <c r="X473" s="11"/>
      <c r="Y473" s="11"/>
      <c r="Z473" s="11"/>
    </row>
    <row r="474">
      <c r="A474" s="11"/>
      <c r="B474" s="11"/>
      <c r="C474" s="11"/>
      <c r="D474" s="11"/>
      <c r="E474" s="11"/>
      <c r="F474" s="12"/>
      <c r="G474" s="12"/>
      <c r="H474" s="12"/>
      <c r="I474" s="12"/>
      <c r="J474" s="11"/>
      <c r="K474" s="11"/>
      <c r="L474" s="11"/>
      <c r="M474" s="11"/>
      <c r="N474" s="11"/>
      <c r="O474" s="11"/>
      <c r="P474" s="11"/>
      <c r="Q474" s="11"/>
      <c r="R474" s="11"/>
      <c r="S474" s="11"/>
      <c r="T474" s="11"/>
      <c r="U474" s="11"/>
      <c r="V474" s="11"/>
      <c r="W474" s="11"/>
      <c r="X474" s="11"/>
      <c r="Y474" s="11"/>
      <c r="Z474" s="11"/>
    </row>
    <row r="475">
      <c r="A475" s="11"/>
      <c r="B475" s="11"/>
      <c r="C475" s="11"/>
      <c r="D475" s="11"/>
      <c r="E475" s="11"/>
      <c r="F475" s="12"/>
      <c r="G475" s="12"/>
      <c r="H475" s="12"/>
      <c r="I475" s="12"/>
      <c r="J475" s="11"/>
      <c r="K475" s="11"/>
      <c r="L475" s="11"/>
      <c r="M475" s="11"/>
      <c r="N475" s="11"/>
      <c r="O475" s="11"/>
      <c r="P475" s="11"/>
      <c r="Q475" s="11"/>
      <c r="R475" s="11"/>
      <c r="S475" s="11"/>
      <c r="T475" s="11"/>
      <c r="U475" s="11"/>
      <c r="V475" s="11"/>
      <c r="W475" s="11"/>
      <c r="X475" s="11"/>
      <c r="Y475" s="11"/>
      <c r="Z475" s="11"/>
    </row>
    <row r="476">
      <c r="A476" s="11"/>
      <c r="B476" s="11"/>
      <c r="C476" s="11"/>
      <c r="D476" s="11"/>
      <c r="E476" s="11"/>
      <c r="F476" s="12"/>
      <c r="G476" s="12"/>
      <c r="H476" s="12"/>
      <c r="I476" s="12"/>
      <c r="J476" s="11"/>
      <c r="K476" s="11"/>
      <c r="L476" s="11"/>
      <c r="M476" s="11"/>
      <c r="N476" s="11"/>
      <c r="O476" s="11"/>
      <c r="P476" s="11"/>
      <c r="Q476" s="11"/>
      <c r="R476" s="11"/>
      <c r="S476" s="11"/>
      <c r="T476" s="11"/>
      <c r="U476" s="11"/>
      <c r="V476" s="11"/>
      <c r="W476" s="11"/>
      <c r="X476" s="11"/>
      <c r="Y476" s="11"/>
      <c r="Z476" s="11"/>
    </row>
    <row r="477">
      <c r="A477" s="11"/>
      <c r="B477" s="11"/>
      <c r="C477" s="11"/>
      <c r="D477" s="11"/>
      <c r="E477" s="11"/>
      <c r="F477" s="12"/>
      <c r="G477" s="12"/>
      <c r="H477" s="12"/>
      <c r="I477" s="12"/>
      <c r="J477" s="11"/>
      <c r="K477" s="11"/>
      <c r="L477" s="11"/>
      <c r="M477" s="11"/>
      <c r="N477" s="11"/>
      <c r="O477" s="11"/>
      <c r="P477" s="11"/>
      <c r="Q477" s="11"/>
      <c r="R477" s="11"/>
      <c r="S477" s="11"/>
      <c r="T477" s="11"/>
      <c r="U477" s="11"/>
      <c r="V477" s="11"/>
      <c r="W477" s="11"/>
      <c r="X477" s="11"/>
      <c r="Y477" s="11"/>
      <c r="Z477" s="11"/>
    </row>
    <row r="478">
      <c r="A478" s="11"/>
      <c r="B478" s="11"/>
      <c r="C478" s="11"/>
      <c r="D478" s="11"/>
      <c r="E478" s="11"/>
      <c r="F478" s="12"/>
      <c r="G478" s="12"/>
      <c r="H478" s="12"/>
      <c r="I478" s="12"/>
      <c r="J478" s="11"/>
      <c r="K478" s="11"/>
      <c r="L478" s="11"/>
      <c r="M478" s="11"/>
      <c r="N478" s="11"/>
      <c r="O478" s="11"/>
      <c r="P478" s="11"/>
      <c r="Q478" s="11"/>
      <c r="R478" s="11"/>
      <c r="S478" s="11"/>
      <c r="T478" s="11"/>
      <c r="U478" s="11"/>
      <c r="V478" s="11"/>
      <c r="W478" s="11"/>
      <c r="X478" s="11"/>
      <c r="Y478" s="11"/>
      <c r="Z478" s="11"/>
    </row>
    <row r="479">
      <c r="A479" s="11"/>
      <c r="B479" s="11"/>
      <c r="C479" s="11"/>
      <c r="D479" s="11"/>
      <c r="E479" s="11"/>
      <c r="F479" s="12"/>
      <c r="G479" s="12"/>
      <c r="H479" s="12"/>
      <c r="I479" s="12"/>
      <c r="J479" s="11"/>
      <c r="K479" s="11"/>
      <c r="L479" s="11"/>
      <c r="M479" s="11"/>
      <c r="N479" s="11"/>
      <c r="O479" s="11"/>
      <c r="P479" s="11"/>
      <c r="Q479" s="11"/>
      <c r="R479" s="11"/>
      <c r="S479" s="11"/>
      <c r="T479" s="11"/>
      <c r="U479" s="11"/>
      <c r="V479" s="11"/>
      <c r="W479" s="11"/>
      <c r="X479" s="11"/>
      <c r="Y479" s="11"/>
      <c r="Z479" s="11"/>
    </row>
    <row r="480">
      <c r="A480" s="11"/>
      <c r="B480" s="11"/>
      <c r="C480" s="11"/>
      <c r="D480" s="11"/>
      <c r="E480" s="11"/>
      <c r="F480" s="12"/>
      <c r="G480" s="12"/>
      <c r="H480" s="12"/>
      <c r="I480" s="12"/>
      <c r="J480" s="11"/>
      <c r="K480" s="11"/>
      <c r="L480" s="11"/>
      <c r="M480" s="11"/>
      <c r="N480" s="11"/>
      <c r="O480" s="11"/>
      <c r="P480" s="11"/>
      <c r="Q480" s="11"/>
      <c r="R480" s="11"/>
      <c r="S480" s="11"/>
      <c r="T480" s="11"/>
      <c r="U480" s="11"/>
      <c r="V480" s="11"/>
      <c r="W480" s="11"/>
      <c r="X480" s="11"/>
      <c r="Y480" s="11"/>
      <c r="Z480" s="11"/>
    </row>
    <row r="481">
      <c r="A481" s="11"/>
      <c r="B481" s="11"/>
      <c r="C481" s="11"/>
      <c r="D481" s="11"/>
      <c r="E481" s="11"/>
      <c r="F481" s="12"/>
      <c r="G481" s="12"/>
      <c r="H481" s="12"/>
      <c r="I481" s="12"/>
      <c r="J481" s="11"/>
      <c r="K481" s="11"/>
      <c r="L481" s="11"/>
      <c r="M481" s="11"/>
      <c r="N481" s="11"/>
      <c r="O481" s="11"/>
      <c r="P481" s="11"/>
      <c r="Q481" s="11"/>
      <c r="R481" s="11"/>
      <c r="S481" s="11"/>
      <c r="T481" s="11"/>
      <c r="U481" s="11"/>
      <c r="V481" s="11"/>
      <c r="W481" s="11"/>
      <c r="X481" s="11"/>
      <c r="Y481" s="11"/>
      <c r="Z481" s="11"/>
    </row>
    <row r="482">
      <c r="A482" s="11"/>
      <c r="B482" s="11"/>
      <c r="C482" s="11"/>
      <c r="D482" s="11"/>
      <c r="E482" s="11"/>
      <c r="F482" s="12"/>
      <c r="G482" s="12"/>
      <c r="H482" s="12"/>
      <c r="I482" s="12"/>
      <c r="J482" s="11"/>
      <c r="K482" s="11"/>
      <c r="L482" s="11"/>
      <c r="M482" s="11"/>
      <c r="N482" s="11"/>
      <c r="O482" s="11"/>
      <c r="P482" s="11"/>
      <c r="Q482" s="11"/>
      <c r="R482" s="11"/>
      <c r="S482" s="11"/>
      <c r="T482" s="11"/>
      <c r="U482" s="11"/>
      <c r="V482" s="11"/>
      <c r="W482" s="11"/>
      <c r="X482" s="11"/>
      <c r="Y482" s="11"/>
      <c r="Z482" s="11"/>
    </row>
    <row r="483">
      <c r="A483" s="11"/>
      <c r="B483" s="11"/>
      <c r="C483" s="11"/>
      <c r="D483" s="11"/>
      <c r="E483" s="11"/>
      <c r="F483" s="12"/>
      <c r="G483" s="12"/>
      <c r="H483" s="12"/>
      <c r="I483" s="12"/>
      <c r="J483" s="11"/>
      <c r="K483" s="11"/>
      <c r="L483" s="11"/>
      <c r="M483" s="11"/>
      <c r="N483" s="11"/>
      <c r="O483" s="11"/>
      <c r="P483" s="11"/>
      <c r="Q483" s="11"/>
      <c r="R483" s="11"/>
      <c r="S483" s="11"/>
      <c r="T483" s="11"/>
      <c r="U483" s="11"/>
      <c r="V483" s="11"/>
      <c r="W483" s="11"/>
      <c r="X483" s="11"/>
      <c r="Y483" s="11"/>
      <c r="Z483" s="11"/>
    </row>
    <row r="484">
      <c r="A484" s="11"/>
      <c r="B484" s="11"/>
      <c r="C484" s="11"/>
      <c r="D484" s="11"/>
      <c r="E484" s="11"/>
      <c r="F484" s="12"/>
      <c r="G484" s="12"/>
      <c r="H484" s="12"/>
      <c r="I484" s="12"/>
      <c r="J484" s="11"/>
      <c r="K484" s="11"/>
      <c r="L484" s="11"/>
      <c r="M484" s="11"/>
      <c r="N484" s="11"/>
      <c r="O484" s="11"/>
      <c r="P484" s="11"/>
      <c r="Q484" s="11"/>
      <c r="R484" s="11"/>
      <c r="S484" s="11"/>
      <c r="T484" s="11"/>
      <c r="U484" s="11"/>
      <c r="V484" s="11"/>
      <c r="W484" s="11"/>
      <c r="X484" s="11"/>
      <c r="Y484" s="11"/>
      <c r="Z484" s="11"/>
    </row>
    <row r="485">
      <c r="A485" s="11"/>
      <c r="B485" s="11"/>
      <c r="C485" s="11"/>
      <c r="D485" s="11"/>
      <c r="E485" s="11"/>
      <c r="F485" s="12"/>
      <c r="G485" s="12"/>
      <c r="H485" s="12"/>
      <c r="I485" s="12"/>
      <c r="J485" s="11"/>
      <c r="K485" s="11"/>
      <c r="L485" s="11"/>
      <c r="M485" s="11"/>
      <c r="N485" s="11"/>
      <c r="O485" s="11"/>
      <c r="P485" s="11"/>
      <c r="Q485" s="11"/>
      <c r="R485" s="11"/>
      <c r="S485" s="11"/>
      <c r="T485" s="11"/>
      <c r="U485" s="11"/>
      <c r="V485" s="11"/>
      <c r="W485" s="11"/>
      <c r="X485" s="11"/>
      <c r="Y485" s="11"/>
      <c r="Z485" s="11"/>
    </row>
    <row r="486">
      <c r="A486" s="11"/>
      <c r="B486" s="11"/>
      <c r="C486" s="11"/>
      <c r="D486" s="11"/>
      <c r="E486" s="11"/>
      <c r="F486" s="12"/>
      <c r="G486" s="12"/>
      <c r="H486" s="12"/>
      <c r="I486" s="12"/>
      <c r="J486" s="11"/>
      <c r="K486" s="11"/>
      <c r="L486" s="11"/>
      <c r="M486" s="11"/>
      <c r="N486" s="11"/>
      <c r="O486" s="11"/>
      <c r="P486" s="11"/>
      <c r="Q486" s="11"/>
      <c r="R486" s="11"/>
      <c r="S486" s="11"/>
      <c r="T486" s="11"/>
      <c r="U486" s="11"/>
      <c r="V486" s="11"/>
      <c r="W486" s="11"/>
      <c r="X486" s="11"/>
      <c r="Y486" s="11"/>
      <c r="Z486" s="11"/>
    </row>
    <row r="487">
      <c r="A487" s="11"/>
      <c r="B487" s="11"/>
      <c r="C487" s="11"/>
      <c r="D487" s="11"/>
      <c r="E487" s="11"/>
      <c r="F487" s="12"/>
      <c r="G487" s="12"/>
      <c r="H487" s="12"/>
      <c r="I487" s="12"/>
      <c r="J487" s="11"/>
      <c r="K487" s="11"/>
      <c r="L487" s="11"/>
      <c r="M487" s="11"/>
      <c r="N487" s="11"/>
      <c r="O487" s="11"/>
      <c r="P487" s="11"/>
      <c r="Q487" s="11"/>
      <c r="R487" s="11"/>
      <c r="S487" s="11"/>
      <c r="T487" s="11"/>
      <c r="U487" s="11"/>
      <c r="V487" s="11"/>
      <c r="W487" s="11"/>
      <c r="X487" s="11"/>
      <c r="Y487" s="11"/>
      <c r="Z487" s="11"/>
    </row>
    <row r="488">
      <c r="A488" s="11"/>
      <c r="B488" s="11"/>
      <c r="C488" s="11"/>
      <c r="D488" s="11"/>
      <c r="E488" s="11"/>
      <c r="F488" s="12"/>
      <c r="G488" s="12"/>
      <c r="H488" s="12"/>
      <c r="I488" s="12"/>
      <c r="J488" s="11"/>
      <c r="K488" s="11"/>
      <c r="L488" s="11"/>
      <c r="M488" s="11"/>
      <c r="N488" s="11"/>
      <c r="O488" s="11"/>
      <c r="P488" s="11"/>
      <c r="Q488" s="11"/>
      <c r="R488" s="11"/>
      <c r="S488" s="11"/>
      <c r="T488" s="11"/>
      <c r="U488" s="11"/>
      <c r="V488" s="11"/>
      <c r="W488" s="11"/>
      <c r="X488" s="11"/>
      <c r="Y488" s="11"/>
      <c r="Z488" s="11"/>
    </row>
    <row r="489">
      <c r="A489" s="11"/>
      <c r="B489" s="11"/>
      <c r="C489" s="11"/>
      <c r="D489" s="11"/>
      <c r="E489" s="11"/>
      <c r="F489" s="12"/>
      <c r="G489" s="12"/>
      <c r="H489" s="12"/>
      <c r="I489" s="12"/>
      <c r="J489" s="11"/>
      <c r="K489" s="11"/>
      <c r="L489" s="11"/>
      <c r="M489" s="11"/>
      <c r="N489" s="11"/>
      <c r="O489" s="11"/>
      <c r="P489" s="11"/>
      <c r="Q489" s="11"/>
      <c r="R489" s="11"/>
      <c r="S489" s="11"/>
      <c r="T489" s="11"/>
      <c r="U489" s="11"/>
      <c r="V489" s="11"/>
      <c r="W489" s="11"/>
      <c r="X489" s="11"/>
      <c r="Y489" s="11"/>
      <c r="Z489" s="11"/>
    </row>
    <row r="490">
      <c r="A490" s="11"/>
      <c r="B490" s="11"/>
      <c r="C490" s="11"/>
      <c r="D490" s="11"/>
      <c r="E490" s="11"/>
      <c r="F490" s="12"/>
      <c r="G490" s="12"/>
      <c r="H490" s="12"/>
      <c r="I490" s="12"/>
      <c r="J490" s="11"/>
      <c r="K490" s="11"/>
      <c r="L490" s="11"/>
      <c r="M490" s="11"/>
      <c r="N490" s="11"/>
      <c r="O490" s="11"/>
      <c r="P490" s="11"/>
      <c r="Q490" s="11"/>
      <c r="R490" s="11"/>
      <c r="S490" s="11"/>
      <c r="T490" s="11"/>
      <c r="U490" s="11"/>
      <c r="V490" s="11"/>
      <c r="W490" s="11"/>
      <c r="X490" s="11"/>
      <c r="Y490" s="11"/>
      <c r="Z490" s="11"/>
    </row>
    <row r="491">
      <c r="A491" s="11"/>
      <c r="B491" s="11"/>
      <c r="C491" s="11"/>
      <c r="D491" s="11"/>
      <c r="E491" s="11"/>
      <c r="F491" s="12"/>
      <c r="G491" s="12"/>
      <c r="H491" s="12"/>
      <c r="I491" s="12"/>
      <c r="J491" s="11"/>
      <c r="K491" s="11"/>
      <c r="L491" s="11"/>
      <c r="M491" s="11"/>
      <c r="N491" s="11"/>
      <c r="O491" s="11"/>
      <c r="P491" s="11"/>
      <c r="Q491" s="11"/>
      <c r="R491" s="11"/>
      <c r="S491" s="11"/>
      <c r="T491" s="11"/>
      <c r="U491" s="11"/>
      <c r="V491" s="11"/>
      <c r="W491" s="11"/>
      <c r="X491" s="11"/>
      <c r="Y491" s="11"/>
      <c r="Z491" s="11"/>
    </row>
    <row r="492">
      <c r="A492" s="11"/>
      <c r="B492" s="11"/>
      <c r="C492" s="11"/>
      <c r="D492" s="11"/>
      <c r="E492" s="11"/>
      <c r="F492" s="12"/>
      <c r="G492" s="12"/>
      <c r="H492" s="12"/>
      <c r="I492" s="12"/>
      <c r="J492" s="11"/>
      <c r="K492" s="11"/>
      <c r="L492" s="11"/>
      <c r="M492" s="11"/>
      <c r="N492" s="11"/>
      <c r="O492" s="11"/>
      <c r="P492" s="11"/>
      <c r="Q492" s="11"/>
      <c r="R492" s="11"/>
      <c r="S492" s="11"/>
      <c r="T492" s="11"/>
      <c r="U492" s="11"/>
      <c r="V492" s="11"/>
      <c r="W492" s="11"/>
      <c r="X492" s="11"/>
      <c r="Y492" s="11"/>
      <c r="Z492" s="11"/>
    </row>
    <row r="493">
      <c r="A493" s="11"/>
      <c r="B493" s="11"/>
      <c r="C493" s="11"/>
      <c r="D493" s="11"/>
      <c r="E493" s="11"/>
      <c r="F493" s="12"/>
      <c r="G493" s="12"/>
      <c r="H493" s="12"/>
      <c r="I493" s="12"/>
      <c r="J493" s="11"/>
      <c r="K493" s="11"/>
      <c r="L493" s="11"/>
      <c r="M493" s="11"/>
      <c r="N493" s="11"/>
      <c r="O493" s="11"/>
      <c r="P493" s="11"/>
      <c r="Q493" s="11"/>
      <c r="R493" s="11"/>
      <c r="S493" s="11"/>
      <c r="T493" s="11"/>
      <c r="U493" s="11"/>
      <c r="V493" s="11"/>
      <c r="W493" s="11"/>
      <c r="X493" s="11"/>
      <c r="Y493" s="11"/>
      <c r="Z493" s="11"/>
    </row>
    <row r="494">
      <c r="A494" s="11"/>
      <c r="B494" s="11"/>
      <c r="C494" s="11"/>
      <c r="D494" s="11"/>
      <c r="E494" s="11"/>
      <c r="F494" s="12"/>
      <c r="G494" s="12"/>
      <c r="H494" s="12"/>
      <c r="I494" s="12"/>
      <c r="J494" s="11"/>
      <c r="K494" s="11"/>
      <c r="L494" s="11"/>
      <c r="M494" s="11"/>
      <c r="N494" s="11"/>
      <c r="O494" s="11"/>
      <c r="P494" s="11"/>
      <c r="Q494" s="11"/>
      <c r="R494" s="11"/>
      <c r="S494" s="11"/>
      <c r="T494" s="11"/>
      <c r="U494" s="11"/>
      <c r="V494" s="11"/>
      <c r="W494" s="11"/>
      <c r="X494" s="11"/>
      <c r="Y494" s="11"/>
      <c r="Z494" s="11"/>
    </row>
    <row r="495">
      <c r="A495" s="11"/>
      <c r="B495" s="11"/>
      <c r="C495" s="11"/>
      <c r="D495" s="11"/>
      <c r="E495" s="11"/>
      <c r="F495" s="12"/>
      <c r="G495" s="12"/>
      <c r="H495" s="12"/>
      <c r="I495" s="12"/>
      <c r="J495" s="11"/>
      <c r="K495" s="11"/>
      <c r="L495" s="11"/>
      <c r="M495" s="11"/>
      <c r="N495" s="11"/>
      <c r="O495" s="11"/>
      <c r="P495" s="11"/>
      <c r="Q495" s="11"/>
      <c r="R495" s="11"/>
      <c r="S495" s="11"/>
      <c r="T495" s="11"/>
      <c r="U495" s="11"/>
      <c r="V495" s="11"/>
      <c r="W495" s="11"/>
      <c r="X495" s="11"/>
      <c r="Y495" s="11"/>
      <c r="Z495" s="11"/>
    </row>
    <row r="496">
      <c r="A496" s="11"/>
      <c r="B496" s="11"/>
      <c r="C496" s="11"/>
      <c r="D496" s="11"/>
      <c r="E496" s="11"/>
      <c r="F496" s="12"/>
      <c r="G496" s="12"/>
      <c r="H496" s="12"/>
      <c r="I496" s="12"/>
      <c r="J496" s="11"/>
      <c r="K496" s="11"/>
      <c r="L496" s="11"/>
      <c r="M496" s="11"/>
      <c r="N496" s="11"/>
      <c r="O496" s="11"/>
      <c r="P496" s="11"/>
      <c r="Q496" s="11"/>
      <c r="R496" s="11"/>
      <c r="S496" s="11"/>
      <c r="T496" s="11"/>
      <c r="U496" s="11"/>
      <c r="V496" s="11"/>
      <c r="W496" s="11"/>
      <c r="X496" s="11"/>
      <c r="Y496" s="11"/>
      <c r="Z496" s="11"/>
    </row>
    <row r="497">
      <c r="A497" s="11"/>
      <c r="B497" s="11"/>
      <c r="C497" s="11"/>
      <c r="D497" s="11"/>
      <c r="E497" s="11"/>
      <c r="F497" s="12"/>
      <c r="G497" s="12"/>
      <c r="H497" s="12"/>
      <c r="I497" s="12"/>
      <c r="J497" s="11"/>
      <c r="K497" s="11"/>
      <c r="L497" s="11"/>
      <c r="M497" s="11"/>
      <c r="N497" s="11"/>
      <c r="O497" s="11"/>
      <c r="P497" s="11"/>
      <c r="Q497" s="11"/>
      <c r="R497" s="11"/>
      <c r="S497" s="11"/>
      <c r="T497" s="11"/>
      <c r="U497" s="11"/>
      <c r="V497" s="11"/>
      <c r="W497" s="11"/>
      <c r="X497" s="11"/>
      <c r="Y497" s="11"/>
      <c r="Z497" s="11"/>
    </row>
    <row r="498">
      <c r="A498" s="11"/>
      <c r="B498" s="11"/>
      <c r="C498" s="11"/>
      <c r="D498" s="11"/>
      <c r="E498" s="11"/>
      <c r="F498" s="12"/>
      <c r="G498" s="12"/>
      <c r="H498" s="12"/>
      <c r="I498" s="12"/>
      <c r="J498" s="11"/>
      <c r="K498" s="11"/>
      <c r="L498" s="11"/>
      <c r="M498" s="11"/>
      <c r="N498" s="11"/>
      <c r="O498" s="11"/>
      <c r="P498" s="11"/>
      <c r="Q498" s="11"/>
      <c r="R498" s="11"/>
      <c r="S498" s="11"/>
      <c r="T498" s="11"/>
      <c r="U498" s="11"/>
      <c r="V498" s="11"/>
      <c r="W498" s="11"/>
      <c r="X498" s="11"/>
      <c r="Y498" s="11"/>
      <c r="Z498" s="11"/>
    </row>
    <row r="499">
      <c r="A499" s="11"/>
      <c r="B499" s="11"/>
      <c r="C499" s="11"/>
      <c r="D499" s="11"/>
      <c r="E499" s="11"/>
      <c r="F499" s="12"/>
      <c r="G499" s="12"/>
      <c r="H499" s="12"/>
      <c r="I499" s="12"/>
      <c r="J499" s="11"/>
      <c r="K499" s="11"/>
      <c r="L499" s="11"/>
      <c r="M499" s="11"/>
      <c r="N499" s="11"/>
      <c r="O499" s="11"/>
      <c r="P499" s="11"/>
      <c r="Q499" s="11"/>
      <c r="R499" s="11"/>
      <c r="S499" s="11"/>
      <c r="T499" s="11"/>
      <c r="U499" s="11"/>
      <c r="V499" s="11"/>
      <c r="W499" s="11"/>
      <c r="X499" s="11"/>
      <c r="Y499" s="11"/>
      <c r="Z499" s="11"/>
    </row>
    <row r="500">
      <c r="A500" s="11"/>
      <c r="B500" s="11"/>
      <c r="C500" s="11"/>
      <c r="D500" s="11"/>
      <c r="E500" s="11"/>
      <c r="F500" s="12"/>
      <c r="G500" s="12"/>
      <c r="H500" s="12"/>
      <c r="I500" s="12"/>
      <c r="J500" s="11"/>
      <c r="K500" s="11"/>
      <c r="L500" s="11"/>
      <c r="M500" s="11"/>
      <c r="N500" s="11"/>
      <c r="O500" s="11"/>
      <c r="P500" s="11"/>
      <c r="Q500" s="11"/>
      <c r="R500" s="11"/>
      <c r="S500" s="11"/>
      <c r="T500" s="11"/>
      <c r="U500" s="11"/>
      <c r="V500" s="11"/>
      <c r="W500" s="11"/>
      <c r="X500" s="11"/>
      <c r="Y500" s="11"/>
      <c r="Z500" s="11"/>
    </row>
    <row r="501">
      <c r="A501" s="11"/>
      <c r="B501" s="11"/>
      <c r="C501" s="11"/>
      <c r="D501" s="11"/>
      <c r="E501" s="11"/>
      <c r="F501" s="12"/>
      <c r="G501" s="12"/>
      <c r="H501" s="12"/>
      <c r="I501" s="12"/>
      <c r="J501" s="11"/>
      <c r="K501" s="11"/>
      <c r="L501" s="11"/>
      <c r="M501" s="11"/>
      <c r="N501" s="11"/>
      <c r="O501" s="11"/>
      <c r="P501" s="11"/>
      <c r="Q501" s="11"/>
      <c r="R501" s="11"/>
      <c r="S501" s="11"/>
      <c r="T501" s="11"/>
      <c r="U501" s="11"/>
      <c r="V501" s="11"/>
      <c r="W501" s="11"/>
      <c r="X501" s="11"/>
      <c r="Y501" s="11"/>
      <c r="Z501" s="11"/>
    </row>
    <row r="502">
      <c r="A502" s="11"/>
      <c r="B502" s="11"/>
      <c r="C502" s="11"/>
      <c r="D502" s="11"/>
      <c r="E502" s="11"/>
      <c r="F502" s="12"/>
      <c r="G502" s="12"/>
      <c r="H502" s="12"/>
      <c r="I502" s="12"/>
      <c r="J502" s="11"/>
      <c r="K502" s="11"/>
      <c r="L502" s="11"/>
      <c r="M502" s="11"/>
      <c r="N502" s="11"/>
      <c r="O502" s="11"/>
      <c r="P502" s="11"/>
      <c r="Q502" s="11"/>
      <c r="R502" s="11"/>
      <c r="S502" s="11"/>
      <c r="T502" s="11"/>
      <c r="U502" s="11"/>
      <c r="V502" s="11"/>
      <c r="W502" s="11"/>
      <c r="X502" s="11"/>
      <c r="Y502" s="11"/>
      <c r="Z502" s="11"/>
    </row>
    <row r="503">
      <c r="A503" s="11"/>
      <c r="B503" s="11"/>
      <c r="C503" s="11"/>
      <c r="D503" s="11"/>
      <c r="E503" s="11"/>
      <c r="F503" s="12"/>
      <c r="G503" s="12"/>
      <c r="H503" s="12"/>
      <c r="I503" s="12"/>
      <c r="J503" s="11"/>
      <c r="K503" s="11"/>
      <c r="L503" s="11"/>
      <c r="M503" s="11"/>
      <c r="N503" s="11"/>
      <c r="O503" s="11"/>
      <c r="P503" s="11"/>
      <c r="Q503" s="11"/>
      <c r="R503" s="11"/>
      <c r="S503" s="11"/>
      <c r="T503" s="11"/>
      <c r="U503" s="11"/>
      <c r="V503" s="11"/>
      <c r="W503" s="11"/>
      <c r="X503" s="11"/>
      <c r="Y503" s="11"/>
      <c r="Z503" s="11"/>
    </row>
    <row r="504">
      <c r="A504" s="11"/>
      <c r="B504" s="11"/>
      <c r="C504" s="11"/>
      <c r="D504" s="11"/>
      <c r="E504" s="11"/>
      <c r="F504" s="12"/>
      <c r="G504" s="12"/>
      <c r="H504" s="12"/>
      <c r="I504" s="12"/>
      <c r="J504" s="11"/>
      <c r="K504" s="11"/>
      <c r="L504" s="11"/>
      <c r="M504" s="11"/>
      <c r="N504" s="11"/>
      <c r="O504" s="11"/>
      <c r="P504" s="11"/>
      <c r="Q504" s="11"/>
      <c r="R504" s="11"/>
      <c r="S504" s="11"/>
      <c r="T504" s="11"/>
      <c r="U504" s="11"/>
      <c r="V504" s="11"/>
      <c r="W504" s="11"/>
      <c r="X504" s="11"/>
      <c r="Y504" s="11"/>
      <c r="Z504" s="11"/>
    </row>
    <row r="505">
      <c r="A505" s="11"/>
      <c r="B505" s="11"/>
      <c r="C505" s="11"/>
      <c r="D505" s="11"/>
      <c r="E505" s="11"/>
      <c r="F505" s="12"/>
      <c r="G505" s="12"/>
      <c r="H505" s="12"/>
      <c r="I505" s="12"/>
      <c r="J505" s="11"/>
      <c r="K505" s="11"/>
      <c r="L505" s="11"/>
      <c r="M505" s="11"/>
      <c r="N505" s="11"/>
      <c r="O505" s="11"/>
      <c r="P505" s="11"/>
      <c r="Q505" s="11"/>
      <c r="R505" s="11"/>
      <c r="S505" s="11"/>
      <c r="T505" s="11"/>
      <c r="U505" s="11"/>
      <c r="V505" s="11"/>
      <c r="W505" s="11"/>
      <c r="X505" s="11"/>
      <c r="Y505" s="11"/>
      <c r="Z505" s="11"/>
    </row>
    <row r="506">
      <c r="A506" s="11"/>
      <c r="B506" s="11"/>
      <c r="C506" s="11"/>
      <c r="D506" s="11"/>
      <c r="E506" s="11"/>
      <c r="F506" s="12"/>
      <c r="G506" s="12"/>
      <c r="H506" s="12"/>
      <c r="I506" s="12"/>
      <c r="J506" s="11"/>
      <c r="K506" s="11"/>
      <c r="L506" s="11"/>
      <c r="M506" s="11"/>
      <c r="N506" s="11"/>
      <c r="O506" s="11"/>
      <c r="P506" s="11"/>
      <c r="Q506" s="11"/>
      <c r="R506" s="11"/>
      <c r="S506" s="11"/>
      <c r="T506" s="11"/>
      <c r="U506" s="11"/>
      <c r="V506" s="11"/>
      <c r="W506" s="11"/>
      <c r="X506" s="11"/>
      <c r="Y506" s="11"/>
      <c r="Z506" s="11"/>
    </row>
    <row r="507">
      <c r="A507" s="11"/>
      <c r="B507" s="11"/>
      <c r="C507" s="11"/>
      <c r="D507" s="11"/>
      <c r="E507" s="11"/>
      <c r="F507" s="12"/>
      <c r="G507" s="12"/>
      <c r="H507" s="12"/>
      <c r="I507" s="12"/>
      <c r="J507" s="11"/>
      <c r="K507" s="11"/>
      <c r="L507" s="11"/>
      <c r="M507" s="11"/>
      <c r="N507" s="11"/>
      <c r="O507" s="11"/>
      <c r="P507" s="11"/>
      <c r="Q507" s="11"/>
      <c r="R507" s="11"/>
      <c r="S507" s="11"/>
      <c r="T507" s="11"/>
      <c r="U507" s="11"/>
      <c r="V507" s="11"/>
      <c r="W507" s="11"/>
      <c r="X507" s="11"/>
      <c r="Y507" s="11"/>
      <c r="Z507" s="11"/>
    </row>
    <row r="508">
      <c r="A508" s="11"/>
      <c r="B508" s="11"/>
      <c r="C508" s="11"/>
      <c r="D508" s="11"/>
      <c r="E508" s="11"/>
      <c r="F508" s="12"/>
      <c r="G508" s="12"/>
      <c r="H508" s="12"/>
      <c r="I508" s="12"/>
      <c r="J508" s="11"/>
      <c r="K508" s="11"/>
      <c r="L508" s="11"/>
      <c r="M508" s="11"/>
      <c r="N508" s="11"/>
      <c r="O508" s="11"/>
      <c r="P508" s="11"/>
      <c r="Q508" s="11"/>
      <c r="R508" s="11"/>
      <c r="S508" s="11"/>
      <c r="T508" s="11"/>
      <c r="U508" s="11"/>
      <c r="V508" s="11"/>
      <c r="W508" s="11"/>
      <c r="X508" s="11"/>
      <c r="Y508" s="11"/>
      <c r="Z508" s="11"/>
    </row>
    <row r="509">
      <c r="A509" s="11"/>
      <c r="B509" s="11"/>
      <c r="C509" s="11"/>
      <c r="D509" s="11"/>
      <c r="E509" s="11"/>
      <c r="F509" s="12"/>
      <c r="G509" s="12"/>
      <c r="H509" s="12"/>
      <c r="I509" s="12"/>
      <c r="J509" s="11"/>
      <c r="K509" s="11"/>
      <c r="L509" s="11"/>
      <c r="M509" s="11"/>
      <c r="N509" s="11"/>
      <c r="O509" s="11"/>
      <c r="P509" s="11"/>
      <c r="Q509" s="11"/>
      <c r="R509" s="11"/>
      <c r="S509" s="11"/>
      <c r="T509" s="11"/>
      <c r="U509" s="11"/>
      <c r="V509" s="11"/>
      <c r="W509" s="11"/>
      <c r="X509" s="11"/>
      <c r="Y509" s="11"/>
      <c r="Z509" s="11"/>
    </row>
    <row r="510">
      <c r="A510" s="11"/>
      <c r="B510" s="11"/>
      <c r="C510" s="11"/>
      <c r="D510" s="11"/>
      <c r="E510" s="11"/>
      <c r="F510" s="12"/>
      <c r="G510" s="12"/>
      <c r="H510" s="12"/>
      <c r="I510" s="12"/>
      <c r="J510" s="11"/>
      <c r="K510" s="11"/>
      <c r="L510" s="11"/>
      <c r="M510" s="11"/>
      <c r="N510" s="11"/>
      <c r="O510" s="11"/>
      <c r="P510" s="11"/>
      <c r="Q510" s="11"/>
      <c r="R510" s="11"/>
      <c r="S510" s="11"/>
      <c r="T510" s="11"/>
      <c r="U510" s="11"/>
      <c r="V510" s="11"/>
      <c r="W510" s="11"/>
      <c r="X510" s="11"/>
      <c r="Y510" s="11"/>
      <c r="Z510" s="11"/>
    </row>
    <row r="511">
      <c r="A511" s="11"/>
      <c r="B511" s="11"/>
      <c r="C511" s="11"/>
      <c r="D511" s="11"/>
      <c r="E511" s="11"/>
      <c r="F511" s="12"/>
      <c r="G511" s="12"/>
      <c r="H511" s="12"/>
      <c r="I511" s="12"/>
      <c r="J511" s="11"/>
      <c r="K511" s="11"/>
      <c r="L511" s="11"/>
      <c r="M511" s="11"/>
      <c r="N511" s="11"/>
      <c r="O511" s="11"/>
      <c r="P511" s="11"/>
      <c r="Q511" s="11"/>
      <c r="R511" s="11"/>
      <c r="S511" s="11"/>
      <c r="T511" s="11"/>
      <c r="U511" s="11"/>
      <c r="V511" s="11"/>
      <c r="W511" s="11"/>
      <c r="X511" s="11"/>
      <c r="Y511" s="11"/>
      <c r="Z511" s="11"/>
    </row>
    <row r="512">
      <c r="A512" s="11"/>
      <c r="B512" s="11"/>
      <c r="C512" s="11"/>
      <c r="D512" s="11"/>
      <c r="E512" s="11"/>
      <c r="F512" s="12"/>
      <c r="G512" s="12"/>
      <c r="H512" s="12"/>
      <c r="I512" s="12"/>
      <c r="J512" s="11"/>
      <c r="K512" s="11"/>
      <c r="L512" s="11"/>
      <c r="M512" s="11"/>
      <c r="N512" s="11"/>
      <c r="O512" s="11"/>
      <c r="P512" s="11"/>
      <c r="Q512" s="11"/>
      <c r="R512" s="11"/>
      <c r="S512" s="11"/>
      <c r="T512" s="11"/>
      <c r="U512" s="11"/>
      <c r="V512" s="11"/>
      <c r="W512" s="11"/>
      <c r="X512" s="11"/>
      <c r="Y512" s="11"/>
      <c r="Z512" s="11"/>
    </row>
    <row r="513">
      <c r="A513" s="11"/>
      <c r="B513" s="11"/>
      <c r="C513" s="11"/>
      <c r="D513" s="11"/>
      <c r="E513" s="11"/>
      <c r="F513" s="12"/>
      <c r="G513" s="12"/>
      <c r="H513" s="12"/>
      <c r="I513" s="12"/>
      <c r="J513" s="11"/>
      <c r="K513" s="11"/>
      <c r="L513" s="11"/>
      <c r="M513" s="11"/>
      <c r="N513" s="11"/>
      <c r="O513" s="11"/>
      <c r="P513" s="11"/>
      <c r="Q513" s="11"/>
      <c r="R513" s="11"/>
      <c r="S513" s="11"/>
      <c r="T513" s="11"/>
      <c r="U513" s="11"/>
      <c r="V513" s="11"/>
      <c r="W513" s="11"/>
      <c r="X513" s="11"/>
      <c r="Y513" s="11"/>
      <c r="Z513" s="11"/>
    </row>
    <row r="514">
      <c r="A514" s="11"/>
      <c r="B514" s="11"/>
      <c r="C514" s="11"/>
      <c r="D514" s="11"/>
      <c r="E514" s="11"/>
      <c r="F514" s="12"/>
      <c r="G514" s="12"/>
      <c r="H514" s="12"/>
      <c r="I514" s="12"/>
      <c r="J514" s="11"/>
      <c r="K514" s="11"/>
      <c r="L514" s="11"/>
      <c r="M514" s="11"/>
      <c r="N514" s="11"/>
      <c r="O514" s="11"/>
      <c r="P514" s="11"/>
      <c r="Q514" s="11"/>
      <c r="R514" s="11"/>
      <c r="S514" s="11"/>
      <c r="T514" s="11"/>
      <c r="U514" s="11"/>
      <c r="V514" s="11"/>
      <c r="W514" s="11"/>
      <c r="X514" s="11"/>
      <c r="Y514" s="11"/>
      <c r="Z514" s="11"/>
    </row>
    <row r="515">
      <c r="A515" s="11"/>
      <c r="B515" s="11"/>
      <c r="C515" s="11"/>
      <c r="D515" s="11"/>
      <c r="E515" s="11"/>
      <c r="F515" s="12"/>
      <c r="G515" s="12"/>
      <c r="H515" s="12"/>
      <c r="I515" s="12"/>
      <c r="J515" s="11"/>
      <c r="K515" s="11"/>
      <c r="L515" s="11"/>
      <c r="M515" s="11"/>
      <c r="N515" s="11"/>
      <c r="O515" s="11"/>
      <c r="P515" s="11"/>
      <c r="Q515" s="11"/>
      <c r="R515" s="11"/>
      <c r="S515" s="11"/>
      <c r="T515" s="11"/>
      <c r="U515" s="11"/>
      <c r="V515" s="11"/>
      <c r="W515" s="11"/>
      <c r="X515" s="11"/>
      <c r="Y515" s="11"/>
      <c r="Z515" s="11"/>
    </row>
    <row r="516">
      <c r="A516" s="11"/>
      <c r="B516" s="11"/>
      <c r="C516" s="11"/>
      <c r="D516" s="11"/>
      <c r="E516" s="11"/>
      <c r="F516" s="12"/>
      <c r="G516" s="12"/>
      <c r="H516" s="12"/>
      <c r="I516" s="12"/>
      <c r="J516" s="11"/>
      <c r="K516" s="11"/>
      <c r="L516" s="11"/>
      <c r="M516" s="11"/>
      <c r="N516" s="11"/>
      <c r="O516" s="11"/>
      <c r="P516" s="11"/>
      <c r="Q516" s="11"/>
      <c r="R516" s="11"/>
      <c r="S516" s="11"/>
      <c r="T516" s="11"/>
      <c r="U516" s="11"/>
      <c r="V516" s="11"/>
      <c r="W516" s="11"/>
      <c r="X516" s="11"/>
      <c r="Y516" s="11"/>
      <c r="Z516" s="11"/>
    </row>
    <row r="517">
      <c r="A517" s="11"/>
      <c r="B517" s="11"/>
      <c r="C517" s="11"/>
      <c r="D517" s="11"/>
      <c r="E517" s="11"/>
      <c r="F517" s="12"/>
      <c r="G517" s="12"/>
      <c r="H517" s="12"/>
      <c r="I517" s="12"/>
      <c r="J517" s="11"/>
      <c r="K517" s="11"/>
      <c r="L517" s="11"/>
      <c r="M517" s="11"/>
      <c r="N517" s="11"/>
      <c r="O517" s="11"/>
      <c r="P517" s="11"/>
      <c r="Q517" s="11"/>
      <c r="R517" s="11"/>
      <c r="S517" s="11"/>
      <c r="T517" s="11"/>
      <c r="U517" s="11"/>
      <c r="V517" s="11"/>
      <c r="W517" s="11"/>
      <c r="X517" s="11"/>
      <c r="Y517" s="11"/>
      <c r="Z517" s="11"/>
    </row>
    <row r="518">
      <c r="A518" s="11"/>
      <c r="B518" s="11"/>
      <c r="C518" s="11"/>
      <c r="D518" s="11"/>
      <c r="E518" s="11"/>
      <c r="F518" s="12"/>
      <c r="G518" s="12"/>
      <c r="H518" s="12"/>
      <c r="I518" s="12"/>
      <c r="J518" s="11"/>
      <c r="K518" s="11"/>
      <c r="L518" s="11"/>
      <c r="M518" s="11"/>
      <c r="N518" s="11"/>
      <c r="O518" s="11"/>
      <c r="P518" s="11"/>
      <c r="Q518" s="11"/>
      <c r="R518" s="11"/>
      <c r="S518" s="11"/>
      <c r="T518" s="11"/>
      <c r="U518" s="11"/>
      <c r="V518" s="11"/>
      <c r="W518" s="11"/>
      <c r="X518" s="11"/>
      <c r="Y518" s="11"/>
      <c r="Z518" s="11"/>
    </row>
    <row r="519">
      <c r="A519" s="11"/>
      <c r="B519" s="11"/>
      <c r="C519" s="11"/>
      <c r="D519" s="11"/>
      <c r="E519" s="11"/>
      <c r="F519" s="12"/>
      <c r="G519" s="12"/>
      <c r="H519" s="12"/>
      <c r="I519" s="12"/>
      <c r="J519" s="11"/>
      <c r="K519" s="11"/>
      <c r="L519" s="11"/>
      <c r="M519" s="11"/>
      <c r="N519" s="11"/>
      <c r="O519" s="11"/>
      <c r="P519" s="11"/>
      <c r="Q519" s="11"/>
      <c r="R519" s="11"/>
      <c r="S519" s="11"/>
      <c r="T519" s="11"/>
      <c r="U519" s="11"/>
      <c r="V519" s="11"/>
      <c r="W519" s="11"/>
      <c r="X519" s="11"/>
      <c r="Y519" s="11"/>
      <c r="Z519" s="11"/>
    </row>
    <row r="520">
      <c r="A520" s="11"/>
      <c r="B520" s="11"/>
      <c r="C520" s="11"/>
      <c r="D520" s="11"/>
      <c r="E520" s="11"/>
      <c r="F520" s="12"/>
      <c r="G520" s="12"/>
      <c r="H520" s="12"/>
      <c r="I520" s="12"/>
      <c r="J520" s="11"/>
      <c r="K520" s="11"/>
      <c r="L520" s="11"/>
      <c r="M520" s="11"/>
      <c r="N520" s="11"/>
      <c r="O520" s="11"/>
      <c r="P520" s="11"/>
      <c r="Q520" s="11"/>
      <c r="R520" s="11"/>
      <c r="S520" s="11"/>
      <c r="T520" s="11"/>
      <c r="U520" s="11"/>
      <c r="V520" s="11"/>
      <c r="W520" s="11"/>
      <c r="X520" s="11"/>
      <c r="Y520" s="11"/>
      <c r="Z520" s="11"/>
    </row>
    <row r="521">
      <c r="A521" s="11"/>
      <c r="B521" s="11"/>
      <c r="C521" s="11"/>
      <c r="D521" s="11"/>
      <c r="E521" s="11"/>
      <c r="F521" s="12"/>
      <c r="G521" s="12"/>
      <c r="H521" s="12"/>
      <c r="I521" s="12"/>
      <c r="J521" s="11"/>
      <c r="K521" s="11"/>
      <c r="L521" s="11"/>
      <c r="M521" s="11"/>
      <c r="N521" s="11"/>
      <c r="O521" s="11"/>
      <c r="P521" s="11"/>
      <c r="Q521" s="11"/>
      <c r="R521" s="11"/>
      <c r="S521" s="11"/>
      <c r="T521" s="11"/>
      <c r="U521" s="11"/>
      <c r="V521" s="11"/>
      <c r="W521" s="11"/>
      <c r="X521" s="11"/>
      <c r="Y521" s="11"/>
      <c r="Z521" s="11"/>
    </row>
    <row r="522">
      <c r="A522" s="11"/>
      <c r="B522" s="11"/>
      <c r="C522" s="11"/>
      <c r="D522" s="11"/>
      <c r="E522" s="11"/>
      <c r="F522" s="12"/>
      <c r="G522" s="12"/>
      <c r="H522" s="12"/>
      <c r="I522" s="12"/>
      <c r="J522" s="11"/>
      <c r="K522" s="11"/>
      <c r="L522" s="11"/>
      <c r="M522" s="11"/>
      <c r="N522" s="11"/>
      <c r="O522" s="11"/>
      <c r="P522" s="11"/>
      <c r="Q522" s="11"/>
      <c r="R522" s="11"/>
      <c r="S522" s="11"/>
      <c r="T522" s="11"/>
      <c r="U522" s="11"/>
      <c r="V522" s="11"/>
      <c r="W522" s="11"/>
      <c r="X522" s="11"/>
      <c r="Y522" s="11"/>
      <c r="Z522" s="11"/>
    </row>
    <row r="523">
      <c r="A523" s="11"/>
      <c r="B523" s="11"/>
      <c r="C523" s="11"/>
      <c r="D523" s="11"/>
      <c r="E523" s="11"/>
      <c r="F523" s="12"/>
      <c r="G523" s="12"/>
      <c r="H523" s="12"/>
      <c r="I523" s="12"/>
      <c r="J523" s="11"/>
      <c r="K523" s="11"/>
      <c r="L523" s="11"/>
      <c r="M523" s="11"/>
      <c r="N523" s="11"/>
      <c r="O523" s="11"/>
      <c r="P523" s="11"/>
      <c r="Q523" s="11"/>
      <c r="R523" s="11"/>
      <c r="S523" s="11"/>
      <c r="T523" s="11"/>
      <c r="U523" s="11"/>
      <c r="V523" s="11"/>
      <c r="W523" s="11"/>
      <c r="X523" s="11"/>
      <c r="Y523" s="11"/>
      <c r="Z523" s="11"/>
    </row>
    <row r="524">
      <c r="A524" s="11"/>
      <c r="B524" s="11"/>
      <c r="C524" s="11"/>
      <c r="D524" s="11"/>
      <c r="E524" s="11"/>
      <c r="F524" s="12"/>
      <c r="G524" s="12"/>
      <c r="H524" s="12"/>
      <c r="I524" s="12"/>
      <c r="J524" s="11"/>
      <c r="K524" s="11"/>
      <c r="L524" s="11"/>
      <c r="M524" s="11"/>
      <c r="N524" s="11"/>
      <c r="O524" s="11"/>
      <c r="P524" s="11"/>
      <c r="Q524" s="11"/>
      <c r="R524" s="11"/>
      <c r="S524" s="11"/>
      <c r="T524" s="11"/>
      <c r="U524" s="11"/>
      <c r="V524" s="11"/>
      <c r="W524" s="11"/>
      <c r="X524" s="11"/>
      <c r="Y524" s="11"/>
      <c r="Z524" s="11"/>
    </row>
    <row r="525">
      <c r="A525" s="11"/>
      <c r="B525" s="11"/>
      <c r="C525" s="11"/>
      <c r="D525" s="11"/>
      <c r="E525" s="11"/>
      <c r="F525" s="12"/>
      <c r="G525" s="12"/>
      <c r="H525" s="12"/>
      <c r="I525" s="12"/>
      <c r="J525" s="11"/>
      <c r="K525" s="11"/>
      <c r="L525" s="11"/>
      <c r="M525" s="11"/>
      <c r="N525" s="11"/>
      <c r="O525" s="11"/>
      <c r="P525" s="11"/>
      <c r="Q525" s="11"/>
      <c r="R525" s="11"/>
      <c r="S525" s="11"/>
      <c r="T525" s="11"/>
      <c r="U525" s="11"/>
      <c r="V525" s="11"/>
      <c r="W525" s="11"/>
      <c r="X525" s="11"/>
      <c r="Y525" s="11"/>
      <c r="Z525" s="11"/>
    </row>
    <row r="526">
      <c r="A526" s="11"/>
      <c r="B526" s="11"/>
      <c r="C526" s="11"/>
      <c r="D526" s="11"/>
      <c r="E526" s="11"/>
      <c r="F526" s="12"/>
      <c r="G526" s="12"/>
      <c r="H526" s="12"/>
      <c r="I526" s="12"/>
      <c r="J526" s="11"/>
      <c r="K526" s="11"/>
      <c r="L526" s="11"/>
      <c r="M526" s="11"/>
      <c r="N526" s="11"/>
      <c r="O526" s="11"/>
      <c r="P526" s="11"/>
      <c r="Q526" s="11"/>
      <c r="R526" s="11"/>
      <c r="S526" s="11"/>
      <c r="T526" s="11"/>
      <c r="U526" s="11"/>
      <c r="V526" s="11"/>
      <c r="W526" s="11"/>
      <c r="X526" s="11"/>
      <c r="Y526" s="11"/>
      <c r="Z526" s="11"/>
    </row>
    <row r="527">
      <c r="A527" s="11"/>
      <c r="B527" s="11"/>
      <c r="C527" s="11"/>
      <c r="D527" s="11"/>
      <c r="E527" s="11"/>
      <c r="F527" s="12"/>
      <c r="G527" s="12"/>
      <c r="H527" s="12"/>
      <c r="I527" s="12"/>
      <c r="J527" s="11"/>
      <c r="K527" s="11"/>
      <c r="L527" s="11"/>
      <c r="M527" s="11"/>
      <c r="N527" s="11"/>
      <c r="O527" s="11"/>
      <c r="P527" s="11"/>
      <c r="Q527" s="11"/>
      <c r="R527" s="11"/>
      <c r="S527" s="11"/>
      <c r="T527" s="11"/>
      <c r="U527" s="11"/>
      <c r="V527" s="11"/>
      <c r="W527" s="11"/>
      <c r="X527" s="11"/>
      <c r="Y527" s="11"/>
      <c r="Z527" s="11"/>
    </row>
    <row r="528">
      <c r="A528" s="11"/>
      <c r="B528" s="11"/>
      <c r="C528" s="11"/>
      <c r="D528" s="11"/>
      <c r="E528" s="11"/>
      <c r="F528" s="12"/>
      <c r="G528" s="12"/>
      <c r="H528" s="12"/>
      <c r="I528" s="12"/>
      <c r="J528" s="11"/>
      <c r="K528" s="11"/>
      <c r="L528" s="11"/>
      <c r="M528" s="11"/>
      <c r="N528" s="11"/>
      <c r="O528" s="11"/>
      <c r="P528" s="11"/>
      <c r="Q528" s="11"/>
      <c r="R528" s="11"/>
      <c r="S528" s="11"/>
      <c r="T528" s="11"/>
      <c r="U528" s="11"/>
      <c r="V528" s="11"/>
      <c r="W528" s="11"/>
      <c r="X528" s="11"/>
      <c r="Y528" s="11"/>
      <c r="Z528" s="11"/>
    </row>
    <row r="529">
      <c r="A529" s="11"/>
      <c r="B529" s="11"/>
      <c r="C529" s="11"/>
      <c r="D529" s="11"/>
      <c r="E529" s="11"/>
      <c r="F529" s="12"/>
      <c r="G529" s="12"/>
      <c r="H529" s="12"/>
      <c r="I529" s="12"/>
      <c r="J529" s="11"/>
      <c r="K529" s="11"/>
      <c r="L529" s="11"/>
      <c r="M529" s="11"/>
      <c r="N529" s="11"/>
      <c r="O529" s="11"/>
      <c r="P529" s="11"/>
      <c r="Q529" s="11"/>
      <c r="R529" s="11"/>
      <c r="S529" s="11"/>
      <c r="T529" s="11"/>
      <c r="U529" s="11"/>
      <c r="V529" s="11"/>
      <c r="W529" s="11"/>
      <c r="X529" s="11"/>
      <c r="Y529" s="11"/>
      <c r="Z529" s="11"/>
    </row>
    <row r="530">
      <c r="A530" s="11"/>
      <c r="B530" s="11"/>
      <c r="C530" s="11"/>
      <c r="D530" s="11"/>
      <c r="E530" s="11"/>
      <c r="F530" s="12"/>
      <c r="G530" s="12"/>
      <c r="H530" s="12"/>
      <c r="I530" s="12"/>
      <c r="J530" s="11"/>
      <c r="K530" s="11"/>
      <c r="L530" s="11"/>
      <c r="M530" s="11"/>
      <c r="N530" s="11"/>
      <c r="O530" s="11"/>
      <c r="P530" s="11"/>
      <c r="Q530" s="11"/>
      <c r="R530" s="11"/>
      <c r="S530" s="11"/>
      <c r="T530" s="11"/>
      <c r="U530" s="11"/>
      <c r="V530" s="11"/>
      <c r="W530" s="11"/>
      <c r="X530" s="11"/>
      <c r="Y530" s="11"/>
      <c r="Z530" s="11"/>
    </row>
    <row r="531">
      <c r="A531" s="11"/>
      <c r="B531" s="11"/>
      <c r="C531" s="11"/>
      <c r="D531" s="11"/>
      <c r="E531" s="11"/>
      <c r="F531" s="12"/>
      <c r="G531" s="12"/>
      <c r="H531" s="12"/>
      <c r="I531" s="12"/>
      <c r="J531" s="11"/>
      <c r="K531" s="11"/>
      <c r="L531" s="11"/>
      <c r="M531" s="11"/>
      <c r="N531" s="11"/>
      <c r="O531" s="11"/>
      <c r="P531" s="11"/>
      <c r="Q531" s="11"/>
      <c r="R531" s="11"/>
      <c r="S531" s="11"/>
      <c r="T531" s="11"/>
      <c r="U531" s="11"/>
      <c r="V531" s="11"/>
      <c r="W531" s="11"/>
      <c r="X531" s="11"/>
      <c r="Y531" s="11"/>
      <c r="Z531" s="11"/>
    </row>
    <row r="532">
      <c r="A532" s="11"/>
      <c r="B532" s="11"/>
      <c r="C532" s="11"/>
      <c r="D532" s="11"/>
      <c r="E532" s="11"/>
      <c r="F532" s="12"/>
      <c r="G532" s="12"/>
      <c r="H532" s="12"/>
      <c r="I532" s="12"/>
      <c r="J532" s="11"/>
      <c r="K532" s="11"/>
      <c r="L532" s="11"/>
      <c r="M532" s="11"/>
      <c r="N532" s="11"/>
      <c r="O532" s="11"/>
      <c r="P532" s="11"/>
      <c r="Q532" s="11"/>
      <c r="R532" s="11"/>
      <c r="S532" s="11"/>
      <c r="T532" s="11"/>
      <c r="U532" s="11"/>
      <c r="V532" s="11"/>
      <c r="W532" s="11"/>
      <c r="X532" s="11"/>
      <c r="Y532" s="11"/>
      <c r="Z532" s="11"/>
    </row>
    <row r="533">
      <c r="A533" s="11"/>
      <c r="B533" s="11"/>
      <c r="C533" s="11"/>
      <c r="D533" s="11"/>
      <c r="E533" s="11"/>
      <c r="F533" s="12"/>
      <c r="G533" s="12"/>
      <c r="H533" s="12"/>
      <c r="I533" s="12"/>
      <c r="J533" s="11"/>
      <c r="K533" s="11"/>
      <c r="L533" s="11"/>
      <c r="M533" s="11"/>
      <c r="N533" s="11"/>
      <c r="O533" s="11"/>
      <c r="P533" s="11"/>
      <c r="Q533" s="11"/>
      <c r="R533" s="11"/>
      <c r="S533" s="11"/>
      <c r="T533" s="11"/>
      <c r="U533" s="11"/>
      <c r="V533" s="11"/>
      <c r="W533" s="11"/>
      <c r="X533" s="11"/>
      <c r="Y533" s="11"/>
      <c r="Z533" s="11"/>
    </row>
    <row r="534">
      <c r="A534" s="11"/>
      <c r="B534" s="11"/>
      <c r="C534" s="11"/>
      <c r="D534" s="11"/>
      <c r="E534" s="11"/>
      <c r="F534" s="12"/>
      <c r="G534" s="12"/>
      <c r="H534" s="12"/>
      <c r="I534" s="12"/>
      <c r="J534" s="11"/>
      <c r="K534" s="11"/>
      <c r="L534" s="11"/>
      <c r="M534" s="11"/>
      <c r="N534" s="11"/>
      <c r="O534" s="11"/>
      <c r="P534" s="11"/>
      <c r="Q534" s="11"/>
      <c r="R534" s="11"/>
      <c r="S534" s="11"/>
      <c r="T534" s="11"/>
      <c r="U534" s="11"/>
      <c r="V534" s="11"/>
      <c r="W534" s="11"/>
      <c r="X534" s="11"/>
      <c r="Y534" s="11"/>
      <c r="Z534" s="11"/>
    </row>
    <row r="535">
      <c r="A535" s="11"/>
      <c r="B535" s="11"/>
      <c r="C535" s="11"/>
      <c r="D535" s="11"/>
      <c r="E535" s="11"/>
      <c r="F535" s="12"/>
      <c r="G535" s="12"/>
      <c r="H535" s="12"/>
      <c r="I535" s="12"/>
      <c r="J535" s="11"/>
      <c r="K535" s="11"/>
      <c r="L535" s="11"/>
      <c r="M535" s="11"/>
      <c r="N535" s="11"/>
      <c r="O535" s="11"/>
      <c r="P535" s="11"/>
      <c r="Q535" s="11"/>
      <c r="R535" s="11"/>
      <c r="S535" s="11"/>
      <c r="T535" s="11"/>
      <c r="U535" s="11"/>
      <c r="V535" s="11"/>
      <c r="W535" s="11"/>
      <c r="X535" s="11"/>
      <c r="Y535" s="11"/>
      <c r="Z535" s="11"/>
    </row>
    <row r="536">
      <c r="A536" s="11"/>
      <c r="B536" s="11"/>
      <c r="C536" s="11"/>
      <c r="D536" s="11"/>
      <c r="E536" s="11"/>
      <c r="F536" s="12"/>
      <c r="G536" s="12"/>
      <c r="H536" s="12"/>
      <c r="I536" s="12"/>
      <c r="J536" s="11"/>
      <c r="K536" s="11"/>
      <c r="L536" s="11"/>
      <c r="M536" s="11"/>
      <c r="N536" s="11"/>
      <c r="O536" s="11"/>
      <c r="P536" s="11"/>
      <c r="Q536" s="11"/>
      <c r="R536" s="11"/>
      <c r="S536" s="11"/>
      <c r="T536" s="11"/>
      <c r="U536" s="11"/>
      <c r="V536" s="11"/>
      <c r="W536" s="11"/>
      <c r="X536" s="11"/>
      <c r="Y536" s="11"/>
      <c r="Z536" s="11"/>
    </row>
    <row r="537">
      <c r="A537" s="11"/>
      <c r="B537" s="11"/>
      <c r="C537" s="11"/>
      <c r="D537" s="11"/>
      <c r="E537" s="11"/>
      <c r="F537" s="12"/>
      <c r="G537" s="12"/>
      <c r="H537" s="12"/>
      <c r="I537" s="12"/>
      <c r="J537" s="11"/>
      <c r="K537" s="11"/>
      <c r="L537" s="11"/>
      <c r="M537" s="11"/>
      <c r="N537" s="11"/>
      <c r="O537" s="11"/>
      <c r="P537" s="11"/>
      <c r="Q537" s="11"/>
      <c r="R537" s="11"/>
      <c r="S537" s="11"/>
      <c r="T537" s="11"/>
      <c r="U537" s="11"/>
      <c r="V537" s="11"/>
      <c r="W537" s="11"/>
      <c r="X537" s="11"/>
      <c r="Y537" s="11"/>
      <c r="Z537" s="11"/>
    </row>
    <row r="538">
      <c r="A538" s="11"/>
      <c r="B538" s="11"/>
      <c r="C538" s="11"/>
      <c r="D538" s="11"/>
      <c r="E538" s="11"/>
      <c r="F538" s="12"/>
      <c r="G538" s="12"/>
      <c r="H538" s="12"/>
      <c r="I538" s="12"/>
      <c r="J538" s="11"/>
      <c r="K538" s="11"/>
      <c r="L538" s="11"/>
      <c r="M538" s="11"/>
      <c r="N538" s="11"/>
      <c r="O538" s="11"/>
      <c r="P538" s="11"/>
      <c r="Q538" s="11"/>
      <c r="R538" s="11"/>
      <c r="S538" s="11"/>
      <c r="T538" s="11"/>
      <c r="U538" s="11"/>
      <c r="V538" s="11"/>
      <c r="W538" s="11"/>
      <c r="X538" s="11"/>
      <c r="Y538" s="11"/>
      <c r="Z538" s="11"/>
    </row>
    <row r="539">
      <c r="A539" s="11"/>
      <c r="B539" s="11"/>
      <c r="C539" s="11"/>
      <c r="D539" s="11"/>
      <c r="E539" s="11"/>
      <c r="F539" s="12"/>
      <c r="G539" s="12"/>
      <c r="H539" s="12"/>
      <c r="I539" s="12"/>
      <c r="J539" s="11"/>
      <c r="K539" s="11"/>
      <c r="L539" s="11"/>
      <c r="M539" s="11"/>
      <c r="N539" s="11"/>
      <c r="O539" s="11"/>
      <c r="P539" s="11"/>
      <c r="Q539" s="11"/>
      <c r="R539" s="11"/>
      <c r="S539" s="11"/>
      <c r="T539" s="11"/>
      <c r="U539" s="11"/>
      <c r="V539" s="11"/>
      <c r="W539" s="11"/>
      <c r="X539" s="11"/>
      <c r="Y539" s="11"/>
      <c r="Z539" s="11"/>
    </row>
    <row r="540">
      <c r="A540" s="11"/>
      <c r="B540" s="11"/>
      <c r="C540" s="11"/>
      <c r="D540" s="11"/>
      <c r="E540" s="11"/>
      <c r="F540" s="12"/>
      <c r="G540" s="12"/>
      <c r="H540" s="12"/>
      <c r="I540" s="12"/>
      <c r="J540" s="11"/>
      <c r="K540" s="11"/>
      <c r="L540" s="11"/>
      <c r="M540" s="11"/>
      <c r="N540" s="11"/>
      <c r="O540" s="11"/>
      <c r="P540" s="11"/>
      <c r="Q540" s="11"/>
      <c r="R540" s="11"/>
      <c r="S540" s="11"/>
      <c r="T540" s="11"/>
      <c r="U540" s="11"/>
      <c r="V540" s="11"/>
      <c r="W540" s="11"/>
      <c r="X540" s="11"/>
      <c r="Y540" s="11"/>
      <c r="Z540" s="11"/>
    </row>
    <row r="541">
      <c r="A541" s="11"/>
      <c r="B541" s="11"/>
      <c r="C541" s="11"/>
      <c r="D541" s="11"/>
      <c r="E541" s="11"/>
      <c r="F541" s="12"/>
      <c r="G541" s="12"/>
      <c r="H541" s="12"/>
      <c r="I541" s="12"/>
      <c r="J541" s="11"/>
      <c r="K541" s="11"/>
      <c r="L541" s="11"/>
      <c r="M541" s="11"/>
      <c r="N541" s="11"/>
      <c r="O541" s="11"/>
      <c r="P541" s="11"/>
      <c r="Q541" s="11"/>
      <c r="R541" s="11"/>
      <c r="S541" s="11"/>
      <c r="T541" s="11"/>
      <c r="U541" s="11"/>
      <c r="V541" s="11"/>
      <c r="W541" s="11"/>
      <c r="X541" s="11"/>
      <c r="Y541" s="11"/>
      <c r="Z541" s="11"/>
    </row>
    <row r="542">
      <c r="A542" s="11"/>
      <c r="B542" s="11"/>
      <c r="C542" s="11"/>
      <c r="D542" s="11"/>
      <c r="E542" s="11"/>
      <c r="F542" s="12"/>
      <c r="G542" s="12"/>
      <c r="H542" s="12"/>
      <c r="I542" s="12"/>
      <c r="J542" s="11"/>
      <c r="K542" s="11"/>
      <c r="L542" s="11"/>
      <c r="M542" s="11"/>
      <c r="N542" s="11"/>
      <c r="O542" s="11"/>
      <c r="P542" s="11"/>
      <c r="Q542" s="11"/>
      <c r="R542" s="11"/>
      <c r="S542" s="11"/>
      <c r="T542" s="11"/>
      <c r="U542" s="11"/>
      <c r="V542" s="11"/>
      <c r="W542" s="11"/>
      <c r="X542" s="11"/>
      <c r="Y542" s="11"/>
      <c r="Z542" s="11"/>
    </row>
    <row r="543">
      <c r="A543" s="11"/>
      <c r="B543" s="11"/>
      <c r="C543" s="11"/>
      <c r="D543" s="11"/>
      <c r="E543" s="11"/>
      <c r="F543" s="12"/>
      <c r="G543" s="12"/>
      <c r="H543" s="12"/>
      <c r="I543" s="12"/>
      <c r="J543" s="11"/>
      <c r="K543" s="11"/>
      <c r="L543" s="11"/>
      <c r="M543" s="11"/>
      <c r="N543" s="11"/>
      <c r="O543" s="11"/>
      <c r="P543" s="11"/>
      <c r="Q543" s="11"/>
      <c r="R543" s="11"/>
      <c r="S543" s="11"/>
      <c r="T543" s="11"/>
      <c r="U543" s="11"/>
      <c r="V543" s="11"/>
      <c r="W543" s="11"/>
      <c r="X543" s="11"/>
      <c r="Y543" s="11"/>
      <c r="Z543" s="11"/>
    </row>
    <row r="544">
      <c r="A544" s="11"/>
      <c r="B544" s="11"/>
      <c r="C544" s="11"/>
      <c r="D544" s="11"/>
      <c r="E544" s="11"/>
      <c r="F544" s="12"/>
      <c r="G544" s="12"/>
      <c r="H544" s="12"/>
      <c r="I544" s="12"/>
      <c r="J544" s="11"/>
      <c r="K544" s="11"/>
      <c r="L544" s="11"/>
      <c r="M544" s="11"/>
      <c r="N544" s="11"/>
      <c r="O544" s="11"/>
      <c r="P544" s="11"/>
      <c r="Q544" s="11"/>
      <c r="R544" s="11"/>
      <c r="S544" s="11"/>
      <c r="T544" s="11"/>
      <c r="U544" s="11"/>
      <c r="V544" s="11"/>
      <c r="W544" s="11"/>
      <c r="X544" s="11"/>
      <c r="Y544" s="11"/>
      <c r="Z544" s="11"/>
    </row>
    <row r="545">
      <c r="A545" s="11"/>
      <c r="B545" s="11"/>
      <c r="C545" s="11"/>
      <c r="D545" s="11"/>
      <c r="E545" s="11"/>
      <c r="F545" s="12"/>
      <c r="G545" s="12"/>
      <c r="H545" s="12"/>
      <c r="I545" s="12"/>
      <c r="J545" s="11"/>
      <c r="K545" s="11"/>
      <c r="L545" s="11"/>
      <c r="M545" s="11"/>
      <c r="N545" s="11"/>
      <c r="O545" s="11"/>
      <c r="P545" s="11"/>
      <c r="Q545" s="11"/>
      <c r="R545" s="11"/>
      <c r="S545" s="11"/>
      <c r="T545" s="11"/>
      <c r="U545" s="11"/>
      <c r="V545" s="11"/>
      <c r="W545" s="11"/>
      <c r="X545" s="11"/>
      <c r="Y545" s="11"/>
      <c r="Z545" s="11"/>
    </row>
    <row r="546">
      <c r="A546" s="11"/>
      <c r="B546" s="11"/>
      <c r="C546" s="11"/>
      <c r="D546" s="11"/>
      <c r="E546" s="11"/>
      <c r="F546" s="12"/>
      <c r="G546" s="12"/>
      <c r="H546" s="12"/>
      <c r="I546" s="12"/>
      <c r="J546" s="11"/>
      <c r="K546" s="11"/>
      <c r="L546" s="11"/>
      <c r="M546" s="11"/>
      <c r="N546" s="11"/>
      <c r="O546" s="11"/>
      <c r="P546" s="11"/>
      <c r="Q546" s="11"/>
      <c r="R546" s="11"/>
      <c r="S546" s="11"/>
      <c r="T546" s="11"/>
      <c r="U546" s="11"/>
      <c r="V546" s="11"/>
      <c r="W546" s="11"/>
      <c r="X546" s="11"/>
      <c r="Y546" s="11"/>
      <c r="Z546" s="11"/>
    </row>
    <row r="547">
      <c r="A547" s="11"/>
      <c r="B547" s="11"/>
      <c r="C547" s="11"/>
      <c r="D547" s="11"/>
      <c r="E547" s="11"/>
      <c r="F547" s="12"/>
      <c r="G547" s="12"/>
      <c r="H547" s="12"/>
      <c r="I547" s="12"/>
      <c r="J547" s="11"/>
      <c r="K547" s="11"/>
      <c r="L547" s="11"/>
      <c r="M547" s="11"/>
      <c r="N547" s="11"/>
      <c r="O547" s="11"/>
      <c r="P547" s="11"/>
      <c r="Q547" s="11"/>
      <c r="R547" s="11"/>
      <c r="S547" s="11"/>
      <c r="T547" s="11"/>
      <c r="U547" s="11"/>
      <c r="V547" s="11"/>
      <c r="W547" s="11"/>
      <c r="X547" s="11"/>
      <c r="Y547" s="11"/>
      <c r="Z547" s="11"/>
    </row>
    <row r="548">
      <c r="A548" s="11"/>
      <c r="B548" s="11"/>
      <c r="C548" s="11"/>
      <c r="D548" s="11"/>
      <c r="E548" s="11"/>
      <c r="F548" s="12"/>
      <c r="G548" s="12"/>
      <c r="H548" s="12"/>
      <c r="I548" s="12"/>
      <c r="J548" s="11"/>
      <c r="K548" s="11"/>
      <c r="L548" s="11"/>
      <c r="M548" s="11"/>
      <c r="N548" s="11"/>
      <c r="O548" s="11"/>
      <c r="P548" s="11"/>
      <c r="Q548" s="11"/>
      <c r="R548" s="11"/>
      <c r="S548" s="11"/>
      <c r="T548" s="11"/>
      <c r="U548" s="11"/>
      <c r="V548" s="11"/>
      <c r="W548" s="11"/>
      <c r="X548" s="11"/>
      <c r="Y548" s="11"/>
      <c r="Z548" s="11"/>
    </row>
    <row r="549">
      <c r="A549" s="11"/>
      <c r="B549" s="11"/>
      <c r="C549" s="11"/>
      <c r="D549" s="11"/>
      <c r="E549" s="11"/>
      <c r="F549" s="12"/>
      <c r="G549" s="12"/>
      <c r="H549" s="12"/>
      <c r="I549" s="12"/>
      <c r="J549" s="11"/>
      <c r="K549" s="11"/>
      <c r="L549" s="11"/>
      <c r="M549" s="11"/>
      <c r="N549" s="11"/>
      <c r="O549" s="11"/>
      <c r="P549" s="11"/>
      <c r="Q549" s="11"/>
      <c r="R549" s="11"/>
      <c r="S549" s="11"/>
      <c r="T549" s="11"/>
      <c r="U549" s="11"/>
      <c r="V549" s="11"/>
      <c r="W549" s="11"/>
      <c r="X549" s="11"/>
      <c r="Y549" s="11"/>
      <c r="Z549" s="11"/>
    </row>
    <row r="550">
      <c r="A550" s="11"/>
      <c r="B550" s="11"/>
      <c r="C550" s="11"/>
      <c r="D550" s="11"/>
      <c r="E550" s="11"/>
      <c r="F550" s="12"/>
      <c r="G550" s="12"/>
      <c r="H550" s="12"/>
      <c r="I550" s="12"/>
      <c r="J550" s="11"/>
      <c r="K550" s="11"/>
      <c r="L550" s="11"/>
      <c r="M550" s="11"/>
      <c r="N550" s="11"/>
      <c r="O550" s="11"/>
      <c r="P550" s="11"/>
      <c r="Q550" s="11"/>
      <c r="R550" s="11"/>
      <c r="S550" s="11"/>
      <c r="T550" s="11"/>
      <c r="U550" s="11"/>
      <c r="V550" s="11"/>
      <c r="W550" s="11"/>
      <c r="X550" s="11"/>
      <c r="Y550" s="11"/>
      <c r="Z550" s="11"/>
    </row>
    <row r="551">
      <c r="A551" s="11"/>
      <c r="B551" s="11"/>
      <c r="C551" s="11"/>
      <c r="D551" s="11"/>
      <c r="E551" s="11"/>
      <c r="F551" s="12"/>
      <c r="G551" s="12"/>
      <c r="H551" s="12"/>
      <c r="I551" s="12"/>
      <c r="J551" s="11"/>
      <c r="K551" s="11"/>
      <c r="L551" s="11"/>
      <c r="M551" s="11"/>
      <c r="N551" s="11"/>
      <c r="O551" s="11"/>
      <c r="P551" s="11"/>
      <c r="Q551" s="11"/>
      <c r="R551" s="11"/>
      <c r="S551" s="11"/>
      <c r="T551" s="11"/>
      <c r="U551" s="11"/>
      <c r="V551" s="11"/>
      <c r="W551" s="11"/>
      <c r="X551" s="11"/>
      <c r="Y551" s="11"/>
      <c r="Z551" s="11"/>
    </row>
    <row r="552">
      <c r="A552" s="11"/>
      <c r="B552" s="11"/>
      <c r="C552" s="11"/>
      <c r="D552" s="11"/>
      <c r="E552" s="11"/>
      <c r="F552" s="12"/>
      <c r="G552" s="12"/>
      <c r="H552" s="12"/>
      <c r="I552" s="12"/>
      <c r="J552" s="11"/>
      <c r="K552" s="11"/>
      <c r="L552" s="11"/>
      <c r="M552" s="11"/>
      <c r="N552" s="11"/>
      <c r="O552" s="11"/>
      <c r="P552" s="11"/>
      <c r="Q552" s="11"/>
      <c r="R552" s="11"/>
      <c r="S552" s="11"/>
      <c r="T552" s="11"/>
      <c r="U552" s="11"/>
      <c r="V552" s="11"/>
      <c r="W552" s="11"/>
      <c r="X552" s="11"/>
      <c r="Y552" s="11"/>
      <c r="Z552" s="11"/>
    </row>
    <row r="553">
      <c r="A553" s="11"/>
      <c r="B553" s="11"/>
      <c r="C553" s="11"/>
      <c r="D553" s="11"/>
      <c r="E553" s="11"/>
      <c r="F553" s="12"/>
      <c r="G553" s="12"/>
      <c r="H553" s="12"/>
      <c r="I553" s="12"/>
      <c r="J553" s="11"/>
      <c r="K553" s="11"/>
      <c r="L553" s="11"/>
      <c r="M553" s="11"/>
      <c r="N553" s="11"/>
      <c r="O553" s="11"/>
      <c r="P553" s="11"/>
      <c r="Q553" s="11"/>
      <c r="R553" s="11"/>
      <c r="S553" s="11"/>
      <c r="T553" s="11"/>
      <c r="U553" s="11"/>
      <c r="V553" s="11"/>
      <c r="W553" s="11"/>
      <c r="X553" s="11"/>
      <c r="Y553" s="11"/>
      <c r="Z553" s="11"/>
    </row>
    <row r="554">
      <c r="A554" s="11"/>
      <c r="B554" s="11"/>
      <c r="C554" s="11"/>
      <c r="D554" s="11"/>
      <c r="E554" s="11"/>
      <c r="F554" s="12"/>
      <c r="G554" s="12"/>
      <c r="H554" s="12"/>
      <c r="I554" s="12"/>
      <c r="J554" s="11"/>
      <c r="K554" s="11"/>
      <c r="L554" s="11"/>
      <c r="M554" s="11"/>
      <c r="N554" s="11"/>
      <c r="O554" s="11"/>
      <c r="P554" s="11"/>
      <c r="Q554" s="11"/>
      <c r="R554" s="11"/>
      <c r="S554" s="11"/>
      <c r="T554" s="11"/>
      <c r="U554" s="11"/>
      <c r="V554" s="11"/>
      <c r="W554" s="11"/>
      <c r="X554" s="11"/>
      <c r="Y554" s="11"/>
      <c r="Z554" s="11"/>
    </row>
    <row r="555">
      <c r="A555" s="11"/>
      <c r="B555" s="11"/>
      <c r="C555" s="11"/>
      <c r="D555" s="11"/>
      <c r="E555" s="11"/>
      <c r="F555" s="12"/>
      <c r="G555" s="12"/>
      <c r="H555" s="12"/>
      <c r="I555" s="12"/>
      <c r="J555" s="11"/>
      <c r="K555" s="11"/>
      <c r="L555" s="11"/>
      <c r="M555" s="11"/>
      <c r="N555" s="11"/>
      <c r="O555" s="11"/>
      <c r="P555" s="11"/>
      <c r="Q555" s="11"/>
      <c r="R555" s="11"/>
      <c r="S555" s="11"/>
      <c r="T555" s="11"/>
      <c r="U555" s="11"/>
      <c r="V555" s="11"/>
      <c r="W555" s="11"/>
      <c r="X555" s="11"/>
      <c r="Y555" s="11"/>
      <c r="Z555" s="11"/>
    </row>
    <row r="556">
      <c r="A556" s="11"/>
      <c r="B556" s="11"/>
      <c r="C556" s="11"/>
      <c r="D556" s="11"/>
      <c r="E556" s="11"/>
      <c r="F556" s="12"/>
      <c r="G556" s="12"/>
      <c r="H556" s="12"/>
      <c r="I556" s="12"/>
      <c r="J556" s="11"/>
      <c r="K556" s="11"/>
      <c r="L556" s="11"/>
      <c r="M556" s="11"/>
      <c r="N556" s="11"/>
      <c r="O556" s="11"/>
      <c r="P556" s="11"/>
      <c r="Q556" s="11"/>
      <c r="R556" s="11"/>
      <c r="S556" s="11"/>
      <c r="T556" s="11"/>
      <c r="U556" s="11"/>
      <c r="V556" s="11"/>
      <c r="W556" s="11"/>
      <c r="X556" s="11"/>
      <c r="Y556" s="11"/>
      <c r="Z556" s="11"/>
    </row>
    <row r="557">
      <c r="A557" s="11"/>
      <c r="B557" s="11"/>
      <c r="C557" s="11"/>
      <c r="D557" s="11"/>
      <c r="E557" s="11"/>
      <c r="F557" s="12"/>
      <c r="G557" s="12"/>
      <c r="H557" s="12"/>
      <c r="I557" s="12"/>
      <c r="J557" s="11"/>
      <c r="K557" s="11"/>
      <c r="L557" s="11"/>
      <c r="M557" s="11"/>
      <c r="N557" s="11"/>
      <c r="O557" s="11"/>
      <c r="P557" s="11"/>
      <c r="Q557" s="11"/>
      <c r="R557" s="11"/>
      <c r="S557" s="11"/>
      <c r="T557" s="11"/>
      <c r="U557" s="11"/>
      <c r="V557" s="11"/>
      <c r="W557" s="11"/>
      <c r="X557" s="11"/>
      <c r="Y557" s="11"/>
      <c r="Z557" s="11"/>
    </row>
    <row r="558">
      <c r="A558" s="11"/>
      <c r="B558" s="11"/>
      <c r="C558" s="11"/>
      <c r="D558" s="11"/>
      <c r="E558" s="11"/>
      <c r="F558" s="12"/>
      <c r="G558" s="12"/>
      <c r="H558" s="12"/>
      <c r="I558" s="12"/>
      <c r="J558" s="11"/>
      <c r="K558" s="11"/>
      <c r="L558" s="11"/>
      <c r="M558" s="11"/>
      <c r="N558" s="11"/>
      <c r="O558" s="11"/>
      <c r="P558" s="11"/>
      <c r="Q558" s="11"/>
      <c r="R558" s="11"/>
      <c r="S558" s="11"/>
      <c r="T558" s="11"/>
      <c r="U558" s="11"/>
      <c r="V558" s="11"/>
      <c r="W558" s="11"/>
      <c r="X558" s="11"/>
      <c r="Y558" s="11"/>
      <c r="Z558" s="11"/>
    </row>
    <row r="559">
      <c r="A559" s="11"/>
      <c r="B559" s="11"/>
      <c r="C559" s="11"/>
      <c r="D559" s="11"/>
      <c r="E559" s="11"/>
      <c r="F559" s="12"/>
      <c r="G559" s="12"/>
      <c r="H559" s="12"/>
      <c r="I559" s="12"/>
      <c r="J559" s="11"/>
      <c r="K559" s="11"/>
      <c r="L559" s="11"/>
      <c r="M559" s="11"/>
      <c r="N559" s="11"/>
      <c r="O559" s="11"/>
      <c r="P559" s="11"/>
      <c r="Q559" s="11"/>
      <c r="R559" s="11"/>
      <c r="S559" s="11"/>
      <c r="T559" s="11"/>
      <c r="U559" s="11"/>
      <c r="V559" s="11"/>
      <c r="W559" s="11"/>
      <c r="X559" s="11"/>
      <c r="Y559" s="11"/>
      <c r="Z559" s="11"/>
    </row>
    <row r="560">
      <c r="A560" s="11"/>
      <c r="B560" s="11"/>
      <c r="C560" s="11"/>
      <c r="D560" s="11"/>
      <c r="E560" s="11"/>
      <c r="F560" s="12"/>
      <c r="G560" s="12"/>
      <c r="H560" s="12"/>
      <c r="I560" s="12"/>
      <c r="J560" s="11"/>
      <c r="K560" s="11"/>
      <c r="L560" s="11"/>
      <c r="M560" s="11"/>
      <c r="N560" s="11"/>
      <c r="O560" s="11"/>
      <c r="P560" s="11"/>
      <c r="Q560" s="11"/>
      <c r="R560" s="11"/>
      <c r="S560" s="11"/>
      <c r="T560" s="11"/>
      <c r="U560" s="11"/>
      <c r="V560" s="11"/>
      <c r="W560" s="11"/>
      <c r="X560" s="11"/>
      <c r="Y560" s="11"/>
      <c r="Z560" s="11"/>
    </row>
    <row r="561">
      <c r="A561" s="11"/>
      <c r="B561" s="11"/>
      <c r="C561" s="11"/>
      <c r="D561" s="11"/>
      <c r="E561" s="11"/>
      <c r="F561" s="12"/>
      <c r="G561" s="12"/>
      <c r="H561" s="12"/>
      <c r="I561" s="12"/>
      <c r="J561" s="11"/>
      <c r="K561" s="11"/>
      <c r="L561" s="11"/>
      <c r="M561" s="11"/>
      <c r="N561" s="11"/>
      <c r="O561" s="11"/>
      <c r="P561" s="11"/>
      <c r="Q561" s="11"/>
      <c r="R561" s="11"/>
      <c r="S561" s="11"/>
      <c r="T561" s="11"/>
      <c r="U561" s="11"/>
      <c r="V561" s="11"/>
      <c r="W561" s="11"/>
      <c r="X561" s="11"/>
      <c r="Y561" s="11"/>
      <c r="Z561" s="11"/>
    </row>
    <row r="562">
      <c r="A562" s="11"/>
      <c r="B562" s="11"/>
      <c r="C562" s="11"/>
      <c r="D562" s="11"/>
      <c r="E562" s="11"/>
      <c r="F562" s="12"/>
      <c r="G562" s="12"/>
      <c r="H562" s="12"/>
      <c r="I562" s="12"/>
      <c r="J562" s="11"/>
      <c r="K562" s="11"/>
      <c r="L562" s="11"/>
      <c r="M562" s="11"/>
      <c r="N562" s="11"/>
      <c r="O562" s="11"/>
      <c r="P562" s="11"/>
      <c r="Q562" s="11"/>
      <c r="R562" s="11"/>
      <c r="S562" s="11"/>
      <c r="T562" s="11"/>
      <c r="U562" s="11"/>
      <c r="V562" s="11"/>
      <c r="W562" s="11"/>
      <c r="X562" s="11"/>
      <c r="Y562" s="11"/>
      <c r="Z562" s="11"/>
    </row>
    <row r="563">
      <c r="A563" s="11"/>
      <c r="B563" s="11"/>
      <c r="C563" s="11"/>
      <c r="D563" s="11"/>
      <c r="E563" s="11"/>
      <c r="F563" s="12"/>
      <c r="G563" s="12"/>
      <c r="H563" s="12"/>
      <c r="I563" s="12"/>
      <c r="J563" s="11"/>
      <c r="K563" s="11"/>
      <c r="L563" s="11"/>
      <c r="M563" s="11"/>
      <c r="N563" s="11"/>
      <c r="O563" s="11"/>
      <c r="P563" s="11"/>
      <c r="Q563" s="11"/>
      <c r="R563" s="11"/>
      <c r="S563" s="11"/>
      <c r="T563" s="11"/>
      <c r="U563" s="11"/>
      <c r="V563" s="11"/>
      <c r="W563" s="11"/>
      <c r="X563" s="11"/>
      <c r="Y563" s="11"/>
      <c r="Z563" s="11"/>
    </row>
    <row r="564">
      <c r="A564" s="11"/>
      <c r="B564" s="11"/>
      <c r="C564" s="11"/>
      <c r="D564" s="11"/>
      <c r="E564" s="11"/>
      <c r="F564" s="12"/>
      <c r="G564" s="12"/>
      <c r="H564" s="12"/>
      <c r="I564" s="12"/>
      <c r="J564" s="11"/>
      <c r="K564" s="11"/>
      <c r="L564" s="11"/>
      <c r="M564" s="11"/>
      <c r="N564" s="11"/>
      <c r="O564" s="11"/>
      <c r="P564" s="11"/>
      <c r="Q564" s="11"/>
      <c r="R564" s="11"/>
      <c r="S564" s="11"/>
      <c r="T564" s="11"/>
      <c r="U564" s="11"/>
      <c r="V564" s="11"/>
      <c r="W564" s="11"/>
      <c r="X564" s="11"/>
      <c r="Y564" s="11"/>
      <c r="Z564" s="11"/>
    </row>
    <row r="565">
      <c r="A565" s="11"/>
      <c r="B565" s="11"/>
      <c r="C565" s="11"/>
      <c r="D565" s="11"/>
      <c r="E565" s="11"/>
      <c r="F565" s="12"/>
      <c r="G565" s="12"/>
      <c r="H565" s="12"/>
      <c r="I565" s="12"/>
      <c r="J565" s="11"/>
      <c r="K565" s="11"/>
      <c r="L565" s="11"/>
      <c r="M565" s="11"/>
      <c r="N565" s="11"/>
      <c r="O565" s="11"/>
      <c r="P565" s="11"/>
      <c r="Q565" s="11"/>
      <c r="R565" s="11"/>
      <c r="S565" s="11"/>
      <c r="T565" s="11"/>
      <c r="U565" s="11"/>
      <c r="V565" s="11"/>
      <c r="W565" s="11"/>
      <c r="X565" s="11"/>
      <c r="Y565" s="11"/>
      <c r="Z565" s="11"/>
    </row>
    <row r="566">
      <c r="A566" s="11"/>
      <c r="B566" s="11"/>
      <c r="C566" s="11"/>
      <c r="D566" s="11"/>
      <c r="E566" s="11"/>
      <c r="F566" s="12"/>
      <c r="G566" s="12"/>
      <c r="H566" s="12"/>
      <c r="I566" s="12"/>
      <c r="J566" s="11"/>
      <c r="K566" s="11"/>
      <c r="L566" s="11"/>
      <c r="M566" s="11"/>
      <c r="N566" s="11"/>
      <c r="O566" s="11"/>
      <c r="P566" s="11"/>
      <c r="Q566" s="11"/>
      <c r="R566" s="11"/>
      <c r="S566" s="11"/>
      <c r="T566" s="11"/>
      <c r="U566" s="11"/>
      <c r="V566" s="11"/>
      <c r="W566" s="11"/>
      <c r="X566" s="11"/>
      <c r="Y566" s="11"/>
      <c r="Z566" s="11"/>
    </row>
    <row r="567">
      <c r="A567" s="11"/>
      <c r="B567" s="11"/>
      <c r="C567" s="11"/>
      <c r="D567" s="11"/>
      <c r="E567" s="11"/>
      <c r="F567" s="12"/>
      <c r="G567" s="12"/>
      <c r="H567" s="12"/>
      <c r="I567" s="12"/>
      <c r="J567" s="11"/>
      <c r="K567" s="11"/>
      <c r="L567" s="11"/>
      <c r="M567" s="11"/>
      <c r="N567" s="11"/>
      <c r="O567" s="11"/>
      <c r="P567" s="11"/>
      <c r="Q567" s="11"/>
      <c r="R567" s="11"/>
      <c r="S567" s="11"/>
      <c r="T567" s="11"/>
      <c r="U567" s="11"/>
      <c r="V567" s="11"/>
      <c r="W567" s="11"/>
      <c r="X567" s="11"/>
      <c r="Y567" s="11"/>
      <c r="Z567" s="11"/>
    </row>
    <row r="568">
      <c r="A568" s="11"/>
      <c r="B568" s="11"/>
      <c r="C568" s="11"/>
      <c r="D568" s="11"/>
      <c r="E568" s="11"/>
      <c r="F568" s="12"/>
      <c r="G568" s="12"/>
      <c r="H568" s="12"/>
      <c r="I568" s="12"/>
      <c r="J568" s="11"/>
      <c r="K568" s="11"/>
      <c r="L568" s="11"/>
      <c r="M568" s="11"/>
      <c r="N568" s="11"/>
      <c r="O568" s="11"/>
      <c r="P568" s="11"/>
      <c r="Q568" s="11"/>
      <c r="R568" s="11"/>
      <c r="S568" s="11"/>
      <c r="T568" s="11"/>
      <c r="U568" s="11"/>
      <c r="V568" s="11"/>
      <c r="W568" s="11"/>
      <c r="X568" s="11"/>
      <c r="Y568" s="11"/>
      <c r="Z568" s="11"/>
    </row>
    <row r="569">
      <c r="A569" s="11"/>
      <c r="B569" s="11"/>
      <c r="C569" s="11"/>
      <c r="D569" s="11"/>
      <c r="E569" s="11"/>
      <c r="F569" s="12"/>
      <c r="G569" s="12"/>
      <c r="H569" s="12"/>
      <c r="I569" s="12"/>
      <c r="J569" s="11"/>
      <c r="K569" s="11"/>
      <c r="L569" s="11"/>
      <c r="M569" s="11"/>
      <c r="N569" s="11"/>
      <c r="O569" s="11"/>
      <c r="P569" s="11"/>
      <c r="Q569" s="11"/>
      <c r="R569" s="11"/>
      <c r="S569" s="11"/>
      <c r="T569" s="11"/>
      <c r="U569" s="11"/>
      <c r="V569" s="11"/>
      <c r="W569" s="11"/>
      <c r="X569" s="11"/>
      <c r="Y569" s="11"/>
      <c r="Z569" s="11"/>
    </row>
    <row r="570">
      <c r="A570" s="11"/>
      <c r="B570" s="11"/>
      <c r="C570" s="11"/>
      <c r="D570" s="11"/>
      <c r="E570" s="11"/>
      <c r="F570" s="12"/>
      <c r="G570" s="12"/>
      <c r="H570" s="12"/>
      <c r="I570" s="12"/>
      <c r="J570" s="11"/>
      <c r="K570" s="11"/>
      <c r="L570" s="11"/>
      <c r="M570" s="11"/>
      <c r="N570" s="11"/>
      <c r="O570" s="11"/>
      <c r="P570" s="11"/>
      <c r="Q570" s="11"/>
      <c r="R570" s="11"/>
      <c r="S570" s="11"/>
      <c r="T570" s="11"/>
      <c r="U570" s="11"/>
      <c r="V570" s="11"/>
      <c r="W570" s="11"/>
      <c r="X570" s="11"/>
      <c r="Y570" s="11"/>
      <c r="Z570" s="11"/>
    </row>
    <row r="571">
      <c r="A571" s="11"/>
      <c r="B571" s="11"/>
      <c r="C571" s="11"/>
      <c r="D571" s="11"/>
      <c r="E571" s="11"/>
      <c r="F571" s="12"/>
      <c r="G571" s="12"/>
      <c r="H571" s="12"/>
      <c r="I571" s="12"/>
      <c r="J571" s="11"/>
      <c r="K571" s="11"/>
      <c r="L571" s="11"/>
      <c r="M571" s="11"/>
      <c r="N571" s="11"/>
      <c r="O571" s="11"/>
      <c r="P571" s="11"/>
      <c r="Q571" s="11"/>
      <c r="R571" s="11"/>
      <c r="S571" s="11"/>
      <c r="T571" s="11"/>
      <c r="U571" s="11"/>
      <c r="V571" s="11"/>
      <c r="W571" s="11"/>
      <c r="X571" s="11"/>
      <c r="Y571" s="11"/>
      <c r="Z571" s="11"/>
    </row>
    <row r="572">
      <c r="A572" s="11"/>
      <c r="B572" s="11"/>
      <c r="C572" s="11"/>
      <c r="D572" s="11"/>
      <c r="E572" s="11"/>
      <c r="F572" s="12"/>
      <c r="G572" s="12"/>
      <c r="H572" s="12"/>
      <c r="I572" s="12"/>
      <c r="J572" s="11"/>
      <c r="K572" s="11"/>
      <c r="L572" s="11"/>
      <c r="M572" s="11"/>
      <c r="N572" s="11"/>
      <c r="O572" s="11"/>
      <c r="P572" s="11"/>
      <c r="Q572" s="11"/>
      <c r="R572" s="11"/>
      <c r="S572" s="11"/>
      <c r="T572" s="11"/>
      <c r="U572" s="11"/>
      <c r="V572" s="11"/>
      <c r="W572" s="11"/>
      <c r="X572" s="11"/>
      <c r="Y572" s="11"/>
      <c r="Z572" s="11"/>
    </row>
    <row r="573">
      <c r="A573" s="11"/>
      <c r="B573" s="11"/>
      <c r="C573" s="11"/>
      <c r="D573" s="11"/>
      <c r="E573" s="11"/>
      <c r="F573" s="12"/>
      <c r="G573" s="12"/>
      <c r="H573" s="12"/>
      <c r="I573" s="12"/>
      <c r="J573" s="11"/>
      <c r="K573" s="11"/>
      <c r="L573" s="11"/>
      <c r="M573" s="11"/>
      <c r="N573" s="11"/>
      <c r="O573" s="11"/>
      <c r="P573" s="11"/>
      <c r="Q573" s="11"/>
      <c r="R573" s="11"/>
      <c r="S573" s="11"/>
      <c r="T573" s="11"/>
      <c r="U573" s="11"/>
      <c r="V573" s="11"/>
      <c r="W573" s="11"/>
      <c r="X573" s="11"/>
      <c r="Y573" s="11"/>
      <c r="Z573" s="11"/>
    </row>
    <row r="574">
      <c r="A574" s="11"/>
      <c r="B574" s="11"/>
      <c r="C574" s="11"/>
      <c r="D574" s="11"/>
      <c r="E574" s="11"/>
      <c r="F574" s="12"/>
      <c r="G574" s="12"/>
      <c r="H574" s="12"/>
      <c r="I574" s="12"/>
      <c r="J574" s="11"/>
      <c r="K574" s="11"/>
      <c r="L574" s="11"/>
      <c r="M574" s="11"/>
      <c r="N574" s="11"/>
      <c r="O574" s="11"/>
      <c r="P574" s="11"/>
      <c r="Q574" s="11"/>
      <c r="R574" s="11"/>
      <c r="S574" s="11"/>
      <c r="T574" s="11"/>
      <c r="U574" s="11"/>
      <c r="V574" s="11"/>
      <c r="W574" s="11"/>
      <c r="X574" s="11"/>
      <c r="Y574" s="11"/>
      <c r="Z574" s="11"/>
    </row>
    <row r="575">
      <c r="A575" s="11"/>
      <c r="B575" s="11"/>
      <c r="C575" s="11"/>
      <c r="D575" s="11"/>
      <c r="E575" s="11"/>
      <c r="F575" s="12"/>
      <c r="G575" s="12"/>
      <c r="H575" s="12"/>
      <c r="I575" s="12"/>
      <c r="J575" s="11"/>
      <c r="K575" s="11"/>
      <c r="L575" s="11"/>
      <c r="M575" s="11"/>
      <c r="N575" s="11"/>
      <c r="O575" s="11"/>
      <c r="P575" s="11"/>
      <c r="Q575" s="11"/>
      <c r="R575" s="11"/>
      <c r="S575" s="11"/>
      <c r="T575" s="11"/>
      <c r="U575" s="11"/>
      <c r="V575" s="11"/>
      <c r="W575" s="11"/>
      <c r="X575" s="11"/>
      <c r="Y575" s="11"/>
      <c r="Z575" s="11"/>
    </row>
    <row r="576">
      <c r="A576" s="11"/>
      <c r="B576" s="11"/>
      <c r="C576" s="11"/>
      <c r="D576" s="11"/>
      <c r="E576" s="11"/>
      <c r="F576" s="12"/>
      <c r="G576" s="12"/>
      <c r="H576" s="12"/>
      <c r="I576" s="12"/>
      <c r="J576" s="11"/>
      <c r="K576" s="11"/>
      <c r="L576" s="11"/>
      <c r="M576" s="11"/>
      <c r="N576" s="11"/>
      <c r="O576" s="11"/>
      <c r="P576" s="11"/>
      <c r="Q576" s="11"/>
      <c r="R576" s="11"/>
      <c r="S576" s="11"/>
      <c r="T576" s="11"/>
      <c r="U576" s="11"/>
      <c r="V576" s="11"/>
      <c r="W576" s="11"/>
      <c r="X576" s="11"/>
      <c r="Y576" s="11"/>
      <c r="Z576" s="11"/>
    </row>
    <row r="577">
      <c r="A577" s="11"/>
      <c r="B577" s="11"/>
      <c r="C577" s="11"/>
      <c r="D577" s="11"/>
      <c r="E577" s="11"/>
      <c r="F577" s="12"/>
      <c r="G577" s="12"/>
      <c r="H577" s="12"/>
      <c r="I577" s="12"/>
      <c r="J577" s="11"/>
      <c r="K577" s="11"/>
      <c r="L577" s="11"/>
      <c r="M577" s="11"/>
      <c r="N577" s="11"/>
      <c r="O577" s="11"/>
      <c r="P577" s="11"/>
      <c r="Q577" s="11"/>
      <c r="R577" s="11"/>
      <c r="S577" s="11"/>
      <c r="T577" s="11"/>
      <c r="U577" s="11"/>
      <c r="V577" s="11"/>
      <c r="W577" s="11"/>
      <c r="X577" s="11"/>
      <c r="Y577" s="11"/>
      <c r="Z577" s="11"/>
    </row>
    <row r="578">
      <c r="A578" s="11"/>
      <c r="B578" s="11"/>
      <c r="C578" s="11"/>
      <c r="D578" s="11"/>
      <c r="E578" s="11"/>
      <c r="F578" s="12"/>
      <c r="G578" s="12"/>
      <c r="H578" s="12"/>
      <c r="I578" s="12"/>
      <c r="J578" s="11"/>
      <c r="K578" s="11"/>
      <c r="L578" s="11"/>
      <c r="M578" s="11"/>
      <c r="N578" s="11"/>
      <c r="O578" s="11"/>
      <c r="P578" s="11"/>
      <c r="Q578" s="11"/>
      <c r="R578" s="11"/>
      <c r="S578" s="11"/>
      <c r="T578" s="11"/>
      <c r="U578" s="11"/>
      <c r="V578" s="11"/>
      <c r="W578" s="11"/>
      <c r="X578" s="11"/>
      <c r="Y578" s="11"/>
      <c r="Z578" s="11"/>
    </row>
    <row r="579">
      <c r="A579" s="11"/>
      <c r="B579" s="11"/>
      <c r="C579" s="11"/>
      <c r="D579" s="11"/>
      <c r="E579" s="11"/>
      <c r="F579" s="12"/>
      <c r="G579" s="12"/>
      <c r="H579" s="12"/>
      <c r="I579" s="12"/>
      <c r="J579" s="11"/>
      <c r="K579" s="11"/>
      <c r="L579" s="11"/>
      <c r="M579" s="11"/>
      <c r="N579" s="11"/>
      <c r="O579" s="11"/>
      <c r="P579" s="11"/>
      <c r="Q579" s="11"/>
      <c r="R579" s="11"/>
      <c r="S579" s="11"/>
      <c r="T579" s="11"/>
      <c r="U579" s="11"/>
      <c r="V579" s="11"/>
      <c r="W579" s="11"/>
      <c r="X579" s="11"/>
      <c r="Y579" s="11"/>
      <c r="Z579" s="11"/>
    </row>
    <row r="580">
      <c r="A580" s="11"/>
      <c r="B580" s="11"/>
      <c r="C580" s="11"/>
      <c r="D580" s="11"/>
      <c r="E580" s="11"/>
      <c r="F580" s="12"/>
      <c r="G580" s="12"/>
      <c r="H580" s="12"/>
      <c r="I580" s="12"/>
      <c r="J580" s="11"/>
      <c r="K580" s="11"/>
      <c r="L580" s="11"/>
      <c r="M580" s="11"/>
      <c r="N580" s="11"/>
      <c r="O580" s="11"/>
      <c r="P580" s="11"/>
      <c r="Q580" s="11"/>
      <c r="R580" s="11"/>
      <c r="S580" s="11"/>
      <c r="T580" s="11"/>
      <c r="U580" s="11"/>
      <c r="V580" s="11"/>
      <c r="W580" s="11"/>
      <c r="X580" s="11"/>
      <c r="Y580" s="11"/>
      <c r="Z580" s="11"/>
    </row>
    <row r="581">
      <c r="A581" s="11"/>
      <c r="B581" s="11"/>
      <c r="C581" s="11"/>
      <c r="D581" s="11"/>
      <c r="E581" s="11"/>
      <c r="F581" s="12"/>
      <c r="G581" s="12"/>
      <c r="H581" s="12"/>
      <c r="I581" s="12"/>
      <c r="J581" s="11"/>
      <c r="K581" s="11"/>
      <c r="L581" s="11"/>
      <c r="M581" s="11"/>
      <c r="N581" s="11"/>
      <c r="O581" s="11"/>
      <c r="P581" s="11"/>
      <c r="Q581" s="11"/>
      <c r="R581" s="11"/>
      <c r="S581" s="11"/>
      <c r="T581" s="11"/>
      <c r="U581" s="11"/>
      <c r="V581" s="11"/>
      <c r="W581" s="11"/>
      <c r="X581" s="11"/>
      <c r="Y581" s="11"/>
      <c r="Z581" s="11"/>
    </row>
    <row r="582">
      <c r="A582" s="11"/>
      <c r="B582" s="11"/>
      <c r="C582" s="11"/>
      <c r="D582" s="11"/>
      <c r="E582" s="11"/>
      <c r="F582" s="12"/>
      <c r="G582" s="12"/>
      <c r="H582" s="12"/>
      <c r="I582" s="12"/>
      <c r="J582" s="11"/>
      <c r="K582" s="11"/>
      <c r="L582" s="11"/>
      <c r="M582" s="11"/>
      <c r="N582" s="11"/>
      <c r="O582" s="11"/>
      <c r="P582" s="11"/>
      <c r="Q582" s="11"/>
      <c r="R582" s="11"/>
      <c r="S582" s="11"/>
      <c r="T582" s="11"/>
      <c r="U582" s="11"/>
      <c r="V582" s="11"/>
      <c r="W582" s="11"/>
      <c r="X582" s="11"/>
      <c r="Y582" s="11"/>
      <c r="Z582" s="11"/>
    </row>
    <row r="583">
      <c r="A583" s="11"/>
      <c r="B583" s="11"/>
      <c r="C583" s="11"/>
      <c r="D583" s="11"/>
      <c r="E583" s="11"/>
      <c r="F583" s="12"/>
      <c r="G583" s="12"/>
      <c r="H583" s="12"/>
      <c r="I583" s="12"/>
      <c r="J583" s="11"/>
      <c r="K583" s="11"/>
      <c r="L583" s="11"/>
      <c r="M583" s="11"/>
      <c r="N583" s="11"/>
      <c r="O583" s="11"/>
      <c r="P583" s="11"/>
      <c r="Q583" s="11"/>
      <c r="R583" s="11"/>
      <c r="S583" s="11"/>
      <c r="T583" s="11"/>
      <c r="U583" s="11"/>
      <c r="V583" s="11"/>
      <c r="W583" s="11"/>
      <c r="X583" s="11"/>
      <c r="Y583" s="11"/>
      <c r="Z583" s="11"/>
    </row>
    <row r="584">
      <c r="A584" s="11"/>
      <c r="B584" s="11"/>
      <c r="C584" s="11"/>
      <c r="D584" s="11"/>
      <c r="E584" s="11"/>
      <c r="F584" s="12"/>
      <c r="G584" s="12"/>
      <c r="H584" s="12"/>
      <c r="I584" s="12"/>
      <c r="J584" s="11"/>
      <c r="K584" s="11"/>
      <c r="L584" s="11"/>
      <c r="M584" s="11"/>
      <c r="N584" s="11"/>
      <c r="O584" s="11"/>
      <c r="P584" s="11"/>
      <c r="Q584" s="11"/>
      <c r="R584" s="11"/>
      <c r="S584" s="11"/>
      <c r="T584" s="11"/>
      <c r="U584" s="11"/>
      <c r="V584" s="11"/>
      <c r="W584" s="11"/>
      <c r="X584" s="11"/>
      <c r="Y584" s="11"/>
      <c r="Z584" s="11"/>
    </row>
    <row r="585">
      <c r="A585" s="11"/>
      <c r="B585" s="11"/>
      <c r="C585" s="11"/>
      <c r="D585" s="11"/>
      <c r="E585" s="11"/>
      <c r="F585" s="12"/>
      <c r="G585" s="12"/>
      <c r="H585" s="12"/>
      <c r="I585" s="12"/>
      <c r="J585" s="11"/>
      <c r="K585" s="11"/>
      <c r="L585" s="11"/>
      <c r="M585" s="11"/>
      <c r="N585" s="11"/>
      <c r="O585" s="11"/>
      <c r="P585" s="11"/>
      <c r="Q585" s="11"/>
      <c r="R585" s="11"/>
      <c r="S585" s="11"/>
      <c r="T585" s="11"/>
      <c r="U585" s="11"/>
      <c r="V585" s="11"/>
      <c r="W585" s="11"/>
      <c r="X585" s="11"/>
      <c r="Y585" s="11"/>
      <c r="Z585" s="11"/>
    </row>
    <row r="586">
      <c r="A586" s="11"/>
      <c r="B586" s="11"/>
      <c r="C586" s="11"/>
      <c r="D586" s="11"/>
      <c r="E586" s="11"/>
      <c r="F586" s="12"/>
      <c r="G586" s="12"/>
      <c r="H586" s="12"/>
      <c r="I586" s="12"/>
      <c r="J586" s="11"/>
      <c r="K586" s="11"/>
      <c r="L586" s="11"/>
      <c r="M586" s="11"/>
      <c r="N586" s="11"/>
      <c r="O586" s="11"/>
      <c r="P586" s="11"/>
      <c r="Q586" s="11"/>
      <c r="R586" s="11"/>
      <c r="S586" s="11"/>
      <c r="T586" s="11"/>
      <c r="U586" s="11"/>
      <c r="V586" s="11"/>
      <c r="W586" s="11"/>
      <c r="X586" s="11"/>
      <c r="Y586" s="11"/>
      <c r="Z586" s="11"/>
    </row>
    <row r="587">
      <c r="A587" s="11"/>
      <c r="B587" s="11"/>
      <c r="C587" s="11"/>
      <c r="D587" s="11"/>
      <c r="E587" s="11"/>
      <c r="F587" s="12"/>
      <c r="G587" s="12"/>
      <c r="H587" s="12"/>
      <c r="I587" s="12"/>
      <c r="J587" s="11"/>
      <c r="K587" s="11"/>
      <c r="L587" s="11"/>
      <c r="M587" s="11"/>
      <c r="N587" s="11"/>
      <c r="O587" s="11"/>
      <c r="P587" s="11"/>
      <c r="Q587" s="11"/>
      <c r="R587" s="11"/>
      <c r="S587" s="11"/>
      <c r="T587" s="11"/>
      <c r="U587" s="11"/>
      <c r="V587" s="11"/>
      <c r="W587" s="11"/>
      <c r="X587" s="11"/>
      <c r="Y587" s="11"/>
      <c r="Z587" s="11"/>
    </row>
    <row r="588">
      <c r="A588" s="11"/>
      <c r="B588" s="11"/>
      <c r="C588" s="11"/>
      <c r="D588" s="11"/>
      <c r="E588" s="11"/>
      <c r="F588" s="12"/>
      <c r="G588" s="12"/>
      <c r="H588" s="12"/>
      <c r="I588" s="12"/>
      <c r="J588" s="11"/>
      <c r="K588" s="11"/>
      <c r="L588" s="11"/>
      <c r="M588" s="11"/>
      <c r="N588" s="11"/>
      <c r="O588" s="11"/>
      <c r="P588" s="11"/>
      <c r="Q588" s="11"/>
      <c r="R588" s="11"/>
      <c r="S588" s="11"/>
      <c r="T588" s="11"/>
      <c r="U588" s="11"/>
      <c r="V588" s="11"/>
      <c r="W588" s="11"/>
      <c r="X588" s="11"/>
      <c r="Y588" s="11"/>
      <c r="Z588" s="11"/>
    </row>
    <row r="589">
      <c r="A589" s="11"/>
      <c r="B589" s="11"/>
      <c r="C589" s="11"/>
      <c r="D589" s="11"/>
      <c r="E589" s="11"/>
      <c r="F589" s="12"/>
      <c r="G589" s="12"/>
      <c r="H589" s="12"/>
      <c r="I589" s="12"/>
      <c r="J589" s="11"/>
      <c r="K589" s="11"/>
      <c r="L589" s="11"/>
      <c r="M589" s="11"/>
      <c r="N589" s="11"/>
      <c r="O589" s="11"/>
      <c r="P589" s="11"/>
      <c r="Q589" s="11"/>
      <c r="R589" s="11"/>
      <c r="S589" s="11"/>
      <c r="T589" s="11"/>
      <c r="U589" s="11"/>
      <c r="V589" s="11"/>
      <c r="W589" s="11"/>
      <c r="X589" s="11"/>
      <c r="Y589" s="11"/>
      <c r="Z589" s="11"/>
    </row>
    <row r="590">
      <c r="A590" s="11"/>
      <c r="B590" s="11"/>
      <c r="C590" s="11"/>
      <c r="D590" s="11"/>
      <c r="E590" s="11"/>
      <c r="F590" s="12"/>
      <c r="G590" s="12"/>
      <c r="H590" s="12"/>
      <c r="I590" s="12"/>
      <c r="J590" s="11"/>
      <c r="K590" s="11"/>
      <c r="L590" s="11"/>
      <c r="M590" s="11"/>
      <c r="N590" s="11"/>
      <c r="O590" s="11"/>
      <c r="P590" s="11"/>
      <c r="Q590" s="11"/>
      <c r="R590" s="11"/>
      <c r="S590" s="11"/>
      <c r="T590" s="11"/>
      <c r="U590" s="11"/>
      <c r="V590" s="11"/>
      <c r="W590" s="11"/>
      <c r="X590" s="11"/>
      <c r="Y590" s="11"/>
      <c r="Z590" s="11"/>
    </row>
    <row r="591">
      <c r="A591" s="11"/>
      <c r="B591" s="11"/>
      <c r="C591" s="11"/>
      <c r="D591" s="11"/>
      <c r="E591" s="11"/>
      <c r="F591" s="12"/>
      <c r="G591" s="12"/>
      <c r="H591" s="12"/>
      <c r="I591" s="12"/>
      <c r="J591" s="11"/>
      <c r="K591" s="11"/>
      <c r="L591" s="11"/>
      <c r="M591" s="11"/>
      <c r="N591" s="11"/>
      <c r="O591" s="11"/>
      <c r="P591" s="11"/>
      <c r="Q591" s="11"/>
      <c r="R591" s="11"/>
      <c r="S591" s="11"/>
      <c r="T591" s="11"/>
      <c r="U591" s="11"/>
      <c r="V591" s="11"/>
      <c r="W591" s="11"/>
      <c r="X591" s="11"/>
      <c r="Y591" s="11"/>
      <c r="Z591" s="11"/>
    </row>
    <row r="592">
      <c r="A592" s="11"/>
      <c r="B592" s="11"/>
      <c r="C592" s="11"/>
      <c r="D592" s="11"/>
      <c r="E592" s="11"/>
      <c r="F592" s="12"/>
      <c r="G592" s="12"/>
      <c r="H592" s="12"/>
      <c r="I592" s="12"/>
      <c r="J592" s="11"/>
      <c r="K592" s="11"/>
      <c r="L592" s="11"/>
      <c r="M592" s="11"/>
      <c r="N592" s="11"/>
      <c r="O592" s="11"/>
      <c r="P592" s="11"/>
      <c r="Q592" s="11"/>
      <c r="R592" s="11"/>
      <c r="S592" s="11"/>
      <c r="T592" s="11"/>
      <c r="U592" s="11"/>
      <c r="V592" s="11"/>
      <c r="W592" s="11"/>
      <c r="X592" s="11"/>
      <c r="Y592" s="11"/>
      <c r="Z592" s="11"/>
    </row>
    <row r="593">
      <c r="A593" s="11"/>
      <c r="B593" s="11"/>
      <c r="C593" s="11"/>
      <c r="D593" s="11"/>
      <c r="E593" s="11"/>
      <c r="F593" s="12"/>
      <c r="G593" s="12"/>
      <c r="H593" s="12"/>
      <c r="I593" s="12"/>
      <c r="J593" s="11"/>
      <c r="K593" s="11"/>
      <c r="L593" s="11"/>
      <c r="M593" s="11"/>
      <c r="N593" s="11"/>
      <c r="O593" s="11"/>
      <c r="P593" s="11"/>
      <c r="Q593" s="11"/>
      <c r="R593" s="11"/>
      <c r="S593" s="11"/>
      <c r="T593" s="11"/>
      <c r="U593" s="11"/>
      <c r="V593" s="11"/>
      <c r="W593" s="11"/>
      <c r="X593" s="11"/>
      <c r="Y593" s="11"/>
      <c r="Z593" s="11"/>
    </row>
    <row r="594">
      <c r="A594" s="11"/>
      <c r="B594" s="11"/>
      <c r="C594" s="11"/>
      <c r="D594" s="11"/>
      <c r="E594" s="11"/>
      <c r="F594" s="12"/>
      <c r="G594" s="12"/>
      <c r="H594" s="12"/>
      <c r="I594" s="12"/>
      <c r="J594" s="11"/>
      <c r="K594" s="11"/>
      <c r="L594" s="11"/>
      <c r="M594" s="11"/>
      <c r="N594" s="11"/>
      <c r="O594" s="11"/>
      <c r="P594" s="11"/>
      <c r="Q594" s="11"/>
      <c r="R594" s="11"/>
      <c r="S594" s="11"/>
      <c r="T594" s="11"/>
      <c r="U594" s="11"/>
      <c r="V594" s="11"/>
      <c r="W594" s="11"/>
      <c r="X594" s="11"/>
      <c r="Y594" s="11"/>
      <c r="Z594" s="11"/>
    </row>
    <row r="595">
      <c r="A595" s="11"/>
      <c r="B595" s="11"/>
      <c r="C595" s="11"/>
      <c r="D595" s="11"/>
      <c r="E595" s="11"/>
      <c r="F595" s="12"/>
      <c r="G595" s="12"/>
      <c r="H595" s="12"/>
      <c r="I595" s="12"/>
      <c r="J595" s="11"/>
      <c r="K595" s="11"/>
      <c r="L595" s="11"/>
      <c r="M595" s="11"/>
      <c r="N595" s="11"/>
      <c r="O595" s="11"/>
      <c r="P595" s="11"/>
      <c r="Q595" s="11"/>
      <c r="R595" s="11"/>
      <c r="S595" s="11"/>
      <c r="T595" s="11"/>
      <c r="U595" s="11"/>
      <c r="V595" s="11"/>
      <c r="W595" s="11"/>
      <c r="X595" s="11"/>
      <c r="Y595" s="11"/>
      <c r="Z595" s="11"/>
    </row>
    <row r="596">
      <c r="A596" s="11"/>
      <c r="B596" s="11"/>
      <c r="C596" s="11"/>
      <c r="D596" s="11"/>
      <c r="E596" s="11"/>
      <c r="F596" s="12"/>
      <c r="G596" s="12"/>
      <c r="H596" s="12"/>
      <c r="I596" s="12"/>
      <c r="J596" s="11"/>
      <c r="K596" s="11"/>
      <c r="L596" s="11"/>
      <c r="M596" s="11"/>
      <c r="N596" s="11"/>
      <c r="O596" s="11"/>
      <c r="P596" s="11"/>
      <c r="Q596" s="11"/>
      <c r="R596" s="11"/>
      <c r="S596" s="11"/>
      <c r="T596" s="11"/>
      <c r="U596" s="11"/>
      <c r="V596" s="11"/>
      <c r="W596" s="11"/>
      <c r="X596" s="11"/>
      <c r="Y596" s="11"/>
      <c r="Z596" s="11"/>
    </row>
    <row r="597">
      <c r="A597" s="11"/>
      <c r="B597" s="11"/>
      <c r="C597" s="11"/>
      <c r="D597" s="11"/>
      <c r="E597" s="11"/>
      <c r="F597" s="12"/>
      <c r="G597" s="12"/>
      <c r="H597" s="12"/>
      <c r="I597" s="12"/>
      <c r="J597" s="11"/>
      <c r="K597" s="11"/>
      <c r="L597" s="11"/>
      <c r="M597" s="11"/>
      <c r="N597" s="11"/>
      <c r="O597" s="11"/>
      <c r="P597" s="11"/>
      <c r="Q597" s="11"/>
      <c r="R597" s="11"/>
      <c r="S597" s="11"/>
      <c r="T597" s="11"/>
      <c r="U597" s="11"/>
      <c r="V597" s="11"/>
      <c r="W597" s="11"/>
      <c r="X597" s="11"/>
      <c r="Y597" s="11"/>
      <c r="Z597" s="11"/>
    </row>
    <row r="598">
      <c r="A598" s="11"/>
      <c r="B598" s="11"/>
      <c r="C598" s="11"/>
      <c r="D598" s="11"/>
      <c r="E598" s="11"/>
      <c r="F598" s="12"/>
      <c r="G598" s="12"/>
      <c r="H598" s="12"/>
      <c r="I598" s="12"/>
      <c r="J598" s="11"/>
      <c r="K598" s="11"/>
      <c r="L598" s="11"/>
      <c r="M598" s="11"/>
      <c r="N598" s="11"/>
      <c r="O598" s="11"/>
      <c r="P598" s="11"/>
      <c r="Q598" s="11"/>
      <c r="R598" s="11"/>
      <c r="S598" s="11"/>
      <c r="T598" s="11"/>
      <c r="U598" s="11"/>
      <c r="V598" s="11"/>
      <c r="W598" s="11"/>
      <c r="X598" s="11"/>
      <c r="Y598" s="11"/>
      <c r="Z598" s="11"/>
    </row>
    <row r="599">
      <c r="A599" s="11"/>
      <c r="B599" s="11"/>
      <c r="C599" s="11"/>
      <c r="D599" s="11"/>
      <c r="E599" s="11"/>
      <c r="F599" s="12"/>
      <c r="G599" s="12"/>
      <c r="H599" s="12"/>
      <c r="I599" s="12"/>
      <c r="J599" s="11"/>
      <c r="K599" s="11"/>
      <c r="L599" s="11"/>
      <c r="M599" s="11"/>
      <c r="N599" s="11"/>
      <c r="O599" s="11"/>
      <c r="P599" s="11"/>
      <c r="Q599" s="11"/>
      <c r="R599" s="11"/>
      <c r="S599" s="11"/>
      <c r="T599" s="11"/>
      <c r="U599" s="11"/>
      <c r="V599" s="11"/>
      <c r="W599" s="11"/>
      <c r="X599" s="11"/>
      <c r="Y599" s="11"/>
      <c r="Z599" s="11"/>
    </row>
    <row r="600">
      <c r="A600" s="11"/>
      <c r="B600" s="11"/>
      <c r="C600" s="11"/>
      <c r="D600" s="11"/>
      <c r="E600" s="11"/>
      <c r="F600" s="12"/>
      <c r="G600" s="12"/>
      <c r="H600" s="12"/>
      <c r="I600" s="12"/>
      <c r="J600" s="11"/>
      <c r="K600" s="11"/>
      <c r="L600" s="11"/>
      <c r="M600" s="11"/>
      <c r="N600" s="11"/>
      <c r="O600" s="11"/>
      <c r="P600" s="11"/>
      <c r="Q600" s="11"/>
      <c r="R600" s="11"/>
      <c r="S600" s="11"/>
      <c r="T600" s="11"/>
      <c r="U600" s="11"/>
      <c r="V600" s="11"/>
      <c r="W600" s="11"/>
      <c r="X600" s="11"/>
      <c r="Y600" s="11"/>
      <c r="Z600" s="11"/>
    </row>
    <row r="601">
      <c r="A601" s="11"/>
      <c r="B601" s="11"/>
      <c r="C601" s="11"/>
      <c r="D601" s="11"/>
      <c r="E601" s="11"/>
      <c r="F601" s="12"/>
      <c r="G601" s="12"/>
      <c r="H601" s="12"/>
      <c r="I601" s="12"/>
      <c r="J601" s="11"/>
      <c r="K601" s="11"/>
      <c r="L601" s="11"/>
      <c r="M601" s="11"/>
      <c r="N601" s="11"/>
      <c r="O601" s="11"/>
      <c r="P601" s="11"/>
      <c r="Q601" s="11"/>
      <c r="R601" s="11"/>
      <c r="S601" s="11"/>
      <c r="T601" s="11"/>
      <c r="U601" s="11"/>
      <c r="V601" s="11"/>
      <c r="W601" s="11"/>
      <c r="X601" s="11"/>
      <c r="Y601" s="11"/>
      <c r="Z601" s="11"/>
    </row>
    <row r="602">
      <c r="A602" s="11"/>
      <c r="B602" s="11"/>
      <c r="C602" s="11"/>
      <c r="D602" s="11"/>
      <c r="E602" s="11"/>
      <c r="F602" s="12"/>
      <c r="G602" s="12"/>
      <c r="H602" s="12"/>
      <c r="I602" s="12"/>
      <c r="J602" s="11"/>
      <c r="K602" s="11"/>
      <c r="L602" s="11"/>
      <c r="M602" s="11"/>
      <c r="N602" s="11"/>
      <c r="O602" s="11"/>
      <c r="P602" s="11"/>
      <c r="Q602" s="11"/>
      <c r="R602" s="11"/>
      <c r="S602" s="11"/>
      <c r="T602" s="11"/>
      <c r="U602" s="11"/>
      <c r="V602" s="11"/>
      <c r="W602" s="11"/>
      <c r="X602" s="11"/>
      <c r="Y602" s="11"/>
      <c r="Z602" s="11"/>
    </row>
    <row r="603">
      <c r="A603" s="11"/>
      <c r="B603" s="11"/>
      <c r="C603" s="11"/>
      <c r="D603" s="11"/>
      <c r="E603" s="11"/>
      <c r="F603" s="12"/>
      <c r="G603" s="12"/>
      <c r="H603" s="12"/>
      <c r="I603" s="12"/>
      <c r="J603" s="11"/>
      <c r="K603" s="11"/>
      <c r="L603" s="11"/>
      <c r="M603" s="11"/>
      <c r="N603" s="11"/>
      <c r="O603" s="11"/>
      <c r="P603" s="11"/>
      <c r="Q603" s="11"/>
      <c r="R603" s="11"/>
      <c r="S603" s="11"/>
      <c r="T603" s="11"/>
      <c r="U603" s="11"/>
      <c r="V603" s="11"/>
      <c r="W603" s="11"/>
      <c r="X603" s="11"/>
      <c r="Y603" s="11"/>
      <c r="Z603" s="11"/>
    </row>
    <row r="604">
      <c r="A604" s="11"/>
      <c r="B604" s="11"/>
      <c r="C604" s="11"/>
      <c r="D604" s="11"/>
      <c r="E604" s="11"/>
      <c r="F604" s="12"/>
      <c r="G604" s="12"/>
      <c r="H604" s="12"/>
      <c r="I604" s="12"/>
      <c r="J604" s="11"/>
      <c r="K604" s="11"/>
      <c r="L604" s="11"/>
      <c r="M604" s="11"/>
      <c r="N604" s="11"/>
      <c r="O604" s="11"/>
      <c r="P604" s="11"/>
      <c r="Q604" s="11"/>
      <c r="R604" s="11"/>
      <c r="S604" s="11"/>
      <c r="T604" s="11"/>
      <c r="U604" s="11"/>
      <c r="V604" s="11"/>
      <c r="W604" s="11"/>
      <c r="X604" s="11"/>
      <c r="Y604" s="11"/>
      <c r="Z604" s="11"/>
    </row>
    <row r="605">
      <c r="A605" s="11"/>
      <c r="B605" s="11"/>
      <c r="C605" s="11"/>
      <c r="D605" s="11"/>
      <c r="E605" s="11"/>
      <c r="F605" s="12"/>
      <c r="G605" s="12"/>
      <c r="H605" s="12"/>
      <c r="I605" s="12"/>
      <c r="J605" s="11"/>
      <c r="K605" s="11"/>
      <c r="L605" s="11"/>
      <c r="M605" s="11"/>
      <c r="N605" s="11"/>
      <c r="O605" s="11"/>
      <c r="P605" s="11"/>
      <c r="Q605" s="11"/>
      <c r="R605" s="11"/>
      <c r="S605" s="11"/>
      <c r="T605" s="11"/>
      <c r="U605" s="11"/>
      <c r="V605" s="11"/>
      <c r="W605" s="11"/>
      <c r="X605" s="11"/>
      <c r="Y605" s="11"/>
      <c r="Z605" s="11"/>
    </row>
    <row r="606">
      <c r="A606" s="11"/>
      <c r="B606" s="11"/>
      <c r="C606" s="11"/>
      <c r="D606" s="11"/>
      <c r="E606" s="11"/>
      <c r="F606" s="12"/>
      <c r="G606" s="12"/>
      <c r="H606" s="12"/>
      <c r="I606" s="12"/>
      <c r="J606" s="11"/>
      <c r="K606" s="11"/>
      <c r="L606" s="11"/>
      <c r="M606" s="11"/>
      <c r="N606" s="11"/>
      <c r="O606" s="11"/>
      <c r="P606" s="11"/>
      <c r="Q606" s="11"/>
      <c r="R606" s="11"/>
      <c r="S606" s="11"/>
      <c r="T606" s="11"/>
      <c r="U606" s="11"/>
      <c r="V606" s="11"/>
      <c r="W606" s="11"/>
      <c r="X606" s="11"/>
      <c r="Y606" s="11"/>
      <c r="Z606" s="11"/>
    </row>
    <row r="607">
      <c r="A607" s="11"/>
      <c r="B607" s="11"/>
      <c r="C607" s="11"/>
      <c r="D607" s="11"/>
      <c r="E607" s="11"/>
      <c r="F607" s="12"/>
      <c r="G607" s="12"/>
      <c r="H607" s="12"/>
      <c r="I607" s="12"/>
      <c r="J607" s="11"/>
      <c r="K607" s="11"/>
      <c r="L607" s="11"/>
      <c r="M607" s="11"/>
      <c r="N607" s="11"/>
      <c r="O607" s="11"/>
      <c r="P607" s="11"/>
      <c r="Q607" s="11"/>
      <c r="R607" s="11"/>
      <c r="S607" s="11"/>
      <c r="T607" s="11"/>
      <c r="U607" s="11"/>
      <c r="V607" s="11"/>
      <c r="W607" s="11"/>
      <c r="X607" s="11"/>
      <c r="Y607" s="11"/>
      <c r="Z607" s="11"/>
    </row>
    <row r="608">
      <c r="A608" s="11"/>
      <c r="B608" s="11"/>
      <c r="C608" s="11"/>
      <c r="D608" s="11"/>
      <c r="E608" s="11"/>
      <c r="F608" s="12"/>
      <c r="G608" s="12"/>
      <c r="H608" s="12"/>
      <c r="I608" s="12"/>
      <c r="J608" s="11"/>
      <c r="K608" s="11"/>
      <c r="L608" s="11"/>
      <c r="M608" s="11"/>
      <c r="N608" s="11"/>
      <c r="O608" s="11"/>
      <c r="P608" s="11"/>
      <c r="Q608" s="11"/>
      <c r="R608" s="11"/>
      <c r="S608" s="11"/>
      <c r="T608" s="11"/>
      <c r="U608" s="11"/>
      <c r="V608" s="11"/>
      <c r="W608" s="11"/>
      <c r="X608" s="11"/>
      <c r="Y608" s="11"/>
      <c r="Z608" s="11"/>
    </row>
    <row r="609">
      <c r="A609" s="11"/>
      <c r="B609" s="11"/>
      <c r="C609" s="11"/>
      <c r="D609" s="11"/>
      <c r="E609" s="11"/>
      <c r="F609" s="12"/>
      <c r="G609" s="12"/>
      <c r="H609" s="12"/>
      <c r="I609" s="12"/>
      <c r="J609" s="11"/>
      <c r="K609" s="11"/>
      <c r="L609" s="11"/>
      <c r="M609" s="11"/>
      <c r="N609" s="11"/>
      <c r="O609" s="11"/>
      <c r="P609" s="11"/>
      <c r="Q609" s="11"/>
      <c r="R609" s="11"/>
      <c r="S609" s="11"/>
      <c r="T609" s="11"/>
      <c r="U609" s="11"/>
      <c r="V609" s="11"/>
      <c r="W609" s="11"/>
      <c r="X609" s="11"/>
      <c r="Y609" s="11"/>
      <c r="Z609" s="11"/>
    </row>
    <row r="610">
      <c r="A610" s="11"/>
      <c r="B610" s="11"/>
      <c r="C610" s="11"/>
      <c r="D610" s="11"/>
      <c r="E610" s="11"/>
      <c r="F610" s="12"/>
      <c r="G610" s="12"/>
      <c r="H610" s="12"/>
      <c r="I610" s="12"/>
      <c r="J610" s="11"/>
      <c r="K610" s="11"/>
      <c r="L610" s="11"/>
      <c r="M610" s="11"/>
      <c r="N610" s="11"/>
      <c r="O610" s="11"/>
      <c r="P610" s="11"/>
      <c r="Q610" s="11"/>
      <c r="R610" s="11"/>
      <c r="S610" s="11"/>
      <c r="T610" s="11"/>
      <c r="U610" s="11"/>
      <c r="V610" s="11"/>
      <c r="W610" s="11"/>
      <c r="X610" s="11"/>
      <c r="Y610" s="11"/>
      <c r="Z610" s="11"/>
    </row>
    <row r="611">
      <c r="A611" s="11"/>
      <c r="B611" s="11"/>
      <c r="C611" s="11"/>
      <c r="D611" s="11"/>
      <c r="E611" s="11"/>
      <c r="F611" s="12"/>
      <c r="G611" s="12"/>
      <c r="H611" s="12"/>
      <c r="I611" s="12"/>
      <c r="J611" s="11"/>
      <c r="K611" s="11"/>
      <c r="L611" s="11"/>
      <c r="M611" s="11"/>
      <c r="N611" s="11"/>
      <c r="O611" s="11"/>
      <c r="P611" s="11"/>
      <c r="Q611" s="11"/>
      <c r="R611" s="11"/>
      <c r="S611" s="11"/>
      <c r="T611" s="11"/>
      <c r="U611" s="11"/>
      <c r="V611" s="11"/>
      <c r="W611" s="11"/>
      <c r="X611" s="11"/>
      <c r="Y611" s="11"/>
      <c r="Z611" s="11"/>
    </row>
    <row r="612">
      <c r="A612" s="11"/>
      <c r="B612" s="11"/>
      <c r="C612" s="11"/>
      <c r="D612" s="11"/>
      <c r="E612" s="11"/>
      <c r="F612" s="12"/>
      <c r="G612" s="12"/>
      <c r="H612" s="12"/>
      <c r="I612" s="12"/>
      <c r="J612" s="11"/>
      <c r="K612" s="11"/>
      <c r="L612" s="11"/>
      <c r="M612" s="11"/>
      <c r="N612" s="11"/>
      <c r="O612" s="11"/>
      <c r="P612" s="11"/>
      <c r="Q612" s="11"/>
      <c r="R612" s="11"/>
      <c r="S612" s="11"/>
      <c r="T612" s="11"/>
      <c r="U612" s="11"/>
      <c r="V612" s="11"/>
      <c r="W612" s="11"/>
      <c r="X612" s="11"/>
      <c r="Y612" s="11"/>
      <c r="Z612" s="11"/>
    </row>
    <row r="613">
      <c r="A613" s="11"/>
      <c r="B613" s="11"/>
      <c r="C613" s="11"/>
      <c r="D613" s="11"/>
      <c r="E613" s="11"/>
      <c r="F613" s="12"/>
      <c r="G613" s="12"/>
      <c r="H613" s="12"/>
      <c r="I613" s="12"/>
      <c r="J613" s="11"/>
      <c r="K613" s="11"/>
      <c r="L613" s="11"/>
      <c r="M613" s="11"/>
      <c r="N613" s="11"/>
      <c r="O613" s="11"/>
      <c r="P613" s="11"/>
      <c r="Q613" s="11"/>
      <c r="R613" s="11"/>
      <c r="S613" s="11"/>
      <c r="T613" s="11"/>
      <c r="U613" s="11"/>
      <c r="V613" s="11"/>
      <c r="W613" s="11"/>
      <c r="X613" s="11"/>
      <c r="Y613" s="11"/>
      <c r="Z613" s="11"/>
    </row>
    <row r="614">
      <c r="A614" s="11"/>
      <c r="B614" s="11"/>
      <c r="C614" s="11"/>
      <c r="D614" s="11"/>
      <c r="E614" s="11"/>
      <c r="F614" s="12"/>
      <c r="G614" s="12"/>
      <c r="H614" s="12"/>
      <c r="I614" s="12"/>
      <c r="J614" s="11"/>
      <c r="K614" s="11"/>
      <c r="L614" s="11"/>
      <c r="M614" s="11"/>
      <c r="N614" s="11"/>
      <c r="O614" s="11"/>
      <c r="P614" s="11"/>
      <c r="Q614" s="11"/>
      <c r="R614" s="11"/>
      <c r="S614" s="11"/>
      <c r="T614" s="11"/>
      <c r="U614" s="11"/>
      <c r="V614" s="11"/>
      <c r="W614" s="11"/>
      <c r="X614" s="11"/>
      <c r="Y614" s="11"/>
      <c r="Z614" s="11"/>
    </row>
    <row r="615">
      <c r="A615" s="11"/>
      <c r="B615" s="11"/>
      <c r="C615" s="11"/>
      <c r="D615" s="11"/>
      <c r="E615" s="11"/>
      <c r="F615" s="12"/>
      <c r="G615" s="12"/>
      <c r="H615" s="12"/>
      <c r="I615" s="12"/>
      <c r="J615" s="11"/>
      <c r="K615" s="11"/>
      <c r="L615" s="11"/>
      <c r="M615" s="11"/>
      <c r="N615" s="11"/>
      <c r="O615" s="11"/>
      <c r="P615" s="11"/>
      <c r="Q615" s="11"/>
      <c r="R615" s="11"/>
      <c r="S615" s="11"/>
      <c r="T615" s="11"/>
      <c r="U615" s="11"/>
      <c r="V615" s="11"/>
      <c r="W615" s="11"/>
      <c r="X615" s="11"/>
      <c r="Y615" s="11"/>
      <c r="Z615" s="11"/>
    </row>
    <row r="616">
      <c r="A616" s="11"/>
      <c r="B616" s="11"/>
      <c r="C616" s="11"/>
      <c r="D616" s="11"/>
      <c r="E616" s="11"/>
      <c r="F616" s="12"/>
      <c r="G616" s="12"/>
      <c r="H616" s="12"/>
      <c r="I616" s="12"/>
      <c r="J616" s="11"/>
      <c r="K616" s="11"/>
      <c r="L616" s="11"/>
      <c r="M616" s="11"/>
      <c r="N616" s="11"/>
      <c r="O616" s="11"/>
      <c r="P616" s="11"/>
      <c r="Q616" s="11"/>
      <c r="R616" s="11"/>
      <c r="S616" s="11"/>
      <c r="T616" s="11"/>
      <c r="U616" s="11"/>
      <c r="V616" s="11"/>
      <c r="W616" s="11"/>
      <c r="X616" s="11"/>
      <c r="Y616" s="11"/>
      <c r="Z616" s="11"/>
    </row>
    <row r="617">
      <c r="A617" s="11"/>
      <c r="B617" s="11"/>
      <c r="C617" s="11"/>
      <c r="D617" s="11"/>
      <c r="E617" s="11"/>
      <c r="F617" s="12"/>
      <c r="G617" s="12"/>
      <c r="H617" s="12"/>
      <c r="I617" s="12"/>
      <c r="J617" s="11"/>
      <c r="K617" s="11"/>
      <c r="L617" s="11"/>
      <c r="M617" s="11"/>
      <c r="N617" s="11"/>
      <c r="O617" s="11"/>
      <c r="P617" s="11"/>
      <c r="Q617" s="11"/>
      <c r="R617" s="11"/>
      <c r="S617" s="11"/>
      <c r="T617" s="11"/>
      <c r="U617" s="11"/>
      <c r="V617" s="11"/>
      <c r="W617" s="11"/>
      <c r="X617" s="11"/>
      <c r="Y617" s="11"/>
      <c r="Z617" s="11"/>
    </row>
    <row r="618">
      <c r="A618" s="11"/>
      <c r="B618" s="11"/>
      <c r="C618" s="11"/>
      <c r="D618" s="11"/>
      <c r="E618" s="11"/>
      <c r="F618" s="12"/>
      <c r="G618" s="12"/>
      <c r="H618" s="12"/>
      <c r="I618" s="12"/>
      <c r="J618" s="11"/>
      <c r="K618" s="11"/>
      <c r="L618" s="11"/>
      <c r="M618" s="11"/>
      <c r="N618" s="11"/>
      <c r="O618" s="11"/>
      <c r="P618" s="11"/>
      <c r="Q618" s="11"/>
      <c r="R618" s="11"/>
      <c r="S618" s="11"/>
      <c r="T618" s="11"/>
      <c r="U618" s="11"/>
      <c r="V618" s="11"/>
      <c r="W618" s="11"/>
      <c r="X618" s="11"/>
      <c r="Y618" s="11"/>
      <c r="Z618" s="11"/>
    </row>
    <row r="619">
      <c r="A619" s="11"/>
      <c r="B619" s="11"/>
      <c r="C619" s="11"/>
      <c r="D619" s="11"/>
      <c r="E619" s="11"/>
      <c r="F619" s="12"/>
      <c r="G619" s="12"/>
      <c r="H619" s="12"/>
      <c r="I619" s="12"/>
      <c r="J619" s="11"/>
      <c r="K619" s="11"/>
      <c r="L619" s="11"/>
      <c r="M619" s="11"/>
      <c r="N619" s="11"/>
      <c r="O619" s="11"/>
      <c r="P619" s="11"/>
      <c r="Q619" s="11"/>
      <c r="R619" s="11"/>
      <c r="S619" s="11"/>
      <c r="T619" s="11"/>
      <c r="U619" s="11"/>
      <c r="V619" s="11"/>
      <c r="W619" s="11"/>
      <c r="X619" s="11"/>
      <c r="Y619" s="11"/>
      <c r="Z619" s="11"/>
    </row>
    <row r="620">
      <c r="A620" s="11"/>
      <c r="B620" s="11"/>
      <c r="C620" s="11"/>
      <c r="D620" s="11"/>
      <c r="E620" s="11"/>
      <c r="F620" s="12"/>
      <c r="G620" s="12"/>
      <c r="H620" s="12"/>
      <c r="I620" s="12"/>
      <c r="J620" s="11"/>
      <c r="K620" s="11"/>
      <c r="L620" s="11"/>
      <c r="M620" s="11"/>
      <c r="N620" s="11"/>
      <c r="O620" s="11"/>
      <c r="P620" s="11"/>
      <c r="Q620" s="11"/>
      <c r="R620" s="11"/>
      <c r="S620" s="11"/>
      <c r="T620" s="11"/>
      <c r="U620" s="11"/>
      <c r="V620" s="11"/>
      <c r="W620" s="11"/>
      <c r="X620" s="11"/>
      <c r="Y620" s="11"/>
      <c r="Z620" s="11"/>
    </row>
    <row r="621">
      <c r="A621" s="11"/>
      <c r="B621" s="11"/>
      <c r="C621" s="11"/>
      <c r="D621" s="11"/>
      <c r="E621" s="11"/>
      <c r="F621" s="12"/>
      <c r="G621" s="12"/>
      <c r="H621" s="12"/>
      <c r="I621" s="12"/>
      <c r="J621" s="11"/>
      <c r="K621" s="11"/>
      <c r="L621" s="11"/>
      <c r="M621" s="11"/>
      <c r="N621" s="11"/>
      <c r="O621" s="11"/>
      <c r="P621" s="11"/>
      <c r="Q621" s="11"/>
      <c r="R621" s="11"/>
      <c r="S621" s="11"/>
      <c r="T621" s="11"/>
      <c r="U621" s="11"/>
      <c r="V621" s="11"/>
      <c r="W621" s="11"/>
      <c r="X621" s="11"/>
      <c r="Y621" s="11"/>
      <c r="Z621" s="11"/>
    </row>
    <row r="622">
      <c r="A622" s="11"/>
      <c r="B622" s="11"/>
      <c r="C622" s="11"/>
      <c r="D622" s="11"/>
      <c r="E622" s="11"/>
      <c r="F622" s="12"/>
      <c r="G622" s="12"/>
      <c r="H622" s="12"/>
      <c r="I622" s="12"/>
      <c r="J622" s="11"/>
      <c r="K622" s="11"/>
      <c r="L622" s="11"/>
      <c r="M622" s="11"/>
      <c r="N622" s="11"/>
      <c r="O622" s="11"/>
      <c r="P622" s="11"/>
      <c r="Q622" s="11"/>
      <c r="R622" s="11"/>
      <c r="S622" s="11"/>
      <c r="T622" s="11"/>
      <c r="U622" s="11"/>
      <c r="V622" s="11"/>
      <c r="W622" s="11"/>
      <c r="X622" s="11"/>
      <c r="Y622" s="11"/>
      <c r="Z622" s="11"/>
    </row>
    <row r="623">
      <c r="A623" s="11"/>
      <c r="B623" s="11"/>
      <c r="C623" s="11"/>
      <c r="D623" s="11"/>
      <c r="E623" s="11"/>
      <c r="F623" s="12"/>
      <c r="G623" s="12"/>
      <c r="H623" s="12"/>
      <c r="I623" s="12"/>
      <c r="J623" s="11"/>
      <c r="K623" s="11"/>
      <c r="L623" s="11"/>
      <c r="M623" s="11"/>
      <c r="N623" s="11"/>
      <c r="O623" s="11"/>
      <c r="P623" s="11"/>
      <c r="Q623" s="11"/>
      <c r="R623" s="11"/>
      <c r="S623" s="11"/>
      <c r="T623" s="11"/>
      <c r="U623" s="11"/>
      <c r="V623" s="11"/>
      <c r="W623" s="11"/>
      <c r="X623" s="11"/>
      <c r="Y623" s="11"/>
      <c r="Z623" s="11"/>
    </row>
    <row r="624">
      <c r="A624" s="11"/>
      <c r="B624" s="11"/>
      <c r="C624" s="11"/>
      <c r="D624" s="11"/>
      <c r="E624" s="11"/>
      <c r="F624" s="12"/>
      <c r="G624" s="12"/>
      <c r="H624" s="12"/>
      <c r="I624" s="12"/>
      <c r="J624" s="11"/>
      <c r="K624" s="11"/>
      <c r="L624" s="11"/>
      <c r="M624" s="11"/>
      <c r="N624" s="11"/>
      <c r="O624" s="11"/>
      <c r="P624" s="11"/>
      <c r="Q624" s="11"/>
      <c r="R624" s="11"/>
      <c r="S624" s="11"/>
      <c r="T624" s="11"/>
      <c r="U624" s="11"/>
      <c r="V624" s="11"/>
      <c r="W624" s="11"/>
      <c r="X624" s="11"/>
      <c r="Y624" s="11"/>
      <c r="Z624" s="11"/>
    </row>
    <row r="625">
      <c r="A625" s="11"/>
      <c r="B625" s="11"/>
      <c r="C625" s="11"/>
      <c r="D625" s="11"/>
      <c r="E625" s="11"/>
      <c r="F625" s="12"/>
      <c r="G625" s="12"/>
      <c r="H625" s="12"/>
      <c r="I625" s="12"/>
      <c r="J625" s="11"/>
      <c r="K625" s="11"/>
      <c r="L625" s="11"/>
      <c r="M625" s="11"/>
      <c r="N625" s="11"/>
      <c r="O625" s="11"/>
      <c r="P625" s="11"/>
      <c r="Q625" s="11"/>
      <c r="R625" s="11"/>
      <c r="S625" s="11"/>
      <c r="T625" s="11"/>
      <c r="U625" s="11"/>
      <c r="V625" s="11"/>
      <c r="W625" s="11"/>
      <c r="X625" s="11"/>
      <c r="Y625" s="11"/>
      <c r="Z625" s="11"/>
    </row>
    <row r="626">
      <c r="A626" s="11"/>
      <c r="B626" s="11"/>
      <c r="C626" s="11"/>
      <c r="D626" s="11"/>
      <c r="E626" s="11"/>
      <c r="F626" s="12"/>
      <c r="G626" s="12"/>
      <c r="H626" s="12"/>
      <c r="I626" s="12"/>
      <c r="J626" s="11"/>
      <c r="K626" s="11"/>
      <c r="L626" s="11"/>
      <c r="M626" s="11"/>
      <c r="N626" s="11"/>
      <c r="O626" s="11"/>
      <c r="P626" s="11"/>
      <c r="Q626" s="11"/>
      <c r="R626" s="11"/>
      <c r="S626" s="11"/>
      <c r="T626" s="11"/>
      <c r="U626" s="11"/>
      <c r="V626" s="11"/>
      <c r="W626" s="11"/>
      <c r="X626" s="11"/>
      <c r="Y626" s="11"/>
      <c r="Z626" s="11"/>
    </row>
    <row r="627">
      <c r="A627" s="11"/>
      <c r="B627" s="11"/>
      <c r="C627" s="11"/>
      <c r="D627" s="11"/>
      <c r="E627" s="11"/>
      <c r="F627" s="12"/>
      <c r="G627" s="12"/>
      <c r="H627" s="12"/>
      <c r="I627" s="12"/>
      <c r="J627" s="11"/>
      <c r="K627" s="11"/>
      <c r="L627" s="11"/>
      <c r="M627" s="11"/>
      <c r="N627" s="11"/>
      <c r="O627" s="11"/>
      <c r="P627" s="11"/>
      <c r="Q627" s="11"/>
      <c r="R627" s="11"/>
      <c r="S627" s="11"/>
      <c r="T627" s="11"/>
      <c r="U627" s="11"/>
      <c r="V627" s="11"/>
      <c r="W627" s="11"/>
      <c r="X627" s="11"/>
      <c r="Y627" s="11"/>
      <c r="Z627" s="11"/>
    </row>
    <row r="628">
      <c r="A628" s="11"/>
      <c r="B628" s="11"/>
      <c r="C628" s="11"/>
      <c r="D628" s="11"/>
      <c r="E628" s="11"/>
      <c r="F628" s="12"/>
      <c r="G628" s="12"/>
      <c r="H628" s="12"/>
      <c r="I628" s="12"/>
      <c r="J628" s="11"/>
      <c r="K628" s="11"/>
      <c r="L628" s="11"/>
      <c r="M628" s="11"/>
      <c r="N628" s="11"/>
      <c r="O628" s="11"/>
      <c r="P628" s="11"/>
      <c r="Q628" s="11"/>
      <c r="R628" s="11"/>
      <c r="S628" s="11"/>
      <c r="T628" s="11"/>
      <c r="U628" s="11"/>
      <c r="V628" s="11"/>
      <c r="W628" s="11"/>
      <c r="X628" s="11"/>
      <c r="Y628" s="11"/>
      <c r="Z628" s="11"/>
    </row>
    <row r="629">
      <c r="A629" s="11"/>
      <c r="B629" s="11"/>
      <c r="C629" s="11"/>
      <c r="D629" s="11"/>
      <c r="E629" s="11"/>
      <c r="F629" s="12"/>
      <c r="G629" s="12"/>
      <c r="H629" s="12"/>
      <c r="I629" s="12"/>
      <c r="J629" s="11"/>
      <c r="K629" s="11"/>
      <c r="L629" s="11"/>
      <c r="M629" s="11"/>
      <c r="N629" s="11"/>
      <c r="O629" s="11"/>
      <c r="P629" s="11"/>
      <c r="Q629" s="11"/>
      <c r="R629" s="11"/>
      <c r="S629" s="11"/>
      <c r="T629" s="11"/>
      <c r="U629" s="11"/>
      <c r="V629" s="11"/>
      <c r="W629" s="11"/>
      <c r="X629" s="11"/>
      <c r="Y629" s="11"/>
      <c r="Z629" s="11"/>
    </row>
    <row r="630">
      <c r="A630" s="11"/>
      <c r="B630" s="11"/>
      <c r="C630" s="11"/>
      <c r="D630" s="11"/>
      <c r="E630" s="11"/>
      <c r="F630" s="12"/>
      <c r="G630" s="12"/>
      <c r="H630" s="12"/>
      <c r="I630" s="12"/>
      <c r="J630" s="11"/>
      <c r="K630" s="11"/>
      <c r="L630" s="11"/>
      <c r="M630" s="11"/>
      <c r="N630" s="11"/>
      <c r="O630" s="11"/>
      <c r="P630" s="11"/>
      <c r="Q630" s="11"/>
      <c r="R630" s="11"/>
      <c r="S630" s="11"/>
      <c r="T630" s="11"/>
      <c r="U630" s="11"/>
      <c r="V630" s="11"/>
      <c r="W630" s="11"/>
      <c r="X630" s="11"/>
      <c r="Y630" s="11"/>
      <c r="Z630" s="11"/>
    </row>
    <row r="631">
      <c r="A631" s="11"/>
      <c r="B631" s="11"/>
      <c r="C631" s="11"/>
      <c r="D631" s="11"/>
      <c r="E631" s="11"/>
      <c r="F631" s="12"/>
      <c r="G631" s="12"/>
      <c r="H631" s="12"/>
      <c r="I631" s="12"/>
      <c r="J631" s="11"/>
      <c r="K631" s="11"/>
      <c r="L631" s="11"/>
      <c r="M631" s="11"/>
      <c r="N631" s="11"/>
      <c r="O631" s="11"/>
      <c r="P631" s="11"/>
      <c r="Q631" s="11"/>
      <c r="R631" s="11"/>
      <c r="S631" s="11"/>
      <c r="T631" s="11"/>
      <c r="U631" s="11"/>
      <c r="V631" s="11"/>
      <c r="W631" s="11"/>
      <c r="X631" s="11"/>
      <c r="Y631" s="11"/>
      <c r="Z631" s="11"/>
    </row>
    <row r="632">
      <c r="A632" s="11"/>
      <c r="B632" s="11"/>
      <c r="C632" s="11"/>
      <c r="D632" s="11"/>
      <c r="E632" s="11"/>
      <c r="F632" s="12"/>
      <c r="G632" s="12"/>
      <c r="H632" s="12"/>
      <c r="I632" s="12"/>
      <c r="J632" s="11"/>
      <c r="K632" s="11"/>
      <c r="L632" s="11"/>
      <c r="M632" s="11"/>
      <c r="N632" s="11"/>
      <c r="O632" s="11"/>
      <c r="P632" s="11"/>
      <c r="Q632" s="11"/>
      <c r="R632" s="11"/>
      <c r="S632" s="11"/>
      <c r="T632" s="11"/>
      <c r="U632" s="11"/>
      <c r="V632" s="11"/>
      <c r="W632" s="11"/>
      <c r="X632" s="11"/>
      <c r="Y632" s="11"/>
      <c r="Z632" s="11"/>
    </row>
    <row r="633">
      <c r="A633" s="11"/>
      <c r="B633" s="11"/>
      <c r="C633" s="11"/>
      <c r="D633" s="11"/>
      <c r="E633" s="11"/>
      <c r="F633" s="12"/>
      <c r="G633" s="12"/>
      <c r="H633" s="12"/>
      <c r="I633" s="12"/>
      <c r="J633" s="11"/>
      <c r="K633" s="11"/>
      <c r="L633" s="11"/>
      <c r="M633" s="11"/>
      <c r="N633" s="11"/>
      <c r="O633" s="11"/>
      <c r="P633" s="11"/>
      <c r="Q633" s="11"/>
      <c r="R633" s="11"/>
      <c r="S633" s="11"/>
      <c r="T633" s="11"/>
      <c r="U633" s="11"/>
      <c r="V633" s="11"/>
      <c r="W633" s="11"/>
      <c r="X633" s="11"/>
      <c r="Y633" s="11"/>
      <c r="Z633" s="11"/>
    </row>
    <row r="634">
      <c r="A634" s="11"/>
      <c r="B634" s="11"/>
      <c r="C634" s="11"/>
      <c r="D634" s="11"/>
      <c r="E634" s="11"/>
      <c r="F634" s="12"/>
      <c r="G634" s="12"/>
      <c r="H634" s="12"/>
      <c r="I634" s="12"/>
      <c r="J634" s="11"/>
      <c r="K634" s="11"/>
      <c r="L634" s="11"/>
      <c r="M634" s="11"/>
      <c r="N634" s="11"/>
      <c r="O634" s="11"/>
      <c r="P634" s="11"/>
      <c r="Q634" s="11"/>
      <c r="R634" s="11"/>
      <c r="S634" s="11"/>
      <c r="T634" s="11"/>
      <c r="U634" s="11"/>
      <c r="V634" s="11"/>
      <c r="W634" s="11"/>
      <c r="X634" s="11"/>
      <c r="Y634" s="11"/>
      <c r="Z634" s="11"/>
    </row>
    <row r="635">
      <c r="A635" s="11"/>
      <c r="B635" s="11"/>
      <c r="C635" s="11"/>
      <c r="D635" s="11"/>
      <c r="E635" s="11"/>
      <c r="F635" s="12"/>
      <c r="G635" s="12"/>
      <c r="H635" s="12"/>
      <c r="I635" s="12"/>
      <c r="J635" s="11"/>
      <c r="K635" s="11"/>
      <c r="L635" s="11"/>
      <c r="M635" s="11"/>
      <c r="N635" s="11"/>
      <c r="O635" s="11"/>
      <c r="P635" s="11"/>
      <c r="Q635" s="11"/>
      <c r="R635" s="11"/>
      <c r="S635" s="11"/>
      <c r="T635" s="11"/>
      <c r="U635" s="11"/>
      <c r="V635" s="11"/>
      <c r="W635" s="11"/>
      <c r="X635" s="11"/>
      <c r="Y635" s="11"/>
      <c r="Z635" s="11"/>
    </row>
    <row r="636">
      <c r="A636" s="11"/>
      <c r="B636" s="11"/>
      <c r="C636" s="11"/>
      <c r="D636" s="11"/>
      <c r="E636" s="11"/>
      <c r="F636" s="12"/>
      <c r="G636" s="12"/>
      <c r="H636" s="12"/>
      <c r="I636" s="12"/>
      <c r="J636" s="11"/>
      <c r="K636" s="11"/>
      <c r="L636" s="11"/>
      <c r="M636" s="11"/>
      <c r="N636" s="11"/>
      <c r="O636" s="11"/>
      <c r="P636" s="11"/>
      <c r="Q636" s="11"/>
      <c r="R636" s="11"/>
      <c r="S636" s="11"/>
      <c r="T636" s="11"/>
      <c r="U636" s="11"/>
      <c r="V636" s="11"/>
      <c r="W636" s="11"/>
      <c r="X636" s="11"/>
      <c r="Y636" s="11"/>
      <c r="Z636" s="11"/>
    </row>
    <row r="637">
      <c r="A637" s="11"/>
      <c r="B637" s="11"/>
      <c r="C637" s="11"/>
      <c r="D637" s="11"/>
      <c r="E637" s="11"/>
      <c r="F637" s="12"/>
      <c r="G637" s="12"/>
      <c r="H637" s="12"/>
      <c r="I637" s="12"/>
      <c r="J637" s="11"/>
      <c r="K637" s="11"/>
      <c r="L637" s="11"/>
      <c r="M637" s="11"/>
      <c r="N637" s="11"/>
      <c r="O637" s="11"/>
      <c r="P637" s="11"/>
      <c r="Q637" s="11"/>
      <c r="R637" s="11"/>
      <c r="S637" s="11"/>
      <c r="T637" s="11"/>
      <c r="U637" s="11"/>
      <c r="V637" s="11"/>
      <c r="W637" s="11"/>
      <c r="X637" s="11"/>
      <c r="Y637" s="11"/>
      <c r="Z637" s="11"/>
    </row>
    <row r="638">
      <c r="A638" s="11"/>
      <c r="B638" s="11"/>
      <c r="C638" s="11"/>
      <c r="D638" s="11"/>
      <c r="E638" s="11"/>
      <c r="F638" s="12"/>
      <c r="G638" s="12"/>
      <c r="H638" s="12"/>
      <c r="I638" s="12"/>
      <c r="J638" s="11"/>
      <c r="K638" s="11"/>
      <c r="L638" s="11"/>
      <c r="M638" s="11"/>
      <c r="N638" s="11"/>
      <c r="O638" s="11"/>
      <c r="P638" s="11"/>
      <c r="Q638" s="11"/>
      <c r="R638" s="11"/>
      <c r="S638" s="11"/>
      <c r="T638" s="11"/>
      <c r="U638" s="11"/>
      <c r="V638" s="11"/>
      <c r="W638" s="11"/>
      <c r="X638" s="11"/>
      <c r="Y638" s="11"/>
      <c r="Z638" s="11"/>
    </row>
    <row r="639">
      <c r="A639" s="11"/>
      <c r="B639" s="11"/>
      <c r="C639" s="11"/>
      <c r="D639" s="11"/>
      <c r="E639" s="11"/>
      <c r="F639" s="12"/>
      <c r="G639" s="12"/>
      <c r="H639" s="12"/>
      <c r="I639" s="12"/>
      <c r="J639" s="11"/>
      <c r="K639" s="11"/>
      <c r="L639" s="11"/>
      <c r="M639" s="11"/>
      <c r="N639" s="11"/>
      <c r="O639" s="11"/>
      <c r="P639" s="11"/>
      <c r="Q639" s="11"/>
      <c r="R639" s="11"/>
      <c r="S639" s="11"/>
      <c r="T639" s="11"/>
      <c r="U639" s="11"/>
      <c r="V639" s="11"/>
      <c r="W639" s="11"/>
      <c r="X639" s="11"/>
      <c r="Y639" s="11"/>
      <c r="Z639" s="11"/>
    </row>
    <row r="640">
      <c r="A640" s="11"/>
      <c r="B640" s="11"/>
      <c r="C640" s="11"/>
      <c r="D640" s="11"/>
      <c r="E640" s="11"/>
      <c r="F640" s="12"/>
      <c r="G640" s="12"/>
      <c r="H640" s="12"/>
      <c r="I640" s="12"/>
      <c r="J640" s="11"/>
      <c r="K640" s="11"/>
      <c r="L640" s="11"/>
      <c r="M640" s="11"/>
      <c r="N640" s="11"/>
      <c r="O640" s="11"/>
      <c r="P640" s="11"/>
      <c r="Q640" s="11"/>
      <c r="R640" s="11"/>
      <c r="S640" s="11"/>
      <c r="T640" s="11"/>
      <c r="U640" s="11"/>
      <c r="V640" s="11"/>
      <c r="W640" s="11"/>
      <c r="X640" s="11"/>
      <c r="Y640" s="11"/>
      <c r="Z640" s="11"/>
    </row>
    <row r="641">
      <c r="A641" s="11"/>
      <c r="B641" s="11"/>
      <c r="C641" s="11"/>
      <c r="D641" s="11"/>
      <c r="E641" s="11"/>
      <c r="F641" s="12"/>
      <c r="G641" s="12"/>
      <c r="H641" s="12"/>
      <c r="I641" s="12"/>
      <c r="J641" s="11"/>
      <c r="K641" s="11"/>
      <c r="L641" s="11"/>
      <c r="M641" s="11"/>
      <c r="N641" s="11"/>
      <c r="O641" s="11"/>
      <c r="P641" s="11"/>
      <c r="Q641" s="11"/>
      <c r="R641" s="11"/>
      <c r="S641" s="11"/>
      <c r="T641" s="11"/>
      <c r="U641" s="11"/>
      <c r="V641" s="11"/>
      <c r="W641" s="11"/>
      <c r="X641" s="11"/>
      <c r="Y641" s="11"/>
      <c r="Z641" s="11"/>
    </row>
    <row r="642">
      <c r="A642" s="11"/>
      <c r="B642" s="11"/>
      <c r="C642" s="11"/>
      <c r="D642" s="11"/>
      <c r="E642" s="11"/>
      <c r="F642" s="12"/>
      <c r="G642" s="12"/>
      <c r="H642" s="12"/>
      <c r="I642" s="12"/>
      <c r="J642" s="11"/>
      <c r="K642" s="11"/>
      <c r="L642" s="11"/>
      <c r="M642" s="11"/>
      <c r="N642" s="11"/>
      <c r="O642" s="11"/>
      <c r="P642" s="11"/>
      <c r="Q642" s="11"/>
      <c r="R642" s="11"/>
      <c r="S642" s="11"/>
      <c r="T642" s="11"/>
      <c r="U642" s="11"/>
      <c r="V642" s="11"/>
      <c r="W642" s="11"/>
      <c r="X642" s="11"/>
      <c r="Y642" s="11"/>
      <c r="Z642" s="11"/>
    </row>
    <row r="643">
      <c r="A643" s="11"/>
      <c r="B643" s="11"/>
      <c r="C643" s="11"/>
      <c r="D643" s="11"/>
      <c r="E643" s="11"/>
      <c r="F643" s="12"/>
      <c r="G643" s="12"/>
      <c r="H643" s="12"/>
      <c r="I643" s="12"/>
      <c r="J643" s="11"/>
      <c r="K643" s="11"/>
      <c r="L643" s="11"/>
      <c r="M643" s="11"/>
      <c r="N643" s="11"/>
      <c r="O643" s="11"/>
      <c r="P643" s="11"/>
      <c r="Q643" s="11"/>
      <c r="R643" s="11"/>
      <c r="S643" s="11"/>
      <c r="T643" s="11"/>
      <c r="U643" s="11"/>
      <c r="V643" s="11"/>
      <c r="W643" s="11"/>
      <c r="X643" s="11"/>
      <c r="Y643" s="11"/>
      <c r="Z643" s="11"/>
    </row>
    <row r="644">
      <c r="A644" s="11"/>
      <c r="B644" s="11"/>
      <c r="C644" s="11"/>
      <c r="D644" s="11"/>
      <c r="E644" s="11"/>
      <c r="F644" s="12"/>
      <c r="G644" s="12"/>
      <c r="H644" s="12"/>
      <c r="I644" s="12"/>
      <c r="J644" s="11"/>
      <c r="K644" s="11"/>
      <c r="L644" s="11"/>
      <c r="M644" s="11"/>
      <c r="N644" s="11"/>
      <c r="O644" s="11"/>
      <c r="P644" s="11"/>
      <c r="Q644" s="11"/>
      <c r="R644" s="11"/>
      <c r="S644" s="11"/>
      <c r="T644" s="11"/>
      <c r="U644" s="11"/>
      <c r="V644" s="11"/>
      <c r="W644" s="11"/>
      <c r="X644" s="11"/>
      <c r="Y644" s="11"/>
      <c r="Z644" s="11"/>
    </row>
    <row r="645">
      <c r="A645" s="11"/>
      <c r="B645" s="11"/>
      <c r="C645" s="11"/>
      <c r="D645" s="11"/>
      <c r="E645" s="11"/>
      <c r="F645" s="12"/>
      <c r="G645" s="12"/>
      <c r="H645" s="12"/>
      <c r="I645" s="12"/>
      <c r="J645" s="11"/>
      <c r="K645" s="11"/>
      <c r="L645" s="11"/>
      <c r="M645" s="11"/>
      <c r="N645" s="11"/>
      <c r="O645" s="11"/>
      <c r="P645" s="11"/>
      <c r="Q645" s="11"/>
      <c r="R645" s="11"/>
      <c r="S645" s="11"/>
      <c r="T645" s="11"/>
      <c r="U645" s="11"/>
      <c r="V645" s="11"/>
      <c r="W645" s="11"/>
      <c r="X645" s="11"/>
      <c r="Y645" s="11"/>
      <c r="Z645" s="11"/>
    </row>
    <row r="646">
      <c r="A646" s="11"/>
      <c r="B646" s="11"/>
      <c r="C646" s="11"/>
      <c r="D646" s="11"/>
      <c r="E646" s="11"/>
      <c r="F646" s="12"/>
      <c r="G646" s="12"/>
      <c r="H646" s="12"/>
      <c r="I646" s="12"/>
      <c r="J646" s="11"/>
      <c r="K646" s="11"/>
      <c r="L646" s="11"/>
      <c r="M646" s="11"/>
      <c r="N646" s="11"/>
      <c r="O646" s="11"/>
      <c r="P646" s="11"/>
      <c r="Q646" s="11"/>
      <c r="R646" s="11"/>
      <c r="S646" s="11"/>
      <c r="T646" s="11"/>
      <c r="U646" s="11"/>
      <c r="V646" s="11"/>
      <c r="W646" s="11"/>
      <c r="X646" s="11"/>
      <c r="Y646" s="11"/>
      <c r="Z646" s="11"/>
    </row>
    <row r="647">
      <c r="A647" s="11"/>
      <c r="B647" s="11"/>
      <c r="C647" s="11"/>
      <c r="D647" s="11"/>
      <c r="E647" s="11"/>
      <c r="F647" s="12"/>
      <c r="G647" s="12"/>
      <c r="H647" s="12"/>
      <c r="I647" s="12"/>
      <c r="J647" s="11"/>
      <c r="K647" s="11"/>
      <c r="L647" s="11"/>
      <c r="M647" s="11"/>
      <c r="N647" s="11"/>
      <c r="O647" s="11"/>
      <c r="P647" s="11"/>
      <c r="Q647" s="11"/>
      <c r="R647" s="11"/>
      <c r="S647" s="11"/>
      <c r="T647" s="11"/>
      <c r="U647" s="11"/>
      <c r="V647" s="11"/>
      <c r="W647" s="11"/>
      <c r="X647" s="11"/>
      <c r="Y647" s="11"/>
      <c r="Z647" s="11"/>
    </row>
    <row r="648">
      <c r="A648" s="11"/>
      <c r="B648" s="11"/>
      <c r="C648" s="11"/>
      <c r="D648" s="11"/>
      <c r="E648" s="11"/>
      <c r="F648" s="12"/>
      <c r="G648" s="12"/>
      <c r="H648" s="12"/>
      <c r="I648" s="12"/>
      <c r="J648" s="11"/>
      <c r="K648" s="11"/>
      <c r="L648" s="11"/>
      <c r="M648" s="11"/>
      <c r="N648" s="11"/>
      <c r="O648" s="11"/>
      <c r="P648" s="11"/>
      <c r="Q648" s="11"/>
      <c r="R648" s="11"/>
      <c r="S648" s="11"/>
      <c r="T648" s="11"/>
      <c r="U648" s="11"/>
      <c r="V648" s="11"/>
      <c r="W648" s="11"/>
      <c r="X648" s="11"/>
      <c r="Y648" s="11"/>
      <c r="Z648" s="11"/>
    </row>
    <row r="649">
      <c r="A649" s="11"/>
      <c r="B649" s="11"/>
      <c r="C649" s="11"/>
      <c r="D649" s="11"/>
      <c r="E649" s="11"/>
      <c r="F649" s="12"/>
      <c r="G649" s="12"/>
      <c r="H649" s="12"/>
      <c r="I649" s="12"/>
      <c r="J649" s="11"/>
      <c r="K649" s="11"/>
      <c r="L649" s="11"/>
      <c r="M649" s="11"/>
      <c r="N649" s="11"/>
      <c r="O649" s="11"/>
      <c r="P649" s="11"/>
      <c r="Q649" s="11"/>
      <c r="R649" s="11"/>
      <c r="S649" s="11"/>
      <c r="T649" s="11"/>
      <c r="U649" s="11"/>
      <c r="V649" s="11"/>
      <c r="W649" s="11"/>
      <c r="X649" s="11"/>
      <c r="Y649" s="11"/>
      <c r="Z649" s="11"/>
    </row>
    <row r="650">
      <c r="A650" s="11"/>
      <c r="B650" s="11"/>
      <c r="C650" s="11"/>
      <c r="D650" s="11"/>
      <c r="E650" s="11"/>
      <c r="F650" s="12"/>
      <c r="G650" s="12"/>
      <c r="H650" s="12"/>
      <c r="I650" s="12"/>
      <c r="J650" s="11"/>
      <c r="K650" s="11"/>
      <c r="L650" s="11"/>
      <c r="M650" s="11"/>
      <c r="N650" s="11"/>
      <c r="O650" s="11"/>
      <c r="P650" s="11"/>
      <c r="Q650" s="11"/>
      <c r="R650" s="11"/>
      <c r="S650" s="11"/>
      <c r="T650" s="11"/>
      <c r="U650" s="11"/>
      <c r="V650" s="11"/>
      <c r="W650" s="11"/>
      <c r="X650" s="11"/>
      <c r="Y650" s="11"/>
      <c r="Z650" s="11"/>
    </row>
    <row r="651">
      <c r="A651" s="11"/>
      <c r="B651" s="11"/>
      <c r="C651" s="11"/>
      <c r="D651" s="11"/>
      <c r="E651" s="11"/>
      <c r="F651" s="12"/>
      <c r="G651" s="12"/>
      <c r="H651" s="12"/>
      <c r="I651" s="12"/>
      <c r="J651" s="11"/>
      <c r="K651" s="11"/>
      <c r="L651" s="11"/>
      <c r="M651" s="11"/>
      <c r="N651" s="11"/>
      <c r="O651" s="11"/>
      <c r="P651" s="11"/>
      <c r="Q651" s="11"/>
      <c r="R651" s="11"/>
      <c r="S651" s="11"/>
      <c r="T651" s="11"/>
      <c r="U651" s="11"/>
      <c r="V651" s="11"/>
      <c r="W651" s="11"/>
      <c r="X651" s="11"/>
      <c r="Y651" s="11"/>
      <c r="Z651" s="11"/>
    </row>
    <row r="652">
      <c r="A652" s="11"/>
      <c r="B652" s="11"/>
      <c r="C652" s="11"/>
      <c r="D652" s="11"/>
      <c r="E652" s="11"/>
      <c r="F652" s="12"/>
      <c r="G652" s="12"/>
      <c r="H652" s="12"/>
      <c r="I652" s="12"/>
      <c r="J652" s="11"/>
      <c r="K652" s="11"/>
      <c r="L652" s="11"/>
      <c r="M652" s="11"/>
      <c r="N652" s="11"/>
      <c r="O652" s="11"/>
      <c r="P652" s="11"/>
      <c r="Q652" s="11"/>
      <c r="R652" s="11"/>
      <c r="S652" s="11"/>
      <c r="T652" s="11"/>
      <c r="U652" s="11"/>
      <c r="V652" s="11"/>
      <c r="W652" s="11"/>
      <c r="X652" s="11"/>
      <c r="Y652" s="11"/>
      <c r="Z652" s="11"/>
    </row>
    <row r="653">
      <c r="A653" s="11"/>
      <c r="B653" s="11"/>
      <c r="C653" s="11"/>
      <c r="D653" s="11"/>
      <c r="E653" s="11"/>
      <c r="F653" s="12"/>
      <c r="G653" s="12"/>
      <c r="H653" s="12"/>
      <c r="I653" s="12"/>
      <c r="J653" s="11"/>
      <c r="K653" s="11"/>
      <c r="L653" s="11"/>
      <c r="M653" s="11"/>
      <c r="N653" s="11"/>
      <c r="O653" s="11"/>
      <c r="P653" s="11"/>
      <c r="Q653" s="11"/>
      <c r="R653" s="11"/>
      <c r="S653" s="11"/>
      <c r="T653" s="11"/>
      <c r="U653" s="11"/>
      <c r="V653" s="11"/>
      <c r="W653" s="11"/>
      <c r="X653" s="11"/>
      <c r="Y653" s="11"/>
      <c r="Z653" s="11"/>
    </row>
    <row r="654">
      <c r="A654" s="11"/>
      <c r="B654" s="11"/>
      <c r="C654" s="11"/>
      <c r="D654" s="11"/>
      <c r="E654" s="11"/>
      <c r="F654" s="12"/>
      <c r="G654" s="12"/>
      <c r="H654" s="12"/>
      <c r="I654" s="12"/>
      <c r="J654" s="11"/>
      <c r="K654" s="11"/>
      <c r="L654" s="11"/>
      <c r="M654" s="11"/>
      <c r="N654" s="11"/>
      <c r="O654" s="11"/>
      <c r="P654" s="11"/>
      <c r="Q654" s="11"/>
      <c r="R654" s="11"/>
      <c r="S654" s="11"/>
      <c r="T654" s="11"/>
      <c r="U654" s="11"/>
      <c r="V654" s="11"/>
      <c r="W654" s="11"/>
      <c r="X654" s="11"/>
      <c r="Y654" s="11"/>
      <c r="Z654" s="11"/>
    </row>
    <row r="655">
      <c r="A655" s="11"/>
      <c r="B655" s="11"/>
      <c r="C655" s="11"/>
      <c r="D655" s="11"/>
      <c r="E655" s="11"/>
      <c r="F655" s="12"/>
      <c r="G655" s="12"/>
      <c r="H655" s="12"/>
      <c r="I655" s="12"/>
      <c r="J655" s="11"/>
      <c r="K655" s="11"/>
      <c r="L655" s="11"/>
      <c r="M655" s="11"/>
      <c r="N655" s="11"/>
      <c r="O655" s="11"/>
      <c r="P655" s="11"/>
      <c r="Q655" s="11"/>
      <c r="R655" s="11"/>
      <c r="S655" s="11"/>
      <c r="T655" s="11"/>
      <c r="U655" s="11"/>
      <c r="V655" s="11"/>
      <c r="W655" s="11"/>
      <c r="X655" s="11"/>
      <c r="Y655" s="11"/>
      <c r="Z655" s="11"/>
    </row>
    <row r="656">
      <c r="A656" s="11"/>
      <c r="B656" s="11"/>
      <c r="C656" s="11"/>
      <c r="D656" s="11"/>
      <c r="E656" s="11"/>
      <c r="F656" s="12"/>
      <c r="G656" s="12"/>
      <c r="H656" s="12"/>
      <c r="I656" s="12"/>
      <c r="J656" s="11"/>
      <c r="K656" s="11"/>
      <c r="L656" s="11"/>
      <c r="M656" s="11"/>
      <c r="N656" s="11"/>
      <c r="O656" s="11"/>
      <c r="P656" s="11"/>
      <c r="Q656" s="11"/>
      <c r="R656" s="11"/>
      <c r="S656" s="11"/>
      <c r="T656" s="11"/>
      <c r="U656" s="11"/>
      <c r="V656" s="11"/>
      <c r="W656" s="11"/>
      <c r="X656" s="11"/>
      <c r="Y656" s="11"/>
      <c r="Z656" s="11"/>
    </row>
    <row r="657">
      <c r="A657" s="11"/>
      <c r="B657" s="11"/>
      <c r="C657" s="11"/>
      <c r="D657" s="11"/>
      <c r="E657" s="11"/>
      <c r="F657" s="12"/>
      <c r="G657" s="12"/>
      <c r="H657" s="12"/>
      <c r="I657" s="12"/>
      <c r="J657" s="11"/>
      <c r="K657" s="11"/>
      <c r="L657" s="11"/>
      <c r="M657" s="11"/>
      <c r="N657" s="11"/>
      <c r="O657" s="11"/>
      <c r="P657" s="11"/>
      <c r="Q657" s="11"/>
      <c r="R657" s="11"/>
      <c r="S657" s="11"/>
      <c r="T657" s="11"/>
      <c r="U657" s="11"/>
      <c r="V657" s="11"/>
      <c r="W657" s="11"/>
      <c r="X657" s="11"/>
      <c r="Y657" s="11"/>
      <c r="Z657" s="11"/>
    </row>
    <row r="658">
      <c r="A658" s="11"/>
      <c r="B658" s="11"/>
      <c r="C658" s="11"/>
      <c r="D658" s="11"/>
      <c r="E658" s="11"/>
      <c r="F658" s="12"/>
      <c r="G658" s="12"/>
      <c r="H658" s="12"/>
      <c r="I658" s="12"/>
      <c r="J658" s="11"/>
      <c r="K658" s="11"/>
      <c r="L658" s="11"/>
      <c r="M658" s="11"/>
      <c r="N658" s="11"/>
      <c r="O658" s="11"/>
      <c r="P658" s="11"/>
      <c r="Q658" s="11"/>
      <c r="R658" s="11"/>
      <c r="S658" s="11"/>
      <c r="T658" s="11"/>
      <c r="U658" s="11"/>
      <c r="V658" s="11"/>
      <c r="W658" s="11"/>
      <c r="X658" s="11"/>
      <c r="Y658" s="11"/>
      <c r="Z658" s="11"/>
    </row>
    <row r="659">
      <c r="A659" s="11"/>
      <c r="B659" s="11"/>
      <c r="C659" s="11"/>
      <c r="D659" s="11"/>
      <c r="E659" s="11"/>
      <c r="F659" s="12"/>
      <c r="G659" s="12"/>
      <c r="H659" s="12"/>
      <c r="I659" s="12"/>
      <c r="J659" s="11"/>
      <c r="K659" s="11"/>
      <c r="L659" s="11"/>
      <c r="M659" s="11"/>
      <c r="N659" s="11"/>
      <c r="O659" s="11"/>
      <c r="P659" s="11"/>
      <c r="Q659" s="11"/>
      <c r="R659" s="11"/>
      <c r="S659" s="11"/>
      <c r="T659" s="11"/>
      <c r="U659" s="11"/>
      <c r="V659" s="11"/>
      <c r="W659" s="11"/>
      <c r="X659" s="11"/>
      <c r="Y659" s="11"/>
      <c r="Z659" s="11"/>
    </row>
    <row r="660">
      <c r="A660" s="11"/>
      <c r="B660" s="11"/>
      <c r="C660" s="11"/>
      <c r="D660" s="11"/>
      <c r="E660" s="11"/>
      <c r="F660" s="12"/>
      <c r="G660" s="12"/>
      <c r="H660" s="12"/>
      <c r="I660" s="12"/>
      <c r="J660" s="11"/>
      <c r="K660" s="11"/>
      <c r="L660" s="11"/>
      <c r="M660" s="11"/>
      <c r="N660" s="11"/>
      <c r="O660" s="11"/>
      <c r="P660" s="11"/>
      <c r="Q660" s="11"/>
      <c r="R660" s="11"/>
      <c r="S660" s="11"/>
      <c r="T660" s="11"/>
      <c r="U660" s="11"/>
      <c r="V660" s="11"/>
      <c r="W660" s="11"/>
      <c r="X660" s="11"/>
      <c r="Y660" s="11"/>
      <c r="Z660" s="11"/>
    </row>
    <row r="661">
      <c r="A661" s="11"/>
      <c r="B661" s="11"/>
      <c r="C661" s="11"/>
      <c r="D661" s="11"/>
      <c r="E661" s="11"/>
      <c r="F661" s="12"/>
      <c r="G661" s="12"/>
      <c r="H661" s="12"/>
      <c r="I661" s="12"/>
      <c r="J661" s="11"/>
      <c r="K661" s="11"/>
      <c r="L661" s="11"/>
      <c r="M661" s="11"/>
      <c r="N661" s="11"/>
      <c r="O661" s="11"/>
      <c r="P661" s="11"/>
      <c r="Q661" s="11"/>
      <c r="R661" s="11"/>
      <c r="S661" s="11"/>
      <c r="T661" s="11"/>
      <c r="U661" s="11"/>
      <c r="V661" s="11"/>
      <c r="W661" s="11"/>
      <c r="X661" s="11"/>
      <c r="Y661" s="11"/>
      <c r="Z661" s="11"/>
    </row>
    <row r="662">
      <c r="A662" s="11"/>
      <c r="B662" s="11"/>
      <c r="C662" s="11"/>
      <c r="D662" s="11"/>
      <c r="E662" s="11"/>
      <c r="F662" s="12"/>
      <c r="G662" s="12"/>
      <c r="H662" s="12"/>
      <c r="I662" s="12"/>
      <c r="J662" s="11"/>
      <c r="K662" s="11"/>
      <c r="L662" s="11"/>
      <c r="M662" s="11"/>
      <c r="N662" s="11"/>
      <c r="O662" s="11"/>
      <c r="P662" s="11"/>
      <c r="Q662" s="11"/>
      <c r="R662" s="11"/>
      <c r="S662" s="11"/>
      <c r="T662" s="11"/>
      <c r="U662" s="11"/>
      <c r="V662" s="11"/>
      <c r="W662" s="11"/>
      <c r="X662" s="11"/>
      <c r="Y662" s="11"/>
      <c r="Z662" s="11"/>
    </row>
    <row r="663">
      <c r="A663" s="11"/>
      <c r="B663" s="11"/>
      <c r="C663" s="11"/>
      <c r="D663" s="11"/>
      <c r="E663" s="11"/>
      <c r="F663" s="12"/>
      <c r="G663" s="12"/>
      <c r="H663" s="12"/>
      <c r="I663" s="12"/>
      <c r="J663" s="11"/>
      <c r="K663" s="11"/>
      <c r="L663" s="11"/>
      <c r="M663" s="11"/>
      <c r="N663" s="11"/>
      <c r="O663" s="11"/>
      <c r="P663" s="11"/>
      <c r="Q663" s="11"/>
      <c r="R663" s="11"/>
      <c r="S663" s="11"/>
      <c r="T663" s="11"/>
      <c r="U663" s="11"/>
      <c r="V663" s="11"/>
      <c r="W663" s="11"/>
      <c r="X663" s="11"/>
      <c r="Y663" s="11"/>
      <c r="Z663" s="11"/>
    </row>
    <row r="664">
      <c r="A664" s="11"/>
      <c r="B664" s="11"/>
      <c r="C664" s="11"/>
      <c r="D664" s="11"/>
      <c r="E664" s="11"/>
      <c r="F664" s="12"/>
      <c r="G664" s="12"/>
      <c r="H664" s="12"/>
      <c r="I664" s="12"/>
      <c r="J664" s="11"/>
      <c r="K664" s="11"/>
      <c r="L664" s="11"/>
      <c r="M664" s="11"/>
      <c r="N664" s="11"/>
      <c r="O664" s="11"/>
      <c r="P664" s="11"/>
      <c r="Q664" s="11"/>
      <c r="R664" s="11"/>
      <c r="S664" s="11"/>
      <c r="T664" s="11"/>
      <c r="U664" s="11"/>
      <c r="V664" s="11"/>
      <c r="W664" s="11"/>
      <c r="X664" s="11"/>
      <c r="Y664" s="11"/>
      <c r="Z664" s="11"/>
    </row>
    <row r="665">
      <c r="A665" s="11"/>
      <c r="B665" s="11"/>
      <c r="C665" s="11"/>
      <c r="D665" s="11"/>
      <c r="E665" s="11"/>
      <c r="F665" s="12"/>
      <c r="G665" s="12"/>
      <c r="H665" s="12"/>
      <c r="I665" s="12"/>
      <c r="J665" s="11"/>
      <c r="K665" s="11"/>
      <c r="L665" s="11"/>
      <c r="M665" s="11"/>
      <c r="N665" s="11"/>
      <c r="O665" s="11"/>
      <c r="P665" s="11"/>
      <c r="Q665" s="11"/>
      <c r="R665" s="11"/>
      <c r="S665" s="11"/>
      <c r="T665" s="11"/>
      <c r="U665" s="11"/>
      <c r="V665" s="11"/>
      <c r="W665" s="11"/>
      <c r="X665" s="11"/>
      <c r="Y665" s="11"/>
      <c r="Z665" s="11"/>
    </row>
    <row r="666">
      <c r="A666" s="11"/>
      <c r="B666" s="11"/>
      <c r="C666" s="11"/>
      <c r="D666" s="11"/>
      <c r="E666" s="11"/>
      <c r="F666" s="12"/>
      <c r="G666" s="12"/>
      <c r="H666" s="12"/>
      <c r="I666" s="12"/>
      <c r="J666" s="11"/>
      <c r="K666" s="11"/>
      <c r="L666" s="11"/>
      <c r="M666" s="11"/>
      <c r="N666" s="11"/>
      <c r="O666" s="11"/>
      <c r="P666" s="11"/>
      <c r="Q666" s="11"/>
      <c r="R666" s="11"/>
      <c r="S666" s="11"/>
      <c r="T666" s="11"/>
      <c r="U666" s="11"/>
      <c r="V666" s="11"/>
      <c r="W666" s="11"/>
      <c r="X666" s="11"/>
      <c r="Y666" s="11"/>
      <c r="Z666" s="11"/>
    </row>
    <row r="667">
      <c r="A667" s="11"/>
      <c r="B667" s="11"/>
      <c r="C667" s="11"/>
      <c r="D667" s="11"/>
      <c r="E667" s="11"/>
      <c r="F667" s="12"/>
      <c r="G667" s="12"/>
      <c r="H667" s="12"/>
      <c r="I667" s="12"/>
      <c r="J667" s="11"/>
      <c r="K667" s="11"/>
      <c r="L667" s="11"/>
      <c r="M667" s="11"/>
      <c r="N667" s="11"/>
      <c r="O667" s="11"/>
      <c r="P667" s="11"/>
      <c r="Q667" s="11"/>
      <c r="R667" s="11"/>
      <c r="S667" s="11"/>
      <c r="T667" s="11"/>
      <c r="U667" s="11"/>
      <c r="V667" s="11"/>
      <c r="W667" s="11"/>
      <c r="X667" s="11"/>
      <c r="Y667" s="11"/>
      <c r="Z667" s="11"/>
    </row>
    <row r="668">
      <c r="A668" s="11"/>
      <c r="B668" s="11"/>
      <c r="C668" s="11"/>
      <c r="D668" s="11"/>
      <c r="E668" s="11"/>
      <c r="F668" s="12"/>
      <c r="G668" s="12"/>
      <c r="H668" s="12"/>
      <c r="I668" s="12"/>
      <c r="J668" s="11"/>
      <c r="K668" s="11"/>
      <c r="L668" s="11"/>
      <c r="M668" s="11"/>
      <c r="N668" s="11"/>
      <c r="O668" s="11"/>
      <c r="P668" s="11"/>
      <c r="Q668" s="11"/>
      <c r="R668" s="11"/>
      <c r="S668" s="11"/>
      <c r="T668" s="11"/>
      <c r="U668" s="11"/>
      <c r="V668" s="11"/>
      <c r="W668" s="11"/>
      <c r="X668" s="11"/>
      <c r="Y668" s="11"/>
      <c r="Z668" s="11"/>
    </row>
    <row r="669">
      <c r="A669" s="11"/>
      <c r="B669" s="11"/>
      <c r="C669" s="11"/>
      <c r="D669" s="11"/>
      <c r="E669" s="11"/>
      <c r="F669" s="12"/>
      <c r="G669" s="12"/>
      <c r="H669" s="12"/>
      <c r="I669" s="12"/>
      <c r="J669" s="11"/>
      <c r="K669" s="11"/>
      <c r="L669" s="11"/>
      <c r="M669" s="11"/>
      <c r="N669" s="11"/>
      <c r="O669" s="11"/>
      <c r="P669" s="11"/>
      <c r="Q669" s="11"/>
      <c r="R669" s="11"/>
      <c r="S669" s="11"/>
      <c r="T669" s="11"/>
      <c r="U669" s="11"/>
      <c r="V669" s="11"/>
      <c r="W669" s="11"/>
      <c r="X669" s="11"/>
      <c r="Y669" s="11"/>
      <c r="Z669" s="11"/>
    </row>
    <row r="670">
      <c r="A670" s="11"/>
      <c r="B670" s="11"/>
      <c r="C670" s="11"/>
      <c r="D670" s="11"/>
      <c r="E670" s="11"/>
      <c r="F670" s="12"/>
      <c r="G670" s="12"/>
      <c r="H670" s="12"/>
      <c r="I670" s="12"/>
      <c r="J670" s="11"/>
      <c r="K670" s="11"/>
      <c r="L670" s="11"/>
      <c r="M670" s="11"/>
      <c r="N670" s="11"/>
      <c r="O670" s="11"/>
      <c r="P670" s="11"/>
      <c r="Q670" s="11"/>
      <c r="R670" s="11"/>
      <c r="S670" s="11"/>
      <c r="T670" s="11"/>
      <c r="U670" s="11"/>
      <c r="V670" s="11"/>
      <c r="W670" s="11"/>
      <c r="X670" s="11"/>
      <c r="Y670" s="11"/>
      <c r="Z670" s="11"/>
    </row>
    <row r="671">
      <c r="A671" s="11"/>
      <c r="B671" s="11"/>
      <c r="C671" s="11"/>
      <c r="D671" s="11"/>
      <c r="E671" s="11"/>
      <c r="F671" s="12"/>
      <c r="G671" s="12"/>
      <c r="H671" s="12"/>
      <c r="I671" s="12"/>
      <c r="J671" s="11"/>
      <c r="K671" s="11"/>
      <c r="L671" s="11"/>
      <c r="M671" s="11"/>
      <c r="N671" s="11"/>
      <c r="O671" s="11"/>
      <c r="P671" s="11"/>
      <c r="Q671" s="11"/>
      <c r="R671" s="11"/>
      <c r="S671" s="11"/>
      <c r="T671" s="11"/>
      <c r="U671" s="11"/>
      <c r="V671" s="11"/>
      <c r="W671" s="11"/>
      <c r="X671" s="11"/>
      <c r="Y671" s="11"/>
      <c r="Z671" s="11"/>
    </row>
    <row r="672">
      <c r="A672" s="11"/>
      <c r="B672" s="11"/>
      <c r="C672" s="11"/>
      <c r="D672" s="11"/>
      <c r="E672" s="11"/>
      <c r="F672" s="12"/>
      <c r="G672" s="12"/>
      <c r="H672" s="12"/>
      <c r="I672" s="12"/>
      <c r="J672" s="11"/>
      <c r="K672" s="11"/>
      <c r="L672" s="11"/>
      <c r="M672" s="11"/>
      <c r="N672" s="11"/>
      <c r="O672" s="11"/>
      <c r="P672" s="11"/>
      <c r="Q672" s="11"/>
      <c r="R672" s="11"/>
      <c r="S672" s="11"/>
      <c r="T672" s="11"/>
      <c r="U672" s="11"/>
      <c r="V672" s="11"/>
      <c r="W672" s="11"/>
      <c r="X672" s="11"/>
      <c r="Y672" s="11"/>
      <c r="Z672" s="11"/>
    </row>
    <row r="673">
      <c r="A673" s="11"/>
      <c r="B673" s="11"/>
      <c r="C673" s="11"/>
      <c r="D673" s="11"/>
      <c r="E673" s="11"/>
      <c r="F673" s="12"/>
      <c r="G673" s="12"/>
      <c r="H673" s="12"/>
      <c r="I673" s="12"/>
      <c r="J673" s="11"/>
      <c r="K673" s="11"/>
      <c r="L673" s="11"/>
      <c r="M673" s="11"/>
      <c r="N673" s="11"/>
      <c r="O673" s="11"/>
      <c r="P673" s="11"/>
      <c r="Q673" s="11"/>
      <c r="R673" s="11"/>
      <c r="S673" s="11"/>
      <c r="T673" s="11"/>
      <c r="U673" s="11"/>
      <c r="V673" s="11"/>
      <c r="W673" s="11"/>
      <c r="X673" s="11"/>
      <c r="Y673" s="11"/>
      <c r="Z673" s="11"/>
    </row>
    <row r="674">
      <c r="A674" s="11"/>
      <c r="B674" s="11"/>
      <c r="C674" s="11"/>
      <c r="D674" s="11"/>
      <c r="E674" s="11"/>
      <c r="F674" s="12"/>
      <c r="G674" s="12"/>
      <c r="H674" s="12"/>
      <c r="I674" s="12"/>
      <c r="J674" s="11"/>
      <c r="K674" s="11"/>
      <c r="L674" s="11"/>
      <c r="M674" s="11"/>
      <c r="N674" s="11"/>
      <c r="O674" s="11"/>
      <c r="P674" s="11"/>
      <c r="Q674" s="11"/>
      <c r="R674" s="11"/>
      <c r="S674" s="11"/>
      <c r="T674" s="11"/>
      <c r="U674" s="11"/>
      <c r="V674" s="11"/>
      <c r="W674" s="11"/>
      <c r="X674" s="11"/>
      <c r="Y674" s="11"/>
      <c r="Z674" s="11"/>
    </row>
    <row r="675">
      <c r="A675" s="11"/>
      <c r="B675" s="11"/>
      <c r="C675" s="11"/>
      <c r="D675" s="11"/>
      <c r="E675" s="11"/>
      <c r="F675" s="12"/>
      <c r="G675" s="12"/>
      <c r="H675" s="12"/>
      <c r="I675" s="12"/>
      <c r="J675" s="11"/>
      <c r="K675" s="11"/>
      <c r="L675" s="11"/>
      <c r="M675" s="11"/>
      <c r="N675" s="11"/>
      <c r="O675" s="11"/>
      <c r="P675" s="11"/>
      <c r="Q675" s="11"/>
      <c r="R675" s="11"/>
      <c r="S675" s="11"/>
      <c r="T675" s="11"/>
      <c r="U675" s="11"/>
      <c r="V675" s="11"/>
      <c r="W675" s="11"/>
      <c r="X675" s="11"/>
      <c r="Y675" s="11"/>
      <c r="Z675" s="11"/>
    </row>
    <row r="676">
      <c r="A676" s="11"/>
      <c r="B676" s="11"/>
      <c r="C676" s="11"/>
      <c r="D676" s="11"/>
      <c r="E676" s="11"/>
      <c r="F676" s="12"/>
      <c r="G676" s="12"/>
      <c r="H676" s="12"/>
      <c r="I676" s="12"/>
      <c r="J676" s="11"/>
      <c r="K676" s="11"/>
      <c r="L676" s="11"/>
      <c r="M676" s="11"/>
      <c r="N676" s="11"/>
      <c r="O676" s="11"/>
      <c r="P676" s="11"/>
      <c r="Q676" s="11"/>
      <c r="R676" s="11"/>
      <c r="S676" s="11"/>
      <c r="T676" s="11"/>
      <c r="U676" s="11"/>
      <c r="V676" s="11"/>
      <c r="W676" s="11"/>
      <c r="X676" s="11"/>
      <c r="Y676" s="11"/>
      <c r="Z676" s="11"/>
    </row>
    <row r="677">
      <c r="A677" s="11"/>
      <c r="B677" s="11"/>
      <c r="C677" s="11"/>
      <c r="D677" s="11"/>
      <c r="E677" s="11"/>
      <c r="F677" s="12"/>
      <c r="G677" s="12"/>
      <c r="H677" s="12"/>
      <c r="I677" s="12"/>
      <c r="J677" s="11"/>
      <c r="K677" s="11"/>
      <c r="L677" s="11"/>
      <c r="M677" s="11"/>
      <c r="N677" s="11"/>
      <c r="O677" s="11"/>
      <c r="P677" s="11"/>
      <c r="Q677" s="11"/>
      <c r="R677" s="11"/>
      <c r="S677" s="11"/>
      <c r="T677" s="11"/>
      <c r="U677" s="11"/>
      <c r="V677" s="11"/>
      <c r="W677" s="11"/>
      <c r="X677" s="11"/>
      <c r="Y677" s="11"/>
      <c r="Z677" s="11"/>
    </row>
    <row r="678">
      <c r="A678" s="11"/>
      <c r="B678" s="11"/>
      <c r="C678" s="11"/>
      <c r="D678" s="11"/>
      <c r="E678" s="11"/>
      <c r="F678" s="12"/>
      <c r="G678" s="12"/>
      <c r="H678" s="12"/>
      <c r="I678" s="12"/>
      <c r="J678" s="11"/>
      <c r="K678" s="11"/>
      <c r="L678" s="11"/>
      <c r="M678" s="11"/>
      <c r="N678" s="11"/>
      <c r="O678" s="11"/>
      <c r="P678" s="11"/>
      <c r="Q678" s="11"/>
      <c r="R678" s="11"/>
      <c r="S678" s="11"/>
      <c r="T678" s="11"/>
      <c r="U678" s="11"/>
      <c r="V678" s="11"/>
      <c r="W678" s="11"/>
      <c r="X678" s="11"/>
      <c r="Y678" s="11"/>
      <c r="Z678" s="11"/>
    </row>
    <row r="679">
      <c r="A679" s="11"/>
      <c r="B679" s="11"/>
      <c r="C679" s="11"/>
      <c r="D679" s="11"/>
      <c r="E679" s="11"/>
      <c r="F679" s="12"/>
      <c r="G679" s="12"/>
      <c r="H679" s="12"/>
      <c r="I679" s="12"/>
      <c r="J679" s="11"/>
      <c r="K679" s="11"/>
      <c r="L679" s="11"/>
      <c r="M679" s="11"/>
      <c r="N679" s="11"/>
      <c r="O679" s="11"/>
      <c r="P679" s="11"/>
      <c r="Q679" s="11"/>
      <c r="R679" s="11"/>
      <c r="S679" s="11"/>
      <c r="T679" s="11"/>
      <c r="U679" s="11"/>
      <c r="V679" s="11"/>
      <c r="W679" s="11"/>
      <c r="X679" s="11"/>
      <c r="Y679" s="11"/>
      <c r="Z679" s="11"/>
    </row>
    <row r="680">
      <c r="A680" s="11"/>
      <c r="B680" s="11"/>
      <c r="C680" s="11"/>
      <c r="D680" s="11"/>
      <c r="E680" s="11"/>
      <c r="F680" s="12"/>
      <c r="G680" s="12"/>
      <c r="H680" s="12"/>
      <c r="I680" s="12"/>
      <c r="J680" s="11"/>
      <c r="K680" s="11"/>
      <c r="L680" s="11"/>
      <c r="M680" s="11"/>
      <c r="N680" s="11"/>
      <c r="O680" s="11"/>
      <c r="P680" s="11"/>
      <c r="Q680" s="11"/>
      <c r="R680" s="11"/>
      <c r="S680" s="11"/>
      <c r="T680" s="11"/>
      <c r="U680" s="11"/>
      <c r="V680" s="11"/>
      <c r="W680" s="11"/>
      <c r="X680" s="11"/>
      <c r="Y680" s="11"/>
      <c r="Z680" s="11"/>
    </row>
    <row r="681">
      <c r="A681" s="11"/>
      <c r="B681" s="11"/>
      <c r="C681" s="11"/>
      <c r="D681" s="11"/>
      <c r="E681" s="11"/>
      <c r="F681" s="12"/>
      <c r="G681" s="12"/>
      <c r="H681" s="12"/>
      <c r="I681" s="12"/>
      <c r="J681" s="11"/>
      <c r="K681" s="11"/>
      <c r="L681" s="11"/>
      <c r="M681" s="11"/>
      <c r="N681" s="11"/>
      <c r="O681" s="11"/>
      <c r="P681" s="11"/>
      <c r="Q681" s="11"/>
      <c r="R681" s="11"/>
      <c r="S681" s="11"/>
      <c r="T681" s="11"/>
      <c r="U681" s="11"/>
      <c r="V681" s="11"/>
      <c r="W681" s="11"/>
      <c r="X681" s="11"/>
      <c r="Y681" s="11"/>
      <c r="Z681" s="11"/>
    </row>
    <row r="682">
      <c r="A682" s="11"/>
      <c r="B682" s="11"/>
      <c r="C682" s="11"/>
      <c r="D682" s="11"/>
      <c r="E682" s="11"/>
      <c r="F682" s="12"/>
      <c r="G682" s="12"/>
      <c r="H682" s="12"/>
      <c r="I682" s="12"/>
      <c r="J682" s="11"/>
      <c r="K682" s="11"/>
      <c r="L682" s="11"/>
      <c r="M682" s="11"/>
      <c r="N682" s="11"/>
      <c r="O682" s="11"/>
      <c r="P682" s="11"/>
      <c r="Q682" s="11"/>
      <c r="R682" s="11"/>
      <c r="S682" s="11"/>
      <c r="T682" s="11"/>
      <c r="U682" s="11"/>
      <c r="V682" s="11"/>
      <c r="W682" s="11"/>
      <c r="X682" s="11"/>
      <c r="Y682" s="11"/>
      <c r="Z682" s="11"/>
    </row>
    <row r="683">
      <c r="A683" s="11"/>
      <c r="B683" s="11"/>
      <c r="C683" s="11"/>
      <c r="D683" s="11"/>
      <c r="E683" s="11"/>
      <c r="F683" s="12"/>
      <c r="G683" s="12"/>
      <c r="H683" s="12"/>
      <c r="I683" s="12"/>
      <c r="J683" s="11"/>
      <c r="K683" s="11"/>
      <c r="L683" s="11"/>
      <c r="M683" s="11"/>
      <c r="N683" s="11"/>
      <c r="O683" s="11"/>
      <c r="P683" s="11"/>
      <c r="Q683" s="11"/>
      <c r="R683" s="11"/>
      <c r="S683" s="11"/>
      <c r="T683" s="11"/>
      <c r="U683" s="11"/>
      <c r="V683" s="11"/>
      <c r="W683" s="11"/>
      <c r="X683" s="11"/>
      <c r="Y683" s="11"/>
      <c r="Z683" s="11"/>
    </row>
    <row r="684">
      <c r="A684" s="11"/>
      <c r="B684" s="11"/>
      <c r="C684" s="11"/>
      <c r="D684" s="11"/>
      <c r="E684" s="11"/>
      <c r="F684" s="12"/>
      <c r="G684" s="12"/>
      <c r="H684" s="12"/>
      <c r="I684" s="12"/>
      <c r="J684" s="11"/>
      <c r="K684" s="11"/>
      <c r="L684" s="11"/>
      <c r="M684" s="11"/>
      <c r="N684" s="11"/>
      <c r="O684" s="11"/>
      <c r="P684" s="11"/>
      <c r="Q684" s="11"/>
      <c r="R684" s="11"/>
      <c r="S684" s="11"/>
      <c r="T684" s="11"/>
      <c r="U684" s="11"/>
      <c r="V684" s="11"/>
      <c r="W684" s="11"/>
      <c r="X684" s="11"/>
      <c r="Y684" s="11"/>
      <c r="Z684" s="11"/>
    </row>
    <row r="685">
      <c r="A685" s="11"/>
      <c r="B685" s="11"/>
      <c r="C685" s="11"/>
      <c r="D685" s="11"/>
      <c r="E685" s="11"/>
      <c r="F685" s="12"/>
      <c r="G685" s="12"/>
      <c r="H685" s="12"/>
      <c r="I685" s="12"/>
      <c r="J685" s="11"/>
      <c r="K685" s="11"/>
      <c r="L685" s="11"/>
      <c r="M685" s="11"/>
      <c r="N685" s="11"/>
      <c r="O685" s="11"/>
      <c r="P685" s="11"/>
      <c r="Q685" s="11"/>
      <c r="R685" s="11"/>
      <c r="S685" s="11"/>
      <c r="T685" s="11"/>
      <c r="U685" s="11"/>
      <c r="V685" s="11"/>
      <c r="W685" s="11"/>
      <c r="X685" s="11"/>
      <c r="Y685" s="11"/>
      <c r="Z685" s="11"/>
    </row>
    <row r="686">
      <c r="A686" s="11"/>
      <c r="B686" s="11"/>
      <c r="C686" s="11"/>
      <c r="D686" s="11"/>
      <c r="E686" s="11"/>
      <c r="F686" s="12"/>
      <c r="G686" s="12"/>
      <c r="H686" s="12"/>
      <c r="I686" s="12"/>
      <c r="J686" s="11"/>
      <c r="K686" s="11"/>
      <c r="L686" s="11"/>
      <c r="M686" s="11"/>
      <c r="N686" s="11"/>
      <c r="O686" s="11"/>
      <c r="P686" s="11"/>
      <c r="Q686" s="11"/>
      <c r="R686" s="11"/>
      <c r="S686" s="11"/>
      <c r="T686" s="11"/>
      <c r="U686" s="11"/>
      <c r="V686" s="11"/>
      <c r="W686" s="11"/>
      <c r="X686" s="11"/>
      <c r="Y686" s="11"/>
      <c r="Z686" s="11"/>
    </row>
    <row r="687">
      <c r="A687" s="11"/>
      <c r="B687" s="11"/>
      <c r="C687" s="11"/>
      <c r="D687" s="11"/>
      <c r="E687" s="11"/>
      <c r="F687" s="12"/>
      <c r="G687" s="12"/>
      <c r="H687" s="12"/>
      <c r="I687" s="12"/>
      <c r="J687" s="11"/>
      <c r="K687" s="11"/>
      <c r="L687" s="11"/>
      <c r="M687" s="11"/>
      <c r="N687" s="11"/>
      <c r="O687" s="11"/>
      <c r="P687" s="11"/>
      <c r="Q687" s="11"/>
      <c r="R687" s="11"/>
      <c r="S687" s="11"/>
      <c r="T687" s="11"/>
      <c r="U687" s="11"/>
      <c r="V687" s="11"/>
      <c r="W687" s="11"/>
      <c r="X687" s="11"/>
      <c r="Y687" s="11"/>
      <c r="Z687" s="11"/>
    </row>
    <row r="688">
      <c r="A688" s="11"/>
      <c r="B688" s="11"/>
      <c r="C688" s="11"/>
      <c r="D688" s="11"/>
      <c r="E688" s="11"/>
      <c r="F688" s="12"/>
      <c r="G688" s="12"/>
      <c r="H688" s="12"/>
      <c r="I688" s="12"/>
      <c r="J688" s="11"/>
      <c r="K688" s="11"/>
      <c r="L688" s="11"/>
      <c r="M688" s="11"/>
      <c r="N688" s="11"/>
      <c r="O688" s="11"/>
      <c r="P688" s="11"/>
      <c r="Q688" s="11"/>
      <c r="R688" s="11"/>
      <c r="S688" s="11"/>
      <c r="T688" s="11"/>
      <c r="U688" s="11"/>
      <c r="V688" s="11"/>
      <c r="W688" s="11"/>
      <c r="X688" s="11"/>
      <c r="Y688" s="11"/>
      <c r="Z688" s="11"/>
    </row>
    <row r="689">
      <c r="A689" s="11"/>
      <c r="B689" s="11"/>
      <c r="C689" s="11"/>
      <c r="D689" s="11"/>
      <c r="E689" s="11"/>
      <c r="F689" s="12"/>
      <c r="G689" s="12"/>
      <c r="H689" s="12"/>
      <c r="I689" s="12"/>
      <c r="J689" s="11"/>
      <c r="K689" s="11"/>
      <c r="L689" s="11"/>
      <c r="M689" s="11"/>
      <c r="N689" s="11"/>
      <c r="O689" s="11"/>
      <c r="P689" s="11"/>
      <c r="Q689" s="11"/>
      <c r="R689" s="11"/>
      <c r="S689" s="11"/>
      <c r="T689" s="11"/>
      <c r="U689" s="11"/>
      <c r="V689" s="11"/>
      <c r="W689" s="11"/>
      <c r="X689" s="11"/>
      <c r="Y689" s="11"/>
      <c r="Z689" s="11"/>
    </row>
    <row r="690">
      <c r="A690" s="11"/>
      <c r="B690" s="11"/>
      <c r="C690" s="11"/>
      <c r="D690" s="11"/>
      <c r="E690" s="11"/>
      <c r="F690" s="12"/>
      <c r="G690" s="12"/>
      <c r="H690" s="12"/>
      <c r="I690" s="12"/>
      <c r="J690" s="11"/>
      <c r="K690" s="11"/>
      <c r="L690" s="11"/>
      <c r="M690" s="11"/>
      <c r="N690" s="11"/>
      <c r="O690" s="11"/>
      <c r="P690" s="11"/>
      <c r="Q690" s="11"/>
      <c r="R690" s="11"/>
      <c r="S690" s="11"/>
      <c r="T690" s="11"/>
      <c r="U690" s="11"/>
      <c r="V690" s="11"/>
      <c r="W690" s="11"/>
      <c r="X690" s="11"/>
      <c r="Y690" s="11"/>
      <c r="Z690" s="11"/>
    </row>
    <row r="691">
      <c r="A691" s="11"/>
      <c r="B691" s="11"/>
      <c r="C691" s="11"/>
      <c r="D691" s="11"/>
      <c r="E691" s="11"/>
      <c r="F691" s="12"/>
      <c r="G691" s="12"/>
      <c r="H691" s="12"/>
      <c r="I691" s="12"/>
      <c r="J691" s="11"/>
      <c r="K691" s="11"/>
      <c r="L691" s="11"/>
      <c r="M691" s="11"/>
      <c r="N691" s="11"/>
      <c r="O691" s="11"/>
      <c r="P691" s="11"/>
      <c r="Q691" s="11"/>
      <c r="R691" s="11"/>
      <c r="S691" s="11"/>
      <c r="T691" s="11"/>
      <c r="U691" s="11"/>
      <c r="V691" s="11"/>
      <c r="W691" s="11"/>
      <c r="X691" s="11"/>
      <c r="Y691" s="11"/>
      <c r="Z691" s="11"/>
    </row>
    <row r="692">
      <c r="A692" s="11"/>
      <c r="B692" s="11"/>
      <c r="C692" s="11"/>
      <c r="D692" s="11"/>
      <c r="E692" s="11"/>
      <c r="F692" s="12"/>
      <c r="G692" s="12"/>
      <c r="H692" s="12"/>
      <c r="I692" s="12"/>
      <c r="J692" s="11"/>
      <c r="K692" s="11"/>
      <c r="L692" s="11"/>
      <c r="M692" s="11"/>
      <c r="N692" s="11"/>
      <c r="O692" s="11"/>
      <c r="P692" s="11"/>
      <c r="Q692" s="11"/>
      <c r="R692" s="11"/>
      <c r="S692" s="11"/>
      <c r="T692" s="11"/>
      <c r="U692" s="11"/>
      <c r="V692" s="11"/>
      <c r="W692" s="11"/>
      <c r="X692" s="11"/>
      <c r="Y692" s="11"/>
      <c r="Z692" s="11"/>
    </row>
    <row r="693">
      <c r="A693" s="11"/>
      <c r="B693" s="11"/>
      <c r="C693" s="11"/>
      <c r="D693" s="11"/>
      <c r="E693" s="11"/>
      <c r="F693" s="12"/>
      <c r="G693" s="12"/>
      <c r="H693" s="12"/>
      <c r="I693" s="12"/>
      <c r="J693" s="11"/>
      <c r="K693" s="11"/>
      <c r="L693" s="11"/>
      <c r="M693" s="11"/>
      <c r="N693" s="11"/>
      <c r="O693" s="11"/>
      <c r="P693" s="11"/>
      <c r="Q693" s="11"/>
      <c r="R693" s="11"/>
      <c r="S693" s="11"/>
      <c r="T693" s="11"/>
      <c r="U693" s="11"/>
      <c r="V693" s="11"/>
      <c r="W693" s="11"/>
      <c r="X693" s="11"/>
      <c r="Y693" s="11"/>
      <c r="Z693" s="11"/>
    </row>
    <row r="694">
      <c r="A694" s="11"/>
      <c r="B694" s="11"/>
      <c r="C694" s="11"/>
      <c r="D694" s="11"/>
      <c r="E694" s="11"/>
      <c r="F694" s="12"/>
      <c r="G694" s="12"/>
      <c r="H694" s="12"/>
      <c r="I694" s="12"/>
      <c r="J694" s="11"/>
      <c r="K694" s="11"/>
      <c r="L694" s="11"/>
      <c r="M694" s="11"/>
      <c r="N694" s="11"/>
      <c r="O694" s="11"/>
      <c r="P694" s="11"/>
      <c r="Q694" s="11"/>
      <c r="R694" s="11"/>
      <c r="S694" s="11"/>
      <c r="T694" s="11"/>
      <c r="U694" s="11"/>
      <c r="V694" s="11"/>
      <c r="W694" s="11"/>
      <c r="X694" s="11"/>
      <c r="Y694" s="11"/>
      <c r="Z694" s="11"/>
    </row>
    <row r="695">
      <c r="A695" s="11"/>
      <c r="B695" s="11"/>
      <c r="C695" s="11"/>
      <c r="D695" s="11"/>
      <c r="E695" s="11"/>
      <c r="F695" s="12"/>
      <c r="G695" s="12"/>
      <c r="H695" s="12"/>
      <c r="I695" s="12"/>
      <c r="J695" s="11"/>
      <c r="K695" s="11"/>
      <c r="L695" s="11"/>
      <c r="M695" s="11"/>
      <c r="N695" s="11"/>
      <c r="O695" s="11"/>
      <c r="P695" s="11"/>
      <c r="Q695" s="11"/>
      <c r="R695" s="11"/>
      <c r="S695" s="11"/>
      <c r="T695" s="11"/>
      <c r="U695" s="11"/>
      <c r="V695" s="11"/>
      <c r="W695" s="11"/>
      <c r="X695" s="11"/>
      <c r="Y695" s="11"/>
      <c r="Z695" s="11"/>
    </row>
    <row r="696">
      <c r="A696" s="11"/>
      <c r="B696" s="11"/>
      <c r="C696" s="11"/>
      <c r="D696" s="11"/>
      <c r="E696" s="11"/>
      <c r="F696" s="12"/>
      <c r="G696" s="12"/>
      <c r="H696" s="12"/>
      <c r="I696" s="12"/>
      <c r="J696" s="11"/>
      <c r="K696" s="11"/>
      <c r="L696" s="11"/>
      <c r="M696" s="11"/>
      <c r="N696" s="11"/>
      <c r="O696" s="11"/>
      <c r="P696" s="11"/>
      <c r="Q696" s="11"/>
      <c r="R696" s="11"/>
      <c r="S696" s="11"/>
      <c r="T696" s="11"/>
      <c r="U696" s="11"/>
      <c r="V696" s="11"/>
      <c r="W696" s="11"/>
      <c r="X696" s="11"/>
      <c r="Y696" s="11"/>
      <c r="Z696" s="11"/>
    </row>
    <row r="697">
      <c r="A697" s="11"/>
      <c r="B697" s="11"/>
      <c r="C697" s="11"/>
      <c r="D697" s="11"/>
      <c r="E697" s="11"/>
      <c r="F697" s="12"/>
      <c r="G697" s="12"/>
      <c r="H697" s="12"/>
      <c r="I697" s="12"/>
      <c r="J697" s="11"/>
      <c r="K697" s="11"/>
      <c r="L697" s="11"/>
      <c r="M697" s="11"/>
      <c r="N697" s="11"/>
      <c r="O697" s="11"/>
      <c r="P697" s="11"/>
      <c r="Q697" s="11"/>
      <c r="R697" s="11"/>
      <c r="S697" s="11"/>
      <c r="T697" s="11"/>
      <c r="U697" s="11"/>
      <c r="V697" s="11"/>
      <c r="W697" s="11"/>
      <c r="X697" s="11"/>
      <c r="Y697" s="11"/>
      <c r="Z697" s="11"/>
    </row>
    <row r="698">
      <c r="A698" s="11"/>
      <c r="B698" s="11"/>
      <c r="C698" s="11"/>
      <c r="D698" s="11"/>
      <c r="E698" s="11"/>
      <c r="F698" s="12"/>
      <c r="G698" s="12"/>
      <c r="H698" s="12"/>
      <c r="I698" s="12"/>
      <c r="J698" s="11"/>
      <c r="K698" s="11"/>
      <c r="L698" s="11"/>
      <c r="M698" s="11"/>
      <c r="N698" s="11"/>
      <c r="O698" s="11"/>
      <c r="P698" s="11"/>
      <c r="Q698" s="11"/>
      <c r="R698" s="11"/>
      <c r="S698" s="11"/>
      <c r="T698" s="11"/>
      <c r="U698" s="11"/>
      <c r="V698" s="11"/>
      <c r="W698" s="11"/>
      <c r="X698" s="11"/>
      <c r="Y698" s="11"/>
      <c r="Z698" s="11"/>
    </row>
    <row r="699">
      <c r="A699" s="11"/>
      <c r="B699" s="11"/>
      <c r="C699" s="11"/>
      <c r="D699" s="11"/>
      <c r="E699" s="11"/>
      <c r="F699" s="12"/>
      <c r="G699" s="12"/>
      <c r="H699" s="12"/>
      <c r="I699" s="12"/>
      <c r="J699" s="11"/>
      <c r="K699" s="11"/>
      <c r="L699" s="11"/>
      <c r="M699" s="11"/>
      <c r="N699" s="11"/>
      <c r="O699" s="11"/>
      <c r="P699" s="11"/>
      <c r="Q699" s="11"/>
      <c r="R699" s="11"/>
      <c r="S699" s="11"/>
      <c r="T699" s="11"/>
      <c r="U699" s="11"/>
      <c r="V699" s="11"/>
      <c r="W699" s="11"/>
      <c r="X699" s="11"/>
      <c r="Y699" s="11"/>
      <c r="Z699" s="11"/>
    </row>
    <row r="700">
      <c r="A700" s="11"/>
      <c r="B700" s="11"/>
      <c r="C700" s="11"/>
      <c r="D700" s="11"/>
      <c r="E700" s="11"/>
      <c r="F700" s="12"/>
      <c r="G700" s="12"/>
      <c r="H700" s="12"/>
      <c r="I700" s="12"/>
      <c r="J700" s="11"/>
      <c r="K700" s="11"/>
      <c r="L700" s="11"/>
      <c r="M700" s="11"/>
      <c r="N700" s="11"/>
      <c r="O700" s="11"/>
      <c r="P700" s="11"/>
      <c r="Q700" s="11"/>
      <c r="R700" s="11"/>
      <c r="S700" s="11"/>
      <c r="T700" s="11"/>
      <c r="U700" s="11"/>
      <c r="V700" s="11"/>
      <c r="W700" s="11"/>
      <c r="X700" s="11"/>
      <c r="Y700" s="11"/>
      <c r="Z700" s="11"/>
    </row>
    <row r="701">
      <c r="A701" s="11"/>
      <c r="B701" s="11"/>
      <c r="C701" s="11"/>
      <c r="D701" s="11"/>
      <c r="E701" s="11"/>
      <c r="F701" s="12"/>
      <c r="G701" s="12"/>
      <c r="H701" s="12"/>
      <c r="I701" s="12"/>
      <c r="J701" s="11"/>
      <c r="K701" s="11"/>
      <c r="L701" s="11"/>
      <c r="M701" s="11"/>
      <c r="N701" s="11"/>
      <c r="O701" s="11"/>
      <c r="P701" s="11"/>
      <c r="Q701" s="11"/>
      <c r="R701" s="11"/>
      <c r="S701" s="11"/>
      <c r="T701" s="11"/>
      <c r="U701" s="11"/>
      <c r="V701" s="11"/>
      <c r="W701" s="11"/>
      <c r="X701" s="11"/>
      <c r="Y701" s="11"/>
      <c r="Z701" s="11"/>
    </row>
    <row r="702">
      <c r="A702" s="11"/>
      <c r="B702" s="11"/>
      <c r="C702" s="11"/>
      <c r="D702" s="11"/>
      <c r="E702" s="11"/>
      <c r="F702" s="12"/>
      <c r="G702" s="12"/>
      <c r="H702" s="12"/>
      <c r="I702" s="12"/>
      <c r="J702" s="11"/>
      <c r="K702" s="11"/>
      <c r="L702" s="11"/>
      <c r="M702" s="11"/>
      <c r="N702" s="11"/>
      <c r="O702" s="11"/>
      <c r="P702" s="11"/>
      <c r="Q702" s="11"/>
      <c r="R702" s="11"/>
      <c r="S702" s="11"/>
      <c r="T702" s="11"/>
      <c r="U702" s="11"/>
      <c r="V702" s="11"/>
      <c r="W702" s="11"/>
      <c r="X702" s="11"/>
      <c r="Y702" s="11"/>
      <c r="Z702" s="11"/>
    </row>
    <row r="703">
      <c r="A703" s="11"/>
      <c r="B703" s="11"/>
      <c r="C703" s="11"/>
      <c r="D703" s="11"/>
      <c r="E703" s="11"/>
      <c r="F703" s="12"/>
      <c r="G703" s="12"/>
      <c r="H703" s="12"/>
      <c r="I703" s="12"/>
      <c r="J703" s="11"/>
      <c r="K703" s="11"/>
      <c r="L703" s="11"/>
      <c r="M703" s="11"/>
      <c r="N703" s="11"/>
      <c r="O703" s="11"/>
      <c r="P703" s="11"/>
      <c r="Q703" s="11"/>
      <c r="R703" s="11"/>
      <c r="S703" s="11"/>
      <c r="T703" s="11"/>
      <c r="U703" s="11"/>
      <c r="V703" s="11"/>
      <c r="W703" s="11"/>
      <c r="X703" s="11"/>
      <c r="Y703" s="11"/>
      <c r="Z703" s="11"/>
    </row>
    <row r="704">
      <c r="A704" s="11"/>
      <c r="B704" s="11"/>
      <c r="C704" s="11"/>
      <c r="D704" s="11"/>
      <c r="E704" s="11"/>
      <c r="F704" s="12"/>
      <c r="G704" s="12"/>
      <c r="H704" s="12"/>
      <c r="I704" s="12"/>
      <c r="J704" s="11"/>
      <c r="K704" s="11"/>
      <c r="L704" s="11"/>
      <c r="M704" s="11"/>
      <c r="N704" s="11"/>
      <c r="O704" s="11"/>
      <c r="P704" s="11"/>
      <c r="Q704" s="11"/>
      <c r="R704" s="11"/>
      <c r="S704" s="11"/>
      <c r="T704" s="11"/>
      <c r="U704" s="11"/>
      <c r="V704" s="11"/>
      <c r="W704" s="11"/>
      <c r="X704" s="11"/>
      <c r="Y704" s="11"/>
      <c r="Z704" s="11"/>
    </row>
    <row r="705">
      <c r="A705" s="11"/>
      <c r="B705" s="11"/>
      <c r="C705" s="11"/>
      <c r="D705" s="11"/>
      <c r="E705" s="11"/>
      <c r="F705" s="12"/>
      <c r="G705" s="12"/>
      <c r="H705" s="12"/>
      <c r="I705" s="12"/>
      <c r="J705" s="11"/>
      <c r="K705" s="11"/>
      <c r="L705" s="11"/>
      <c r="M705" s="11"/>
      <c r="N705" s="11"/>
      <c r="O705" s="11"/>
      <c r="P705" s="11"/>
      <c r="Q705" s="11"/>
      <c r="R705" s="11"/>
      <c r="S705" s="11"/>
      <c r="T705" s="11"/>
      <c r="U705" s="11"/>
      <c r="V705" s="11"/>
      <c r="W705" s="11"/>
      <c r="X705" s="11"/>
      <c r="Y705" s="11"/>
      <c r="Z705" s="11"/>
    </row>
    <row r="706">
      <c r="A706" s="11"/>
      <c r="B706" s="11"/>
      <c r="C706" s="11"/>
      <c r="D706" s="11"/>
      <c r="E706" s="11"/>
      <c r="F706" s="12"/>
      <c r="G706" s="12"/>
      <c r="H706" s="12"/>
      <c r="I706" s="12"/>
      <c r="J706" s="11"/>
      <c r="K706" s="11"/>
      <c r="L706" s="11"/>
      <c r="M706" s="11"/>
      <c r="N706" s="11"/>
      <c r="O706" s="11"/>
      <c r="P706" s="11"/>
      <c r="Q706" s="11"/>
      <c r="R706" s="11"/>
      <c r="S706" s="11"/>
      <c r="T706" s="11"/>
      <c r="U706" s="11"/>
      <c r="V706" s="11"/>
      <c r="W706" s="11"/>
      <c r="X706" s="11"/>
      <c r="Y706" s="11"/>
      <c r="Z706" s="11"/>
    </row>
    <row r="707">
      <c r="A707" s="11"/>
      <c r="B707" s="11"/>
      <c r="C707" s="11"/>
      <c r="D707" s="11"/>
      <c r="E707" s="11"/>
      <c r="F707" s="12"/>
      <c r="G707" s="12"/>
      <c r="H707" s="12"/>
      <c r="I707" s="12"/>
      <c r="J707" s="11"/>
      <c r="K707" s="11"/>
      <c r="L707" s="11"/>
      <c r="M707" s="11"/>
      <c r="N707" s="11"/>
      <c r="O707" s="11"/>
      <c r="P707" s="11"/>
      <c r="Q707" s="11"/>
      <c r="R707" s="11"/>
      <c r="S707" s="11"/>
      <c r="T707" s="11"/>
      <c r="U707" s="11"/>
      <c r="V707" s="11"/>
      <c r="W707" s="11"/>
      <c r="X707" s="11"/>
      <c r="Y707" s="11"/>
      <c r="Z707" s="11"/>
    </row>
    <row r="708">
      <c r="A708" s="11"/>
      <c r="B708" s="11"/>
      <c r="C708" s="11"/>
      <c r="D708" s="11"/>
      <c r="E708" s="11"/>
      <c r="F708" s="12"/>
      <c r="G708" s="12"/>
      <c r="H708" s="12"/>
      <c r="I708" s="12"/>
      <c r="J708" s="11"/>
      <c r="K708" s="11"/>
      <c r="L708" s="11"/>
      <c r="M708" s="11"/>
      <c r="N708" s="11"/>
      <c r="O708" s="11"/>
      <c r="P708" s="11"/>
      <c r="Q708" s="11"/>
      <c r="R708" s="11"/>
      <c r="S708" s="11"/>
      <c r="T708" s="11"/>
      <c r="U708" s="11"/>
      <c r="V708" s="11"/>
      <c r="W708" s="11"/>
      <c r="X708" s="11"/>
      <c r="Y708" s="11"/>
      <c r="Z708" s="11"/>
    </row>
    <row r="709">
      <c r="A709" s="11"/>
      <c r="B709" s="11"/>
      <c r="C709" s="11"/>
      <c r="D709" s="11"/>
      <c r="E709" s="11"/>
      <c r="F709" s="12"/>
      <c r="G709" s="12"/>
      <c r="H709" s="12"/>
      <c r="I709" s="12"/>
      <c r="J709" s="11"/>
      <c r="K709" s="11"/>
      <c r="L709" s="11"/>
      <c r="M709" s="11"/>
      <c r="N709" s="11"/>
      <c r="O709" s="11"/>
      <c r="P709" s="11"/>
      <c r="Q709" s="11"/>
      <c r="R709" s="11"/>
      <c r="S709" s="11"/>
      <c r="T709" s="11"/>
      <c r="U709" s="11"/>
      <c r="V709" s="11"/>
      <c r="W709" s="11"/>
      <c r="X709" s="11"/>
      <c r="Y709" s="11"/>
      <c r="Z709" s="11"/>
    </row>
    <row r="710">
      <c r="A710" s="11"/>
      <c r="B710" s="11"/>
      <c r="C710" s="11"/>
      <c r="D710" s="11"/>
      <c r="E710" s="11"/>
      <c r="F710" s="12"/>
      <c r="G710" s="12"/>
      <c r="H710" s="12"/>
      <c r="I710" s="12"/>
      <c r="J710" s="11"/>
      <c r="K710" s="11"/>
      <c r="L710" s="11"/>
      <c r="M710" s="11"/>
      <c r="N710" s="11"/>
      <c r="O710" s="11"/>
      <c r="P710" s="11"/>
      <c r="Q710" s="11"/>
      <c r="R710" s="11"/>
      <c r="S710" s="11"/>
      <c r="T710" s="11"/>
      <c r="U710" s="11"/>
      <c r="V710" s="11"/>
      <c r="W710" s="11"/>
      <c r="X710" s="11"/>
      <c r="Y710" s="11"/>
      <c r="Z710" s="11"/>
    </row>
    <row r="711">
      <c r="A711" s="11"/>
      <c r="B711" s="11"/>
      <c r="C711" s="11"/>
      <c r="D711" s="11"/>
      <c r="E711" s="11"/>
      <c r="F711" s="12"/>
      <c r="G711" s="12"/>
      <c r="H711" s="12"/>
      <c r="I711" s="12"/>
      <c r="J711" s="11"/>
      <c r="K711" s="11"/>
      <c r="L711" s="11"/>
      <c r="M711" s="11"/>
      <c r="N711" s="11"/>
      <c r="O711" s="11"/>
      <c r="P711" s="11"/>
      <c r="Q711" s="11"/>
      <c r="R711" s="11"/>
      <c r="S711" s="11"/>
      <c r="T711" s="11"/>
      <c r="U711" s="11"/>
      <c r="V711" s="11"/>
      <c r="W711" s="11"/>
      <c r="X711" s="11"/>
      <c r="Y711" s="11"/>
      <c r="Z711" s="11"/>
    </row>
    <row r="712">
      <c r="A712" s="11"/>
      <c r="B712" s="11"/>
      <c r="C712" s="11"/>
      <c r="D712" s="11"/>
      <c r="E712" s="11"/>
      <c r="F712" s="12"/>
      <c r="G712" s="12"/>
      <c r="H712" s="12"/>
      <c r="I712" s="12"/>
      <c r="J712" s="11"/>
      <c r="K712" s="11"/>
      <c r="L712" s="11"/>
      <c r="M712" s="11"/>
      <c r="N712" s="11"/>
      <c r="O712" s="11"/>
      <c r="P712" s="11"/>
      <c r="Q712" s="11"/>
      <c r="R712" s="11"/>
      <c r="S712" s="11"/>
      <c r="T712" s="11"/>
      <c r="U712" s="11"/>
      <c r="V712" s="11"/>
      <c r="W712" s="11"/>
      <c r="X712" s="11"/>
      <c r="Y712" s="11"/>
      <c r="Z712" s="11"/>
    </row>
    <row r="713">
      <c r="A713" s="11"/>
      <c r="B713" s="11"/>
      <c r="C713" s="11"/>
      <c r="D713" s="11"/>
      <c r="E713" s="11"/>
      <c r="F713" s="12"/>
      <c r="G713" s="12"/>
      <c r="H713" s="12"/>
      <c r="I713" s="12"/>
      <c r="J713" s="11"/>
      <c r="K713" s="11"/>
      <c r="L713" s="11"/>
      <c r="M713" s="11"/>
      <c r="N713" s="11"/>
      <c r="O713" s="11"/>
      <c r="P713" s="11"/>
      <c r="Q713" s="11"/>
      <c r="R713" s="11"/>
      <c r="S713" s="11"/>
      <c r="T713" s="11"/>
      <c r="U713" s="11"/>
      <c r="V713" s="11"/>
      <c r="W713" s="11"/>
      <c r="X713" s="11"/>
      <c r="Y713" s="11"/>
      <c r="Z713" s="11"/>
    </row>
    <row r="714">
      <c r="A714" s="11"/>
      <c r="B714" s="11"/>
      <c r="C714" s="11"/>
      <c r="D714" s="11"/>
      <c r="E714" s="11"/>
      <c r="F714" s="12"/>
      <c r="G714" s="12"/>
      <c r="H714" s="12"/>
      <c r="I714" s="12"/>
      <c r="J714" s="11"/>
      <c r="K714" s="11"/>
      <c r="L714" s="11"/>
      <c r="M714" s="11"/>
      <c r="N714" s="11"/>
      <c r="O714" s="11"/>
      <c r="P714" s="11"/>
      <c r="Q714" s="11"/>
      <c r="R714" s="11"/>
      <c r="S714" s="11"/>
      <c r="T714" s="11"/>
      <c r="U714" s="11"/>
      <c r="V714" s="11"/>
      <c r="W714" s="11"/>
      <c r="X714" s="11"/>
      <c r="Y714" s="11"/>
      <c r="Z714" s="11"/>
    </row>
    <row r="715">
      <c r="A715" s="11"/>
      <c r="B715" s="11"/>
      <c r="C715" s="11"/>
      <c r="D715" s="11"/>
      <c r="E715" s="11"/>
      <c r="F715" s="12"/>
      <c r="G715" s="12"/>
      <c r="H715" s="12"/>
      <c r="I715" s="12"/>
      <c r="J715" s="11"/>
      <c r="K715" s="11"/>
      <c r="L715" s="11"/>
      <c r="M715" s="11"/>
      <c r="N715" s="11"/>
      <c r="O715" s="11"/>
      <c r="P715" s="11"/>
      <c r="Q715" s="11"/>
      <c r="R715" s="11"/>
      <c r="S715" s="11"/>
      <c r="T715" s="11"/>
      <c r="U715" s="11"/>
      <c r="V715" s="11"/>
      <c r="W715" s="11"/>
      <c r="X715" s="11"/>
      <c r="Y715" s="11"/>
      <c r="Z715" s="11"/>
    </row>
    <row r="716">
      <c r="A716" s="11"/>
      <c r="B716" s="11"/>
      <c r="C716" s="11"/>
      <c r="D716" s="11"/>
      <c r="E716" s="11"/>
      <c r="F716" s="12"/>
      <c r="G716" s="12"/>
      <c r="H716" s="12"/>
      <c r="I716" s="12"/>
      <c r="J716" s="11"/>
      <c r="K716" s="11"/>
      <c r="L716" s="11"/>
      <c r="M716" s="11"/>
      <c r="N716" s="11"/>
      <c r="O716" s="11"/>
      <c r="P716" s="11"/>
      <c r="Q716" s="11"/>
      <c r="R716" s="11"/>
      <c r="S716" s="11"/>
      <c r="T716" s="11"/>
      <c r="U716" s="11"/>
      <c r="V716" s="11"/>
      <c r="W716" s="11"/>
      <c r="X716" s="11"/>
      <c r="Y716" s="11"/>
      <c r="Z716" s="11"/>
    </row>
    <row r="717">
      <c r="A717" s="11"/>
      <c r="B717" s="11"/>
      <c r="C717" s="11"/>
      <c r="D717" s="11"/>
      <c r="E717" s="11"/>
      <c r="F717" s="12"/>
      <c r="G717" s="12"/>
      <c r="H717" s="12"/>
      <c r="I717" s="12"/>
      <c r="J717" s="11"/>
      <c r="K717" s="11"/>
      <c r="L717" s="11"/>
      <c r="M717" s="11"/>
      <c r="N717" s="11"/>
      <c r="O717" s="11"/>
      <c r="P717" s="11"/>
      <c r="Q717" s="11"/>
      <c r="R717" s="11"/>
      <c r="S717" s="11"/>
      <c r="T717" s="11"/>
      <c r="U717" s="11"/>
      <c r="V717" s="11"/>
      <c r="W717" s="11"/>
      <c r="X717" s="11"/>
      <c r="Y717" s="11"/>
      <c r="Z717" s="11"/>
    </row>
    <row r="718">
      <c r="A718" s="11"/>
      <c r="B718" s="11"/>
      <c r="C718" s="11"/>
      <c r="D718" s="11"/>
      <c r="E718" s="11"/>
      <c r="F718" s="12"/>
      <c r="G718" s="12"/>
      <c r="H718" s="12"/>
      <c r="I718" s="12"/>
      <c r="J718" s="11"/>
      <c r="K718" s="11"/>
      <c r="L718" s="11"/>
      <c r="M718" s="11"/>
      <c r="N718" s="11"/>
      <c r="O718" s="11"/>
      <c r="P718" s="11"/>
      <c r="Q718" s="11"/>
      <c r="R718" s="11"/>
      <c r="S718" s="11"/>
      <c r="T718" s="11"/>
      <c r="U718" s="11"/>
      <c r="V718" s="11"/>
      <c r="W718" s="11"/>
      <c r="X718" s="11"/>
      <c r="Y718" s="11"/>
      <c r="Z718" s="11"/>
    </row>
    <row r="719">
      <c r="A719" s="11"/>
      <c r="B719" s="11"/>
      <c r="C719" s="11"/>
      <c r="D719" s="11"/>
      <c r="E719" s="11"/>
      <c r="F719" s="12"/>
      <c r="G719" s="12"/>
      <c r="H719" s="12"/>
      <c r="I719" s="12"/>
      <c r="J719" s="11"/>
      <c r="K719" s="11"/>
      <c r="L719" s="11"/>
      <c r="M719" s="11"/>
      <c r="N719" s="11"/>
      <c r="O719" s="11"/>
      <c r="P719" s="11"/>
      <c r="Q719" s="11"/>
      <c r="R719" s="11"/>
      <c r="S719" s="11"/>
      <c r="T719" s="11"/>
      <c r="U719" s="11"/>
      <c r="V719" s="11"/>
      <c r="W719" s="11"/>
      <c r="X719" s="11"/>
      <c r="Y719" s="11"/>
      <c r="Z719" s="11"/>
    </row>
    <row r="720">
      <c r="A720" s="11"/>
      <c r="B720" s="11"/>
      <c r="C720" s="11"/>
      <c r="D720" s="11"/>
      <c r="E720" s="11"/>
      <c r="F720" s="12"/>
      <c r="G720" s="12"/>
      <c r="H720" s="12"/>
      <c r="I720" s="12"/>
      <c r="J720" s="11"/>
      <c r="K720" s="11"/>
      <c r="L720" s="11"/>
      <c r="M720" s="11"/>
      <c r="N720" s="11"/>
      <c r="O720" s="11"/>
      <c r="P720" s="11"/>
      <c r="Q720" s="11"/>
      <c r="R720" s="11"/>
      <c r="S720" s="11"/>
      <c r="T720" s="11"/>
      <c r="U720" s="11"/>
      <c r="V720" s="11"/>
      <c r="W720" s="11"/>
      <c r="X720" s="11"/>
      <c r="Y720" s="11"/>
      <c r="Z720" s="11"/>
    </row>
    <row r="721">
      <c r="A721" s="11"/>
      <c r="B721" s="11"/>
      <c r="C721" s="11"/>
      <c r="D721" s="11"/>
      <c r="E721" s="11"/>
      <c r="F721" s="12"/>
      <c r="G721" s="12"/>
      <c r="H721" s="12"/>
      <c r="I721" s="12"/>
      <c r="J721" s="11"/>
      <c r="K721" s="11"/>
      <c r="L721" s="11"/>
      <c r="M721" s="11"/>
      <c r="N721" s="11"/>
      <c r="O721" s="11"/>
      <c r="P721" s="11"/>
      <c r="Q721" s="11"/>
      <c r="R721" s="11"/>
      <c r="S721" s="11"/>
      <c r="T721" s="11"/>
      <c r="U721" s="11"/>
      <c r="V721" s="11"/>
      <c r="W721" s="11"/>
      <c r="X721" s="11"/>
      <c r="Y721" s="11"/>
      <c r="Z721" s="11"/>
    </row>
    <row r="722">
      <c r="A722" s="11"/>
      <c r="B722" s="11"/>
      <c r="C722" s="11"/>
      <c r="D722" s="11"/>
      <c r="E722" s="11"/>
      <c r="F722" s="12"/>
      <c r="G722" s="12"/>
      <c r="H722" s="12"/>
      <c r="I722" s="12"/>
      <c r="J722" s="11"/>
      <c r="K722" s="11"/>
      <c r="L722" s="11"/>
      <c r="M722" s="11"/>
      <c r="N722" s="11"/>
      <c r="O722" s="11"/>
      <c r="P722" s="11"/>
      <c r="Q722" s="11"/>
      <c r="R722" s="11"/>
      <c r="S722" s="11"/>
      <c r="T722" s="11"/>
      <c r="U722" s="11"/>
      <c r="V722" s="11"/>
      <c r="W722" s="11"/>
      <c r="X722" s="11"/>
      <c r="Y722" s="11"/>
      <c r="Z722" s="11"/>
    </row>
    <row r="723">
      <c r="A723" s="11"/>
      <c r="B723" s="11"/>
      <c r="C723" s="11"/>
      <c r="D723" s="11"/>
      <c r="E723" s="11"/>
      <c r="F723" s="12"/>
      <c r="G723" s="12"/>
      <c r="H723" s="12"/>
      <c r="I723" s="12"/>
      <c r="J723" s="11"/>
      <c r="K723" s="11"/>
      <c r="L723" s="11"/>
      <c r="M723" s="11"/>
      <c r="N723" s="11"/>
      <c r="O723" s="11"/>
      <c r="P723" s="11"/>
      <c r="Q723" s="11"/>
      <c r="R723" s="11"/>
      <c r="S723" s="11"/>
      <c r="T723" s="11"/>
      <c r="U723" s="11"/>
      <c r="V723" s="11"/>
      <c r="W723" s="11"/>
      <c r="X723" s="11"/>
      <c r="Y723" s="11"/>
      <c r="Z723" s="11"/>
    </row>
    <row r="724">
      <c r="A724" s="11"/>
      <c r="B724" s="11"/>
      <c r="C724" s="11"/>
      <c r="D724" s="11"/>
      <c r="E724" s="11"/>
      <c r="F724" s="12"/>
      <c r="G724" s="12"/>
      <c r="H724" s="12"/>
      <c r="I724" s="12"/>
      <c r="J724" s="11"/>
      <c r="K724" s="11"/>
      <c r="L724" s="11"/>
      <c r="M724" s="11"/>
      <c r="N724" s="11"/>
      <c r="O724" s="11"/>
      <c r="P724" s="11"/>
      <c r="Q724" s="11"/>
      <c r="R724" s="11"/>
      <c r="S724" s="11"/>
      <c r="T724" s="11"/>
      <c r="U724" s="11"/>
      <c r="V724" s="11"/>
      <c r="W724" s="11"/>
      <c r="X724" s="11"/>
      <c r="Y724" s="11"/>
      <c r="Z724" s="11"/>
    </row>
    <row r="725">
      <c r="A725" s="11"/>
      <c r="B725" s="11"/>
      <c r="C725" s="11"/>
      <c r="D725" s="11"/>
      <c r="E725" s="11"/>
      <c r="F725" s="12"/>
      <c r="G725" s="12"/>
      <c r="H725" s="12"/>
      <c r="I725" s="12"/>
      <c r="J725" s="11"/>
      <c r="K725" s="11"/>
      <c r="L725" s="11"/>
      <c r="M725" s="11"/>
      <c r="N725" s="11"/>
      <c r="O725" s="11"/>
      <c r="P725" s="11"/>
      <c r="Q725" s="11"/>
      <c r="R725" s="11"/>
      <c r="S725" s="11"/>
      <c r="T725" s="11"/>
      <c r="U725" s="11"/>
      <c r="V725" s="11"/>
      <c r="W725" s="11"/>
      <c r="X725" s="11"/>
      <c r="Y725" s="11"/>
      <c r="Z725" s="11"/>
    </row>
    <row r="726">
      <c r="A726" s="11"/>
      <c r="B726" s="11"/>
      <c r="C726" s="11"/>
      <c r="D726" s="11"/>
      <c r="E726" s="11"/>
      <c r="F726" s="12"/>
      <c r="G726" s="12"/>
      <c r="H726" s="12"/>
      <c r="I726" s="12"/>
      <c r="J726" s="11"/>
      <c r="K726" s="11"/>
      <c r="L726" s="11"/>
      <c r="M726" s="11"/>
      <c r="N726" s="11"/>
      <c r="O726" s="11"/>
      <c r="P726" s="11"/>
      <c r="Q726" s="11"/>
      <c r="R726" s="11"/>
      <c r="S726" s="11"/>
      <c r="T726" s="11"/>
      <c r="U726" s="11"/>
      <c r="V726" s="11"/>
      <c r="W726" s="11"/>
      <c r="X726" s="11"/>
      <c r="Y726" s="11"/>
      <c r="Z726" s="11"/>
    </row>
    <row r="727">
      <c r="A727" s="11"/>
      <c r="B727" s="11"/>
      <c r="C727" s="11"/>
      <c r="D727" s="11"/>
      <c r="E727" s="11"/>
      <c r="F727" s="12"/>
      <c r="G727" s="12"/>
      <c r="H727" s="12"/>
      <c r="I727" s="12"/>
      <c r="J727" s="11"/>
      <c r="K727" s="11"/>
      <c r="L727" s="11"/>
      <c r="M727" s="11"/>
      <c r="N727" s="11"/>
      <c r="O727" s="11"/>
      <c r="P727" s="11"/>
      <c r="Q727" s="11"/>
      <c r="R727" s="11"/>
      <c r="S727" s="11"/>
      <c r="T727" s="11"/>
      <c r="U727" s="11"/>
      <c r="V727" s="11"/>
      <c r="W727" s="11"/>
      <c r="X727" s="11"/>
      <c r="Y727" s="11"/>
      <c r="Z727" s="11"/>
    </row>
    <row r="728">
      <c r="A728" s="11"/>
      <c r="B728" s="11"/>
      <c r="C728" s="11"/>
      <c r="D728" s="11"/>
      <c r="E728" s="11"/>
      <c r="F728" s="12"/>
      <c r="G728" s="12"/>
      <c r="H728" s="12"/>
      <c r="I728" s="12"/>
      <c r="J728" s="11"/>
      <c r="K728" s="11"/>
      <c r="L728" s="11"/>
      <c r="M728" s="11"/>
      <c r="N728" s="11"/>
      <c r="O728" s="11"/>
      <c r="P728" s="11"/>
      <c r="Q728" s="11"/>
      <c r="R728" s="11"/>
      <c r="S728" s="11"/>
      <c r="T728" s="11"/>
      <c r="U728" s="11"/>
      <c r="V728" s="11"/>
      <c r="W728" s="11"/>
      <c r="X728" s="11"/>
      <c r="Y728" s="11"/>
      <c r="Z728" s="11"/>
    </row>
    <row r="729">
      <c r="A729" s="11"/>
      <c r="B729" s="11"/>
      <c r="C729" s="11"/>
      <c r="D729" s="11"/>
      <c r="E729" s="11"/>
      <c r="F729" s="12"/>
      <c r="G729" s="12"/>
      <c r="H729" s="12"/>
      <c r="I729" s="12"/>
      <c r="J729" s="11"/>
      <c r="K729" s="11"/>
      <c r="L729" s="11"/>
      <c r="M729" s="11"/>
      <c r="N729" s="11"/>
      <c r="O729" s="11"/>
      <c r="P729" s="11"/>
      <c r="Q729" s="11"/>
      <c r="R729" s="11"/>
      <c r="S729" s="11"/>
      <c r="T729" s="11"/>
      <c r="U729" s="11"/>
      <c r="V729" s="11"/>
      <c r="W729" s="11"/>
      <c r="X729" s="11"/>
      <c r="Y729" s="11"/>
      <c r="Z729" s="11"/>
    </row>
    <row r="730">
      <c r="A730" s="11"/>
      <c r="B730" s="11"/>
      <c r="C730" s="11"/>
      <c r="D730" s="11"/>
      <c r="E730" s="11"/>
      <c r="F730" s="12"/>
      <c r="G730" s="12"/>
      <c r="H730" s="12"/>
      <c r="I730" s="12"/>
      <c r="J730" s="11"/>
      <c r="K730" s="11"/>
      <c r="L730" s="11"/>
      <c r="M730" s="11"/>
      <c r="N730" s="11"/>
      <c r="O730" s="11"/>
      <c r="P730" s="11"/>
      <c r="Q730" s="11"/>
      <c r="R730" s="11"/>
      <c r="S730" s="11"/>
      <c r="T730" s="11"/>
      <c r="U730" s="11"/>
      <c r="V730" s="11"/>
      <c r="W730" s="11"/>
      <c r="X730" s="11"/>
      <c r="Y730" s="11"/>
      <c r="Z730" s="11"/>
    </row>
    <row r="731">
      <c r="A731" s="11"/>
      <c r="B731" s="11"/>
      <c r="C731" s="11"/>
      <c r="D731" s="11"/>
      <c r="E731" s="11"/>
      <c r="F731" s="12"/>
      <c r="G731" s="12"/>
      <c r="H731" s="12"/>
      <c r="I731" s="12"/>
      <c r="J731" s="11"/>
      <c r="K731" s="11"/>
      <c r="L731" s="11"/>
      <c r="M731" s="11"/>
      <c r="N731" s="11"/>
      <c r="O731" s="11"/>
      <c r="P731" s="11"/>
      <c r="Q731" s="11"/>
      <c r="R731" s="11"/>
      <c r="S731" s="11"/>
      <c r="T731" s="11"/>
      <c r="U731" s="11"/>
      <c r="V731" s="11"/>
      <c r="W731" s="11"/>
      <c r="X731" s="11"/>
      <c r="Y731" s="11"/>
      <c r="Z731" s="11"/>
    </row>
    <row r="732">
      <c r="A732" s="11"/>
      <c r="B732" s="11"/>
      <c r="C732" s="11"/>
      <c r="D732" s="11"/>
      <c r="E732" s="11"/>
      <c r="F732" s="12"/>
      <c r="G732" s="12"/>
      <c r="H732" s="12"/>
      <c r="I732" s="12"/>
      <c r="J732" s="11"/>
      <c r="K732" s="11"/>
      <c r="L732" s="11"/>
      <c r="M732" s="11"/>
      <c r="N732" s="11"/>
      <c r="O732" s="11"/>
      <c r="P732" s="11"/>
      <c r="Q732" s="11"/>
      <c r="R732" s="11"/>
      <c r="S732" s="11"/>
      <c r="T732" s="11"/>
      <c r="U732" s="11"/>
      <c r="V732" s="11"/>
      <c r="W732" s="11"/>
      <c r="X732" s="11"/>
      <c r="Y732" s="11"/>
      <c r="Z732" s="11"/>
    </row>
    <row r="733">
      <c r="A733" s="11"/>
      <c r="B733" s="11"/>
      <c r="C733" s="11"/>
      <c r="D733" s="11"/>
      <c r="E733" s="11"/>
      <c r="F733" s="12"/>
      <c r="G733" s="12"/>
      <c r="H733" s="12"/>
      <c r="I733" s="12"/>
      <c r="J733" s="11"/>
      <c r="K733" s="11"/>
      <c r="L733" s="11"/>
      <c r="M733" s="11"/>
      <c r="N733" s="11"/>
      <c r="O733" s="11"/>
      <c r="P733" s="11"/>
      <c r="Q733" s="11"/>
      <c r="R733" s="11"/>
      <c r="S733" s="11"/>
      <c r="T733" s="11"/>
      <c r="U733" s="11"/>
      <c r="V733" s="11"/>
      <c r="W733" s="11"/>
      <c r="X733" s="11"/>
      <c r="Y733" s="11"/>
      <c r="Z733" s="11"/>
    </row>
    <row r="734">
      <c r="A734" s="11"/>
      <c r="B734" s="11"/>
      <c r="C734" s="11"/>
      <c r="D734" s="11"/>
      <c r="E734" s="11"/>
      <c r="F734" s="12"/>
      <c r="G734" s="12"/>
      <c r="H734" s="12"/>
      <c r="I734" s="12"/>
      <c r="J734" s="11"/>
      <c r="K734" s="11"/>
      <c r="L734" s="11"/>
      <c r="M734" s="11"/>
      <c r="N734" s="11"/>
      <c r="O734" s="11"/>
      <c r="P734" s="11"/>
      <c r="Q734" s="11"/>
      <c r="R734" s="11"/>
      <c r="S734" s="11"/>
      <c r="T734" s="11"/>
      <c r="U734" s="11"/>
      <c r="V734" s="11"/>
      <c r="W734" s="11"/>
      <c r="X734" s="11"/>
      <c r="Y734" s="11"/>
      <c r="Z734" s="11"/>
    </row>
    <row r="735">
      <c r="A735" s="11"/>
      <c r="B735" s="11"/>
      <c r="C735" s="11"/>
      <c r="D735" s="11"/>
      <c r="E735" s="11"/>
      <c r="F735" s="12"/>
      <c r="G735" s="12"/>
      <c r="H735" s="12"/>
      <c r="I735" s="12"/>
      <c r="J735" s="11"/>
      <c r="K735" s="11"/>
      <c r="L735" s="11"/>
      <c r="M735" s="11"/>
      <c r="N735" s="11"/>
      <c r="O735" s="11"/>
      <c r="P735" s="11"/>
      <c r="Q735" s="11"/>
      <c r="R735" s="11"/>
      <c r="S735" s="11"/>
      <c r="T735" s="11"/>
      <c r="U735" s="11"/>
      <c r="V735" s="11"/>
      <c r="W735" s="11"/>
      <c r="X735" s="11"/>
      <c r="Y735" s="11"/>
      <c r="Z735" s="11"/>
    </row>
    <row r="736">
      <c r="A736" s="11"/>
      <c r="B736" s="11"/>
      <c r="C736" s="11"/>
      <c r="D736" s="11"/>
      <c r="E736" s="11"/>
      <c r="F736" s="12"/>
      <c r="G736" s="12"/>
      <c r="H736" s="12"/>
      <c r="I736" s="12"/>
      <c r="J736" s="11"/>
      <c r="K736" s="11"/>
      <c r="L736" s="11"/>
      <c r="M736" s="11"/>
      <c r="N736" s="11"/>
      <c r="O736" s="11"/>
      <c r="P736" s="11"/>
      <c r="Q736" s="11"/>
      <c r="R736" s="11"/>
      <c r="S736" s="11"/>
      <c r="T736" s="11"/>
      <c r="U736" s="11"/>
      <c r="V736" s="11"/>
      <c r="W736" s="11"/>
      <c r="X736" s="11"/>
      <c r="Y736" s="11"/>
      <c r="Z736" s="11"/>
    </row>
  </sheetData>
  <drawing r:id="rId1"/>
</worksheet>
</file>