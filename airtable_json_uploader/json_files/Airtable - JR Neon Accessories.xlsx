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R Neon Accessories" sheetId="1" r:id="rId5"/>
  </sheets>
  <definedNames/>
  <calcPr/>
</workbook>
</file>

<file path=xl/sharedStrings.xml><?xml version="1.0" encoding="utf-8"?>
<sst xmlns="http://schemas.openxmlformats.org/spreadsheetml/2006/main" count="424" uniqueCount="224">
  <si>
    <t>Product Code</t>
  </si>
  <si>
    <t>Name</t>
  </si>
  <si>
    <t>Product type</t>
  </si>
  <si>
    <t>Categories</t>
  </si>
  <si>
    <t>Status</t>
  </si>
  <si>
    <t>AI Product description</t>
  </si>
  <si>
    <t>Product description</t>
  </si>
  <si>
    <t>AI Product short description</t>
  </si>
  <si>
    <t>Product short description</t>
  </si>
  <si>
    <t>Product image</t>
  </si>
  <si>
    <t>Product gallery</t>
  </si>
  <si>
    <t>Specification</t>
  </si>
  <si>
    <t>AI Labels</t>
  </si>
  <si>
    <t>Labels</t>
  </si>
  <si>
    <t>AI Features</t>
  </si>
  <si>
    <t>Features</t>
  </si>
  <si>
    <t>AI Attributes</t>
  </si>
  <si>
    <t>Attributes</t>
  </si>
  <si>
    <t xml:space="preserve">AI Options and Constraints </t>
  </si>
  <si>
    <t>Options and Constraints</t>
  </si>
  <si>
    <t>Options</t>
  </si>
  <si>
    <t>Constraints</t>
  </si>
  <si>
    <t>Supplier Name</t>
  </si>
  <si>
    <t>Supplier Code</t>
  </si>
  <si>
    <t>Datasheet</t>
  </si>
  <si>
    <t>Stocked Item</t>
  </si>
  <si>
    <t>AI Meta Keywords</t>
  </si>
  <si>
    <t>Meta Keywords</t>
  </si>
  <si>
    <t>Neon-AluProfile-1617</t>
  </si>
  <si>
    <t>Aluminium Profile</t>
  </si>
  <si>
    <t>simple</t>
  </si>
  <si>
    <t>Accessories</t>
  </si>
  <si>
    <t>draft</t>
  </si>
  <si>
    <t>Transform your space with the sleek elegance of our premium aluminum profile, designed to bring a modern, sophisticated edge to any room. Crafted for those who appreciate refined aesthetics, this versatile channel seamlessly integrates into your décor, casting smooth, beautiful illumination that elevates your interior design. Whether creating subtle ambient accents or bold visual statements, it provides the perfect architectural framing to let your custom lighting visions shine with effortless style.</t>
  </si>
  <si>
    <t>Elevate your interior with sleek aluminum profiles crafted to create modern, seamless lines of light for a truly sophisticated atmosphere.</t>
  </si>
  <si>
    <t>Neon Side/Top Bend (16mm x 17mm)</t>
  </si>
  <si>
    <t>CHINA - JR Lite</t>
  </si>
  <si>
    <t>AC167-AP</t>
  </si>
  <si>
    <t>No</t>
  </si>
  <si>
    <t>aluminum profile, neon channel, LED housing, architectural lighting, ambient illumination, 16x17mm profile</t>
  </si>
  <si>
    <t>Neon-MetalClips-1617</t>
  </si>
  <si>
    <t>Neon Metal Mounting Clips</t>
  </si>
  <si>
    <t>Achieve seamless, professional lighting installations with these high-grade metal mounting clips, designed to provide strong, dependable support for your neon LED profiles. Crafted for effortless integration and a clean, hidden finish, they ensure your custom lighting designs remain securely anchored while maintaining a sleek, modern aesthetic in any residential or commercial space.</t>
  </si>
  <si>
    <t>Secure your custom neon lighting with high-grade mounting clips designed for a clean, effortless installation and a seamless finish.</t>
  </si>
  <si>
    <t>Side/Top Bend (16mm x 17mm)</t>
  </si>
  <si>
    <t>AC167-MC</t>
  </si>
  <si>
    <t>neon mounting clips, metal LED clips, 16x17mm clips, neon profile brackets, LED strip clips, mounting hardware</t>
  </si>
  <si>
    <t>Neon-PlasterAluProfile-1617</t>
  </si>
  <si>
    <t>Plaster Aluminium Profile</t>
  </si>
  <si>
    <t>Seamlessly integrate stunning illumination directly into your walls with our premium plaster-in aluminum profile, designed to create flawless, trimless lines of light that elevate any modern interior. Craft sophisticated, architectural lighting effects that melt into your décor for an ultra-clean, high-end finish. Perfect for bringing warm ambient accents or bold visual interest to your favorite spaces, this channel offers an effortless way to achieve a sleek, flush lighting design that redefines contemporary elegance.</t>
  </si>
  <si>
    <t>Integrate stunning flush illumination directly into your walls for a trimless, ultra-clean architectural light effect that redefines modern luxury.</t>
  </si>
  <si>
    <t>AC167-LP</t>
  </si>
  <si>
    <t>Plaster Aluminum Profile, Trimless LED Profile, Architectural Lighting Channel, Flush Mount Aluminum Profile, Neon Channel 16x17, Recessed Plaster Profile</t>
  </si>
  <si>
    <t>Neon-RecessedAluProfile-1617</t>
  </si>
  <si>
    <t>Recessed Aluminium Profile</t>
  </si>
  <si>
    <t>Achieve a clean, architectural look with our recessed aluminum profile, designed to hide seamlessly within your walls or ceilings for an ultra-modern lighting effect. By embedding the light directly into your surfaces, it creates stunning, continuous lines of glow that enhance your space with a sleek, minimalist aesthetic. Perfect for creating dramatic visual depth and sophisticated ambiance, this profile turns subtle lighting into an extraordinary interior feature.</t>
  </si>
  <si>
    <t>Create mesmerizing recessed lighting effects that blend seamlessly into your walls and ceilings for a sleek, minimalist aesthetic.</t>
  </si>
  <si>
    <t>AC167-EP</t>
  </si>
  <si>
    <t>Recessed Aluminium Profile, LED Neon Channel, Architectural Lighting Channel, Flush Mount Light Track, Linear Neon Extrusion, 16x17mm Profile</t>
  </si>
  <si>
    <t>Neon-FlexiPlasterAluProfile-1617</t>
  </si>
  <si>
    <t>Seamlessly blend high-end illumination into your architectural design with our premium plaster aluminum profile. Specially crafted to integrate flush into plaster surfaces, this innovative mounting channel creates breathtaking, uninterrupted lines of light that transform ordinary walls and ceilings into modern masterpieces. Perfect for adding subtle ambiance, dramatic accents, or sophisticated structural highlighting, it provides an elevated, custom finish that effortlessly enhances the beauty and atmosphere of any luxury space.</t>
  </si>
  <si>
    <t>Transform ordinary walls and ceilings into modern masterpieces with uninterrupted, flush lines of ambient light tailored for luxury spaces.</t>
  </si>
  <si>
    <t>AC167-SCRL</t>
  </si>
  <si>
    <t>plaster aluminum profile, flush mount channel, architectural lighting, neon flex profile, recessed LED housing, 16x17mm profile</t>
  </si>
  <si>
    <t>Neon-FlexiAluProfile-1617</t>
  </si>
  <si>
    <t>Bendable Plaster Aluminium Profile</t>
  </si>
  <si>
    <t>Effortlessly sculpt ambient light with our plaster flexible aluminum profile, designed to fluidly conform to your unique architectural visions. Seamlessly integrating into your walls or ceilings, it crafts smooth, flowing lines of light that elevate any interior with a touch of modern sophistication. Perfect for creating captivating ambient effects or sleek visual accents, this versatile profile provides the ultimate subtle canvas to let your custom lighting design shine with graceful perfection.</t>
  </si>
  <si>
    <t>Effortlessly sculpt flowing curves of ambient light with flexible plaster profiles designed to adapt to your unique architectural visions.</t>
  </si>
  <si>
    <t>AC167-CR</t>
  </si>
  <si>
    <t>bendable plaster profile, flexible aluminum channel, curved LED profile, architectural neon flex, flexible recessed housing, 16x17mm profile</t>
  </si>
  <si>
    <t>Neon-PC-1617</t>
  </si>
  <si>
    <t>Neon PC Flexible Profile</t>
  </si>
  <si>
    <t>Effortlessly bring your lighting vision to life with this ultra-flexible PC channel, designed to curve and shape around any architectural detail with seamless grace. Perfect for creating fluid lines of soft, captivating light, it offers the ultimate versatility for modern design enthusiasts looking to add ambiance and flair to any space. Elevate your interior ambiance with a sleek, continuous glow that transforms ordinary walls into stunning visual masterpieces.</t>
  </si>
  <si>
    <t>Effortlessly shape soft, continuous light around any space with ultra-flexible channels designed to bring your modern lighting vision to life.</t>
  </si>
  <si>
    <t>AC167-PC</t>
  </si>
  <si>
    <t>PC flexible profile, polycarbonate channel, ultra-flexible LED housing, bendable neon channel, ambient light profile, 16x17mm profile</t>
  </si>
  <si>
    <t>Neon-FlexiPC-16x17</t>
  </si>
  <si>
    <t>PC Bendable Profile</t>
  </si>
  <si>
    <t>Elevate your lighting design with the effortless flexibility and modern aesthetic of our flexible PC channel. Designed to seamlessly diffuse light into a smooth, mesmerizing glow, this versatile profile allows you to craft fluid curves and captivating architectural accents without compromising on style. Perfect for creating ambient moods or striking feature lighting, it adds a touch of sophisticated polish to any room, allowing your artistic vision to shine with flawless grace.</t>
  </si>
  <si>
    <t>Craft fluid curves and captivating architectural accents with a flexible channel that seamlessly diffuses light into a mesmerizing glow.</t>
  </si>
  <si>
    <t>AC167-CPC</t>
  </si>
  <si>
    <t>PC bendable profile, flexible diffuser channel, continuous glow profile, flexible LED housing, architectural PC channel, 16x17mm profile</t>
  </si>
  <si>
    <t>Neon-AluProfile-1615</t>
  </si>
  <si>
    <t>Elevate your lighting design with our premium aluminum profile, meticulously engineered to bring a touch of modern sophistication to any space. Designed to integrate seamlessly into your interior décor, this versatile channel creates smooth, captivating lines of illumination that enhance ambiance and highlight architectural details. Perfect for crafting ambient accents or striking lighting features, it offers the ideal foundation to showcase your unique design vision with understated elegance and flair.</t>
  </si>
  <si>
    <t>Elevate your lighting design with sleek aluminum profiles engineered to create smooth, captivating lines of illumination for modern interiors.</t>
  </si>
  <si>
    <t>Neon Side/Top Bend (16mm x 15mm)</t>
  </si>
  <si>
    <t>AC013-AP</t>
  </si>
  <si>
    <t>aluminum profile, neon channel, LED channel, architectural lighting, ambient illumination, 16x15mm profile</t>
  </si>
  <si>
    <t>Neon-MetalClips-1615</t>
  </si>
  <si>
    <t>Secure your lighting installations with total confidence and effortless precision using these premium metal mounting clips. Designed to deliver a flawless, professional finish, these durable clips hold your fixtures seamlessly in place while keeping the focus entirely on your stunning light displays. Perfect for achieving clean lines and an elevated architectural aesthetic, they offer the dependable support your custom design deserves without compromising on style.</t>
  </si>
  <si>
    <t>Secure your custom lighting with premium mounting clips that deliver a clean, professional finish and reliable support without distraction.</t>
  </si>
  <si>
    <t>Side/Top Bend (16mm x 15mm)</t>
  </si>
  <si>
    <t>AC401-SET</t>
  </si>
  <si>
    <t>metal mounting clips, neon light clips, LED mounting brackets, installation hardware, architectural lighting, 16x15mm clips</t>
  </si>
  <si>
    <t>Neon-RecessedAluProfile-1615</t>
  </si>
  <si>
    <t>Elevate your space with the subtle sophistication of our recessed aluminum profile, designed to seamlessly blend modern illumination directly into your architecture. Crafted for a clean, flush aesthetic, this mounting channel buries the light source into walls or cabinetry for a trimless, built-in feel. It transforms ordinary room accents into stunning visual focal points, delivering a soft, captivating glow that feels both high-end and effortlessly stylish.</t>
  </si>
  <si>
    <t>Blend illumination seamlessly into your architecture with recessed profiles designed for a trimless, built-in feel and luxury glow.</t>
  </si>
  <si>
    <t>AC013-EP</t>
  </si>
  <si>
    <t>recessed aluminum profile, flush mount channel, trimless LED housing, architectural lighting, embedded neon channel, 16x15mm profile</t>
  </si>
  <si>
    <t>Neon-FlexiAluProfile-16x15</t>
  </si>
  <si>
    <t>Unlock endless design possibilities with our plaster flexi aluminum profile, meticulously designed to create soft, fluid curves and flawless continuous lighting. Effortlessly blending into your architecture, this versatile solution allows you to bend light around unique spaces and bring your most imaginative interior visions to life. Perfect for crafting custom accents and sophisticated ambient glows, it elevates any modern space with a seamless, high-end architectural finish.</t>
  </si>
  <si>
    <t>Unlock creative possibilities with plaster flexible profiles that create soft, continuous light curves blending into modern architecture.</t>
  </si>
  <si>
    <t>AC013-CR</t>
  </si>
  <si>
    <t>bendable aluminum profile, plaster flexi profile, neon channel, flexible LED housing, architectural lighting, 16x15mm profile</t>
  </si>
  <si>
    <t>Neon-AluProfile-1220</t>
  </si>
  <si>
    <t>Elevate your space with the sleek, modern aesthetic of our premium aluminum profile, meticulously designed to bring your lighting vision to life. Perfectly tailored for creating smooth, captivating lines of light, this versatile housing seamlessly integrates into any interior, adding a refined architectural touch to modern spaces. Whether you are looking to build a soft ambient atmosphere or highlight key visual features, it offers the ultimate backdrop to showcase your custom lighting with effortless elegance.</t>
  </si>
  <si>
    <t>Bring sleek architectural style to your space with continuous lines of ambient glow, creating a refined backdrop for modern interiors.</t>
  </si>
  <si>
    <t>Neon Side/Top Bend (12mm x 20mm)</t>
  </si>
  <si>
    <t>AC015-AP</t>
  </si>
  <si>
    <t>aluminum profile, neon channel, LED housing, architectural lighting, ambient illumination, 12x20mm profile</t>
  </si>
  <si>
    <t>Neon-MetalClips-1220</t>
  </si>
  <si>
    <t>Ensure a flawless, professional finish for your lighting installation with our high-grade metal mounting clips. Designed to secure your light channels seamlessly, these sturdy clips offer reliable support while maintaining a clean, minimalist aesthetic. Perfect for creating crisp, continuous lines of light, they allow you to transform any space into a beautifully illuminated showcase with complete confidence and effortless sophistication.</t>
  </si>
  <si>
    <t>Ensure a flawless, professional installation with sturdy mounting clips designed to maintain crisp, continuous light and clean lines.</t>
  </si>
  <si>
    <t>Side/Top Bend (12mm x 20mm)</t>
  </si>
  <si>
    <t>AC016-SET</t>
  </si>
  <si>
    <t>metal mounting clips, neon light clips, channel mounting bracket, LED profile clips, light installation hardware, 12x20mm clips</t>
  </si>
  <si>
    <t>Neon-RecessedAluProfile-1220</t>
  </si>
  <si>
    <t>Seamlessly blend light and architecture with this recessed aluminum profile, designed to give your space a clean, built-in aesthetic with effortless charm. Crafting a sophisticated trimless look, it neatly tucks your custom neon lighting into walls or ceilings, casting a soft, captivating glow that enhances any interior. Perfect for creating modern lines of light and an elevated ambiance, this profile turns ordinary rooms into stunning, light-filled environments with a polished, luxury feel.</t>
  </si>
  <si>
    <t>Tuck custom neon light neatly into walls and ceilings for a soft, captivating ambient glow with a sophisticated built-in aesthetic.</t>
  </si>
  <si>
    <t>AC015-EP</t>
  </si>
  <si>
    <t>recessed aluminum profile, trimless neon channel, flush mount LED housing, wall recessed profile, ceiling lighting channel, 12x20mm recessed profile</t>
  </si>
  <si>
    <t>Neon-FlexiAluProfile-1220</t>
  </si>
  <si>
    <t>Transform your space with the versatile charm of our premium plaster aluminum profile, designed to bring seamless sophistication to any interior setting. Crafted to blend effortlessly into walls and ceilings, this elegant channel transforms ordinary lighting into a captivating architectural feature, casting a smooth, inviting glow. Perfect for elevating modern interiors, it offers a clean, refined finish that turns ambient illumination into a breathtaking design statement.</t>
  </si>
  <si>
    <t>Transform modern interiors with plaster profiles that blend effortlessly into walls to turn lighting into a striking design feature.</t>
  </si>
  <si>
    <t>AC015-CR</t>
  </si>
  <si>
    <t>bendable aluminum profile, plaster led channel, 12x20mm profile, flexible neon housing, architectural lighting, plaster-in channel</t>
  </si>
  <si>
    <t>Neon-AluProfile-0612</t>
  </si>
  <si>
    <t>Elevate your space with the sleek elegance of our premium aluminum profile, meticulously designed to bring an ultra-slim, sophisticated edge to modern interiors. Crafted for seamless integration into any architectural layout, this versatile channel transforms ambient lighting into a smooth, stunning visual statement. Perfect for creating subtle accents or captivating features, it offers the ideal refined framing to let your custom lighting vision shine with effortless elegance.</t>
  </si>
  <si>
    <t>Add an ultra-slim, sophisticated edge to modern spaces with smooth aluminum profiles designed for elegant, continuous illumination.</t>
  </si>
  <si>
    <t>Neon Side/Top Bend (6mm x 12mm)</t>
  </si>
  <si>
    <t>AC028-AP</t>
  </si>
  <si>
    <t>ultra slim profile, 6x12mm profile, aluminum neon channel, led strip housing, continuous illumination, slim light channel</t>
  </si>
  <si>
    <t>Neon-MetalClips-0612</t>
  </si>
  <si>
    <t>Ensure a flawless, professional installation every time with our high-grade metal mounting clips, meticulously designed to hold your lighting seamlessly in place. Crafted for ultimate reliability and a clean, modern look, these essential accents secure your custom lighting setups with effortless strength, allowing your design vision to shine bright without distraction.</t>
  </si>
  <si>
    <t>Achieve reliable support and a minimalist look with high-grade clips that keep the focus entirely on your stunning light displays.</t>
  </si>
  <si>
    <t>Side/Top Bend (6mm x 12mm)</t>
  </si>
  <si>
    <t>AC028-SET</t>
  </si>
  <si>
    <t>metal mounting clips, neon light brackets, 6x12mm clips, led mounting hardware, neon installation clips, mounting accessories</t>
  </si>
  <si>
    <t>Neon-FlexiAluProfile-0612</t>
  </si>
  <si>
    <t>Unlock endless design possibilities with our plaster flexible aluminum profile, expertly crafted to turn your custom lighting concepts into stunning architectural realities. Engineered to effortlessly conform to unique curves and fluid contours, this versatile profile blends seamlessly into plaster surfaces for a flawless, built-in finish. It transforms ordinary spaces with soft, continuous illumination that highlights every architectural detail, adding a touch of modern sophistication, warmth, and luxury to any interior landscape.</t>
  </si>
  <si>
    <t>Conform to unique curves and plaster surfaces effortlessly, casting soft, continuous illumination that adds luxury to any interior.</t>
  </si>
  <si>
    <t>AC019-CR</t>
  </si>
  <si>
    <t>flexible plaster profile, bendable aluminum channel, 6x12mm profile, plaster-in led housing, curved light profile, recessed neon channel</t>
  </si>
  <si>
    <t>Neon-AluProfile-1004</t>
  </si>
  <si>
    <t>Elevate your interior lighting design with our ultra-slim aluminum profile, engineered to deliver sleek, modern elegance to any space. Designed to integrate seamlessly into your décor, this discreet channel creates smooth, captivating lines of continuous glow that effortlessly transform everyday rooms into extraordinary visual experiences. Perfect for highlighting architectural details or creating sophisticated ambient accents, it provides the ultimate polished canvas for your unique lighting vision.</t>
  </si>
  <si>
    <t>Engineered for modern elegance, this ultra-slim profile creates continuous lines of glow to transform everyday rooms into art.</t>
  </si>
  <si>
    <t>Neon Side/Top Bend (10mm x 4mm)</t>
  </si>
  <si>
    <t>AC107-AP-SA</t>
  </si>
  <si>
    <t>ultra slim aluminum profile, 10x4mm profile, micro neon channel, discreet led housing, ambient lighting profile, slim accent channel</t>
  </si>
  <si>
    <t>Neon-PCClips-1004</t>
  </si>
  <si>
    <t>Neon PC Mounting Clips</t>
  </si>
  <si>
    <t>Ensure a flawless, professional finish for your lighting installation with these premium mounting clips, designed to hold your neon channels securely in place. Effortlessly discreet, they provide reliable support while keeping the focus entirely on your stunning light display. Perfect for creating clean, continuous accents in any modern space, these clips make bringing your creative lighting vision to life simpler and more seamless than ever.</t>
  </si>
  <si>
    <t>Effortlessly secure your lighting channels with discreet mounting clips designed to make custom light installations sleek and simple.</t>
  </si>
  <si>
    <t>Side/Top Bend (10mm x 4mm)</t>
  </si>
  <si>
    <t>AC085-10</t>
  </si>
  <si>
    <t>neon mounting clips, PC channel clips, LED mounting brackets, neon strip holders, installation accessories, 10x4mm clips</t>
  </si>
  <si>
    <t>Neon-PlasterAluProfile-1004</t>
  </si>
  <si>
    <t>Elevate your interior design with our premium plaster aluminum profile, expertly designed to blend seamlessly into your walls and ceilings for a flawless, built-in look. Perfect for creating soft, sophisticated accent lighting or continuous lines of radiant glow, this versatile mounting channel transforms ordinary spaces into modern architectural masterpieces. Enhance your home or commercial environment with effortless elegance, clean lines, and an unforgettable ambient atmosphere.</t>
  </si>
  <si>
    <t>Create a seamless, built-in look with plaster profiles that integrate soft accent lighting into walls and ceilings with total elegance.</t>
  </si>
  <si>
    <t>AC107-AP-SF</t>
  </si>
  <si>
    <t>plaster aluminum profile, trimless LED channel, plaster-in profile, drywall neon channel, flush mount lighting, 10x4mm profile</t>
  </si>
  <si>
    <t>Neon-RecessedAluProfile-1004</t>
  </si>
  <si>
    <t>Achieve a clean, architectural finish with our ultra-slim recessed aluminum profile, seamlessly integrating light directly into your walls and ceilings. Designed to hide effortlessly within your space, it crafts smooth, continuous lines of glow that enhance your interior with sophisticated modern elegance. Perfect for creating subtle ambient accents or striking linear illumination, this channel transforms lighting into a captivating architectural feature.</t>
  </si>
  <si>
    <t>Achieve an ultra-clean architectural finish by hiding light seamlessly within walls and ceilings for modern linear illumination.</t>
  </si>
  <si>
    <t>AC107-AP-EA</t>
  </si>
  <si>
    <t>recessed aluminum profile, flush LED channel, ultra slim light track, recessed neon housing, linear architectural light, 10x4mm profile</t>
  </si>
  <si>
    <t>Neon-FlexiAluProfile-1004</t>
  </si>
  <si>
    <t>Bendable Aluminium Profile</t>
  </si>
  <si>
    <t>Transform your space with the sleek elegance of our flexible aluminum profile, expertly designed to bring dynamic, modern illumination to any layout. Crafted to adapt seamlessly to unique curves and architectural contours, it allows you to sculpt light with complete creative freedom. Perfect for elevating ambient accents or crafting striking visual feature lines, this versatile channel provides the ideal foundation to let your bespoke lighting designs shine with effortless sophistication.</t>
  </si>
  <si>
    <t>Sculpt light with creative freedom using flexible profiles designed to adapt seamlessly to unique curves and dynamic accents.</t>
  </si>
  <si>
    <t>AC107-CR</t>
  </si>
  <si>
    <t>bendable aluminum profile, flexible LED channel, curved neon track, flexible light housing, contour mounting channel, 10x4mm profile</t>
  </si>
  <si>
    <t>Neon-CornerAluProfile-1004</t>
  </si>
  <si>
    <t>Corner Aluminium Profile</t>
  </si>
  <si>
    <t>Elevate your lighting design with our sleek corner aluminum profile, expertly crafted to turn overlooked edges into stunning visual highlights. Designed for effortless architectural integration, it frames your spaces with a soft, continuous glow that adds modern depth and sophisticated ambiance to any room. Perfectly accentuating angles and architectural features, this profile transforms ordinary corners into captivating focal points of pure, elegant light.</t>
  </si>
  <si>
    <t>Turn overlooked edges into stunning visual highlights with corner profiles that frame your architectural spaces in soft, radiant light.</t>
  </si>
  <si>
    <t>Neon Side/Top Bend (10mmx4mm)</t>
  </si>
  <si>
    <t>AC107-VP</t>
  </si>
  <si>
    <t>corner aluminum profile, angled LED channel, 90 degree light track, edge neon profile, corner accent channel, 10x4mm profile</t>
  </si>
  <si>
    <t>Neon-OpenEndcap-1004</t>
  </si>
  <si>
    <t>Open endcaps for 2-core wire</t>
  </si>
  <si>
    <t>Ensure a clean, flawless finish for your custom LED lighting installations with these essential open endcaps. Designed to provide a neat, professional transition for wiring while keeping your setup secure, they seamlessly blend into your architecture for a polished and modern aesthetic. Perfect for maintaining continuous lines of ambient glow, these endcaps give your tailored lighting projects the refined, high-end detail they deserve.</t>
  </si>
  <si>
    <t>Complete your custom lighting installation with neat, professional open endcaps designed for smooth transitions and a polished finish.</t>
  </si>
  <si>
    <t>AD110-3</t>
  </si>
  <si>
    <t>open endcaps, 2-core wire, LED neon endcap, wiring accessory, lighting end cap, profile end piece</t>
  </si>
  <si>
    <t>Neon-ClosedEndcap-1004</t>
  </si>
  <si>
    <t>Closed endcaps</t>
  </si>
  <si>
    <t>Complete your custom lighting setup with our premium closed endcaps, designed to deliver a flawless, polished finish. Perfectly blending into your overall aesthetic, these essential accessories add that final touch of refined sophistication to bring your modern lighting vision together with seamless elegance.</t>
  </si>
  <si>
    <t>Ensure a flawless, polished finish for your custom lighting setup while protecting your neon LED profiles with sleek closed endcaps.</t>
  </si>
  <si>
    <t>AD110</t>
  </si>
  <si>
    <t>closed endcaps, LED neon cap, profile end cap, lighting accessory, protective cap, profile end piece</t>
  </si>
  <si>
    <t>Neon-FlexiAluProfile-0408</t>
  </si>
  <si>
    <t>Unlock endless creative possibilities with our ultra-flexible aluminum profile, masterfully designed to bend and shape around your unique architectural vision. Perfect for crafting custom curves and fluid, captivating lighting accents, this versatile track effortlessly transforms ordinary spaces into breathtaking modern visual statements.</t>
  </si>
  <si>
    <t>Unlock endless creative possibilities and shape stunning curves of light with this ultra-flexible aluminum profile for modern interiors.</t>
  </si>
  <si>
    <t>Neon Side/Top Bend (4mm x 8mm)</t>
  </si>
  <si>
    <t>AC021-CR</t>
  </si>
  <si>
    <t>bendable aluminum profile, flexible LED channel, 4x8mm profile, curved lighting, flexible neon track, side top bend</t>
  </si>
  <si>
    <t>Neon-AluProfile-0408</t>
  </si>
  <si>
    <t>Elevate your lighting design with our ultra-compact aluminum profile, engineered to deliver sleek architectural precision in a surprisingly slim footprint. Designed to create flawless lines of light, it seamlessly integrates into any modern space to turn subtle ambient accents into captivating focal points of high-end elegance.</t>
  </si>
  <si>
    <t>Elevate your space with sleek aluminum profiles designed to craft seamless, modern lines of light for a refined, high-end finish.</t>
  </si>
  <si>
    <t>AC021-AP</t>
  </si>
  <si>
    <t>aluminum profile, neon LED channel, 4x8mm profile, architectural lighting, linear light track, slim profile</t>
  </si>
  <si>
    <t>Neon-MetalClips-0408</t>
  </si>
  <si>
    <t>Achieve seamless, professional lighting installations with these high-grade metal mounting clips, designed to provide strong, dependable support for your neon LED profiles. Crafted for effortless integration and a clean, hidden finish, they ensure your custom lighting designs remain securely anchored while maintaining a sleek, modern aesthetic.</t>
  </si>
  <si>
    <t>Achieve effortless, secure installations with premium metal mounting clips designed for a discreet, flawless, and professional look.</t>
  </si>
  <si>
    <t>Side/Top Bend (4mm x 8mm)</t>
  </si>
  <si>
    <t>AC022-SET</t>
  </si>
  <si>
    <t>metal mounting clips, neon profile clips, mounting brackets, 4x8mm clips, LED mounting hardware, installation clips</t>
  </si>
  <si>
    <t>Neon-FlexiAluProfile-0606</t>
  </si>
  <si>
    <t>Unlock endless creative possibilities and effortlessly sculpt ambient light with our flexible aluminum profile. Designed to adapt gracefully to complex curves and unique architectural contours, this pliant channel transforms ordinary interiors into extraordinary visual landscapes with smooth, flowing ribbons of glow.</t>
  </si>
  <si>
    <t>Sculpt smooth, flowing ribbons of glow around custom curves with an ultra-pliant aluminum profile designed for luxury lighting.</t>
  </si>
  <si>
    <t>Neon Side/Top Bend (6mm x 6mm)</t>
  </si>
  <si>
    <t>bendable aluminum profile, flexible neon channel, 6x6mm profile, pliant LED housing, curved light channel, architectural neon flex</t>
  </si>
  <si>
    <t>Neon-AluProfile-0606</t>
  </si>
  <si>
    <t>Elevate your interior design with our ultra-compact aluminum profile, expertly designed to bring refined, seamless illumination to even the tightest architectural spaces. Crafted for modern aesthetics, this minimalist channel integrates effortlessly into your décor, transforming subtle lighting into a sophisticated ambient feature.</t>
  </si>
  <si>
    <t>Bring subtle architectural elegance to tight spaces with minimalist aluminum profiles that deliver seamless, ambient illumination.</t>
  </si>
  <si>
    <t>AC020-CR</t>
  </si>
  <si>
    <t>ultra-compact aluminum profile, 6x6mm profile, micro neon channel, minimalist light channel, architectural LED housing, compact ambient lighting</t>
  </si>
  <si>
    <t>Neon-MetalClips-0606</t>
  </si>
  <si>
    <t>Ensure a flawless, professional installation with these premium metal mounting clips, engineered to provide strong, reliable support for your neon LED profiles. Designed for effortless setup and a discreet, seamless finish, they keep your tailored lighting designs securely in place while preserving a clean, minimalist aesthetic.</t>
  </si>
  <si>
    <t>Keep your custom lighting securely anchored with strong, discreet metal mounting clips crafted for a clean, minimalist aesthetic.</t>
  </si>
  <si>
    <t>Side/Top Bend (6mm x 6mm)</t>
  </si>
  <si>
    <t>AC021-SET</t>
  </si>
  <si>
    <t>metal mounting clips, neon light clips, 6x6mm clips, LED profile brackets, mounting hardware, neon installation clips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</si>
</sst>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DM Sans"/>
    </font>
    <font>
      <b/>
      <sz val="10.0"/>
      <color rgb="FFFFFFFF"/>
      <name val="DM Sans"/>
    </font>
    <font>
      <b/>
      <color theme="1"/>
      <name val="DM Sans"/>
    </font>
    <font>
      <sz val="10.0"/>
      <color theme="1"/>
      <name val="DM Sans"/>
    </font>
    <font>
      <color theme="1"/>
      <name val="DM Sans"/>
    </font>
  </fonts>
  <fills count="7">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1" fillId="4"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bottom" wrapText="1"/>
    </xf>
    <xf borderId="1" fillId="2" fontId="3" numFmtId="0" xfId="0" applyAlignment="1" applyBorder="1" applyFill="1" applyFont="1">
      <alignment horizontal="center" shrinkToFit="0" vertical="bottom" wrapText="1"/>
    </xf>
    <xf borderId="1" fillId="0" fontId="4" numFmtId="0" xfId="0" applyAlignment="1" applyBorder="1" applyFont="1">
      <alignment readingOrder="0" shrinkToFit="0" vertical="center" wrapText="1"/>
    </xf>
    <xf borderId="1" fillId="6" fontId="5" numFmtId="0" xfId="0" applyAlignment="1" applyBorder="1" applyFill="1" applyFont="1">
      <alignment shrinkToFit="0" wrapText="1"/>
    </xf>
    <xf borderId="1" fillId="0" fontId="5" numFmtId="0" xfId="0" applyAlignment="1" applyBorder="1" applyFont="1">
      <alignment shrinkToFit="0" wrapText="1"/>
    </xf>
    <xf borderId="1" fillId="0" fontId="4" numFmtId="0" xfId="0" applyAlignment="1" applyBorder="1" applyFont="1">
      <alignment shrinkToFit="0" vertical="center" wrapText="1"/>
    </xf>
    <xf borderId="1" fillId="0" fontId="4"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4.5"/>
    <col customWidth="1" min="2" max="2" width="36.38"/>
    <col customWidth="1" min="3" max="3" width="11.75"/>
    <col customWidth="1" min="4" max="4" width="12.0"/>
    <col customWidth="1" min="5" max="5" width="6.38"/>
    <col customWidth="1" min="6" max="6" width="72.75"/>
    <col customWidth="1" min="7" max="7" width="72.13"/>
    <col customWidth="1" min="8" max="8" width="62.63"/>
    <col customWidth="1" min="9" max="9" width="60.5"/>
    <col customWidth="1" min="10" max="11" width="28.75"/>
    <col customWidth="1" min="12" max="12" width="61.5"/>
    <col customWidth="1" min="13" max="14" width="34.75"/>
    <col customWidth="1" min="15" max="22" width="50.13"/>
    <col customWidth="1" min="23" max="23" width="29.38"/>
    <col customWidth="1" min="24" max="25" width="12.63"/>
  </cols>
  <sheetData>
    <row r="1">
      <c r="A1" s="1" t="s">
        <v>0</v>
      </c>
      <c r="B1" s="1" t="s">
        <v>1</v>
      </c>
      <c r="C1" s="1" t="s">
        <v>2</v>
      </c>
      <c r="D1" s="1" t="s">
        <v>3</v>
      </c>
      <c r="E1" s="1" t="s">
        <v>4</v>
      </c>
      <c r="F1" s="2" t="s">
        <v>5</v>
      </c>
      <c r="G1" s="3" t="s">
        <v>6</v>
      </c>
      <c r="H1" s="2" t="s">
        <v>7</v>
      </c>
      <c r="I1" s="3" t="s">
        <v>8</v>
      </c>
      <c r="J1" s="1" t="s">
        <v>9</v>
      </c>
      <c r="K1" s="1" t="s">
        <v>10</v>
      </c>
      <c r="L1" s="4" t="s">
        <v>11</v>
      </c>
      <c r="M1" s="5" t="s">
        <v>12</v>
      </c>
      <c r="N1" s="6" t="s">
        <v>13</v>
      </c>
      <c r="O1" s="5" t="s">
        <v>14</v>
      </c>
      <c r="P1" s="7" t="s">
        <v>15</v>
      </c>
      <c r="Q1" s="5" t="s">
        <v>16</v>
      </c>
      <c r="R1" s="1" t="s">
        <v>17</v>
      </c>
      <c r="S1" s="5" t="s">
        <v>18</v>
      </c>
      <c r="T1" s="7" t="s">
        <v>19</v>
      </c>
      <c r="U1" s="1" t="s">
        <v>20</v>
      </c>
      <c r="V1" s="1" t="s">
        <v>21</v>
      </c>
      <c r="W1" s="1" t="s">
        <v>22</v>
      </c>
      <c r="X1" s="1" t="s">
        <v>23</v>
      </c>
      <c r="Y1" s="1" t="s">
        <v>24</v>
      </c>
      <c r="Z1" s="1" t="s">
        <v>25</v>
      </c>
      <c r="AA1" s="8" t="s">
        <v>26</v>
      </c>
      <c r="AB1" s="9" t="s">
        <v>27</v>
      </c>
    </row>
    <row r="2">
      <c r="A2" s="10" t="s">
        <v>28</v>
      </c>
      <c r="B2" s="10" t="s">
        <v>29</v>
      </c>
      <c r="C2" s="10" t="s">
        <v>30</v>
      </c>
      <c r="D2" s="10" t="s">
        <v>31</v>
      </c>
      <c r="E2" s="10" t="s">
        <v>32</v>
      </c>
      <c r="F2" s="11" t="str">
        <f>IFERROR(__xludf.DUMMYFUNCTION("AI(""Give me a paragraph marketing spiel for product in this row, no tech specs just marketing fluff "")"),"Transform your space with the sleek elegance of our premium aluminum profile, designed to bring a modern, sophisticated edge to any room. Crafted for those who appreciate refined aesthetics, this versatile channel seamlessly integrates into your décor, ca"&amp;"sting smooth, beautiful illumination that elevates your interior design. Whether creating subtle ambient accents or bold visual statements, it provides the perfect architectural framing to let your custom lighting visions shine with effortless style.")</f>
        <v>Transform your space with the sleek elegance of our premium aluminum profile, designed to bring a modern, sophisticated edge to any room. Crafted for those who appreciate refined aesthetics, this versatile channel seamlessly integrates into your décor, casting smooth, beautiful illumination that elevates your interior design. Whether creating subtle ambient accents or bold visual statements, it provides the perfect architectural framing to let your custom lighting visions shine with effortless style.</v>
      </c>
      <c r="G2" s="12" t="s">
        <v>33</v>
      </c>
      <c r="H2" s="11" t="str">
        <f>IFERROR(__xludf.DUMMYFUNCTION("AI(""Give me a paragraph marketing spiel for product in this row, no tech specs just marketing fluff under 180 characters "")"),"Elevate your interior with sleek aluminum profiles crafted to create modern, seamless lines of light for a truly sophisticated atmosphere.")</f>
        <v>Elevate your interior with sleek aluminum profiles crafted to create modern, seamless lines of light for a truly sophisticated atmosphere.</v>
      </c>
      <c r="I2" s="12" t="s">
        <v>34</v>
      </c>
      <c r="J2" s="13"/>
      <c r="K2" s="13"/>
      <c r="L2" s="10" t="s">
        <v>35</v>
      </c>
      <c r="M2" s="13"/>
      <c r="N2" s="13"/>
      <c r="O2" s="13"/>
      <c r="P2" s="13"/>
      <c r="Q2" s="13"/>
      <c r="R2" s="13"/>
      <c r="S2" s="13"/>
      <c r="T2" s="13"/>
      <c r="U2" s="13"/>
      <c r="V2" s="13"/>
      <c r="W2" s="10" t="s">
        <v>36</v>
      </c>
      <c r="X2" s="10" t="s">
        <v>37</v>
      </c>
      <c r="Y2" s="10" t="s">
        <v>38</v>
      </c>
      <c r="Z2" s="13"/>
      <c r="AA2" s="13" t="str">
        <f>IFERROR(__xludf.DUMMYFUNCTION("AI(""Generate 6 powerful unique keywords for the product in this row"")"),"aluminum profile, neon channel, LED housing, architectural lighting, ambient illumination, 16x17mm profile")</f>
        <v>aluminum profile, neon channel, LED housing, architectural lighting, ambient illumination, 16x17mm profile</v>
      </c>
      <c r="AB2" s="13" t="s">
        <v>39</v>
      </c>
    </row>
    <row r="3">
      <c r="A3" s="10" t="s">
        <v>40</v>
      </c>
      <c r="B3" s="10" t="s">
        <v>41</v>
      </c>
      <c r="C3" s="10" t="s">
        <v>30</v>
      </c>
      <c r="D3" s="10" t="s">
        <v>31</v>
      </c>
      <c r="E3" s="10" t="s">
        <v>32</v>
      </c>
      <c r="F3" s="11" t="str">
        <f>IFERROR(__xludf.DUMMYFUNCTION("AI(""Give me a paragraph marketing spiel for product in this row, no tech specs just marketing fluff "")"),"Achieve seamless, professional lighting installations with these high-grade metal mounting clips, designed to provide strong, dependable support for your neon LED profiles. Crafted for effortless integration and a clean, hidden finish, they ensure your cu"&amp;"stom lighting designs remain securely anchored while maintaining a sleek, modern aesthetic in any residential or commercial space.")</f>
        <v>Achieve seamless, professional lighting installations with these high-grade metal mounting clips, designed to provide strong, dependable support for your neon LED profiles. Crafted for effortless integration and a clean, hidden finish, they ensure your custom lighting designs remain securely anchored while maintaining a sleek, modern aesthetic in any residential or commercial space.</v>
      </c>
      <c r="G3" s="13" t="s">
        <v>42</v>
      </c>
      <c r="H3" s="11" t="str">
        <f>IFERROR(__xludf.DUMMYFUNCTION("AI(""Give me a paragraph marketing spiel for product in this row, no tech specs just marketing fluff under 180 characters "")"),"Secure your custom neon lighting with high-grade mounting clips designed for a clean, effortless installation and a seamless finish.")</f>
        <v>Secure your custom neon lighting with high-grade mounting clips designed for a clean, effortless installation and a seamless finish.</v>
      </c>
      <c r="I3" s="13" t="s">
        <v>43</v>
      </c>
      <c r="J3" s="13"/>
      <c r="K3" s="13"/>
      <c r="L3" s="10" t="s">
        <v>44</v>
      </c>
      <c r="M3" s="13"/>
      <c r="N3" s="13"/>
      <c r="O3" s="13"/>
      <c r="P3" s="13"/>
      <c r="Q3" s="13"/>
      <c r="R3" s="13"/>
      <c r="S3" s="13"/>
      <c r="T3" s="13"/>
      <c r="U3" s="13"/>
      <c r="V3" s="13"/>
      <c r="W3" s="10" t="s">
        <v>36</v>
      </c>
      <c r="X3" s="10" t="s">
        <v>45</v>
      </c>
      <c r="Y3" s="10" t="s">
        <v>38</v>
      </c>
      <c r="Z3" s="13"/>
      <c r="AA3" s="13" t="str">
        <f>IFERROR(__xludf.DUMMYFUNCTION("AI(""Generate 6 powerful unique keywords for the product in this row"")"),"neon mounting clips, metal LED clips, 16x17mm clips, neon profile brackets, LED strip clips, mounting hardware")</f>
        <v>neon mounting clips, metal LED clips, 16x17mm clips, neon profile brackets, LED strip clips, mounting hardware</v>
      </c>
      <c r="AB3" s="13" t="s">
        <v>46</v>
      </c>
    </row>
    <row r="4">
      <c r="A4" s="10" t="s">
        <v>47</v>
      </c>
      <c r="B4" s="10" t="s">
        <v>48</v>
      </c>
      <c r="C4" s="10" t="s">
        <v>30</v>
      </c>
      <c r="D4" s="10" t="s">
        <v>31</v>
      </c>
      <c r="E4" s="10" t="s">
        <v>32</v>
      </c>
      <c r="F4" s="11" t="str">
        <f>IFERROR(__xludf.DUMMYFUNCTION("AI(""Give me a paragraph marketing spiel for product in this row, no tech specs just marketing fluff "")"),"Seamlessly integrate stunning illumination directly into your walls with our premium plaster-in aluminum profile, designed to create flawless, trimless lines of light that elevate any modern interior. Craft sophisticated, architectural lighting effects th"&amp;"at melt into your décor for an ultra-clean, high-end finish. Perfect for bringing warm ambient accents or bold visual interest to your favorite spaces, this channel offers an effortless way to achieve a sleek, flush lighting design that redefines contempo"&amp;"rary elegance.")</f>
        <v>Seamlessly integrate stunning illumination directly into your walls with our premium plaster-in aluminum profile, designed to create flawless, trimless lines of light that elevate any modern interior. Craft sophisticated, architectural lighting effects that melt into your décor for an ultra-clean, high-end finish. Perfect for bringing warm ambient accents or bold visual interest to your favorite spaces, this channel offers an effortless way to achieve a sleek, flush lighting design that redefines contemporary elegance.</v>
      </c>
      <c r="G4" s="13" t="s">
        <v>49</v>
      </c>
      <c r="H4" s="11" t="str">
        <f>IFERROR(__xludf.DUMMYFUNCTION("AI(""Give me a paragraph marketing spiel for product in this row, no tech specs just marketing fluff under 180 characters "")"),"Integrate stunning flush illumination directly into your walls for a trimless, ultra-clean architectural light effect that redefines modern luxury.")</f>
        <v>Integrate stunning flush illumination directly into your walls for a trimless, ultra-clean architectural light effect that redefines modern luxury.</v>
      </c>
      <c r="I4" s="13" t="s">
        <v>50</v>
      </c>
      <c r="J4" s="13"/>
      <c r="K4" s="13"/>
      <c r="L4" s="10" t="s">
        <v>35</v>
      </c>
      <c r="M4" s="13"/>
      <c r="N4" s="13"/>
      <c r="O4" s="13"/>
      <c r="P4" s="13"/>
      <c r="Q4" s="13"/>
      <c r="R4" s="13"/>
      <c r="S4" s="13"/>
      <c r="T4" s="13"/>
      <c r="U4" s="13"/>
      <c r="V4" s="13"/>
      <c r="W4" s="10" t="s">
        <v>36</v>
      </c>
      <c r="X4" s="10" t="s">
        <v>51</v>
      </c>
      <c r="Y4" s="10" t="s">
        <v>38</v>
      </c>
      <c r="Z4" s="13"/>
      <c r="AA4" s="13" t="str">
        <f>IFERROR(__xludf.DUMMYFUNCTION("AI(""Generate 6 powerful unique keywords for the product in this row"")"),"Plaster Aluminum Profile, Trimless LED Profile, Architectural Lighting Channel, Flush Mount Aluminum Profile, Neon Channel 16x17, Recessed Plaster Profile")</f>
        <v>Plaster Aluminum Profile, Trimless LED Profile, Architectural Lighting Channel, Flush Mount Aluminum Profile, Neon Channel 16x17, Recessed Plaster Profile</v>
      </c>
      <c r="AB4" s="13" t="s">
        <v>52</v>
      </c>
    </row>
    <row r="5">
      <c r="A5" s="10" t="s">
        <v>53</v>
      </c>
      <c r="B5" s="10" t="s">
        <v>54</v>
      </c>
      <c r="C5" s="10" t="s">
        <v>30</v>
      </c>
      <c r="D5" s="10" t="s">
        <v>31</v>
      </c>
      <c r="E5" s="10" t="s">
        <v>32</v>
      </c>
      <c r="F5" s="11" t="str">
        <f>IFERROR(__xludf.DUMMYFUNCTION("AI(""Give me a paragraph marketing spiel for product in this row, no tech specs just marketing fluff "")"),"Achieve a clean, architectural look with our recessed aluminum profile, designed to hide seamlessly within your walls or ceilings for an ultra-modern lighting effect. By embedding the light directly into your surfaces, it creates stunning, continuous line"&amp;"s of glow that enhance your space with a sleek, minimalist aesthetic. Perfect for creating dramatic visual depth and sophisticated ambiance, this profile turns subtle lighting into an extraordinary interior feature.")</f>
        <v>Achieve a clean, architectural look with our recessed aluminum profile, designed to hide seamlessly within your walls or ceilings for an ultra-modern lighting effect. By embedding the light directly into your surfaces, it creates stunning, continuous lines of glow that enhance your space with a sleek, minimalist aesthetic. Perfect for creating dramatic visual depth and sophisticated ambiance, this profile turns subtle lighting into an extraordinary interior feature.</v>
      </c>
      <c r="G5" s="13" t="s">
        <v>55</v>
      </c>
      <c r="H5" s="11" t="str">
        <f>IFERROR(__xludf.DUMMYFUNCTION("AI(""Give me a paragraph marketing spiel for product in this row, no tech specs just marketing fluff under 180 characters "")"),"Create mesmerizing recessed lighting effects that blend seamlessly into your walls and ceilings for a sleek, minimalist aesthetic.")</f>
        <v>Create mesmerizing recessed lighting effects that blend seamlessly into your walls and ceilings for a sleek, minimalist aesthetic.</v>
      </c>
      <c r="I5" s="13" t="s">
        <v>56</v>
      </c>
      <c r="J5" s="13"/>
      <c r="K5" s="13"/>
      <c r="L5" s="10" t="s">
        <v>35</v>
      </c>
      <c r="M5" s="13"/>
      <c r="N5" s="13"/>
      <c r="O5" s="13"/>
      <c r="P5" s="13"/>
      <c r="Q5" s="13"/>
      <c r="R5" s="13"/>
      <c r="S5" s="13"/>
      <c r="T5" s="13"/>
      <c r="U5" s="13"/>
      <c r="V5" s="13"/>
      <c r="W5" s="10" t="s">
        <v>36</v>
      </c>
      <c r="X5" s="10" t="s">
        <v>57</v>
      </c>
      <c r="Y5" s="10" t="s">
        <v>38</v>
      </c>
      <c r="Z5" s="13"/>
      <c r="AA5" s="13" t="str">
        <f>IFERROR(__xludf.DUMMYFUNCTION("AI(""Generate 6 powerful unique keywords for the product in this row"")"),"Recessed Aluminium Profile, LED Neon Channel, Architectural Lighting Channel, Flush Mount Light Track, Linear Neon Extrusion, 16x17mm Profile")</f>
        <v>Recessed Aluminium Profile, LED Neon Channel, Architectural Lighting Channel, Flush Mount Light Track, Linear Neon Extrusion, 16x17mm Profile</v>
      </c>
      <c r="AB5" s="13" t="s">
        <v>58</v>
      </c>
    </row>
    <row r="6">
      <c r="A6" s="10" t="s">
        <v>59</v>
      </c>
      <c r="B6" s="10" t="s">
        <v>48</v>
      </c>
      <c r="C6" s="10" t="s">
        <v>30</v>
      </c>
      <c r="D6" s="10" t="s">
        <v>31</v>
      </c>
      <c r="E6" s="10" t="s">
        <v>32</v>
      </c>
      <c r="F6" s="11" t="str">
        <f>IFERROR(__xludf.DUMMYFUNCTION("AI(""Give me a paragraph marketing spiel for product in this row, no tech specs just marketing fluff "")"),"Seamlessly blend high-end illumination into your architectural design with our premium plaster aluminum profile. Specially crafted to integrate flush into plaster surfaces, this innovative mounting channel creates breathtaking, uninterrupted lines of ligh"&amp;"t that transform ordinary walls and ceilings into modern masterpieces. Perfect for adding subtle ambiance, dramatic accents, or sophisticated structural highlighting, it provides an elevated, custom finish that effortlessly enhances the beauty and atmosph"&amp;"ere of any luxury space.")</f>
        <v>Seamlessly blend high-end illumination into your architectural design with our premium plaster aluminum profile. Specially crafted to integrate flush into plaster surfaces, this innovative mounting channel creates breathtaking, uninterrupted lines of light that transform ordinary walls and ceilings into modern masterpieces. Perfect for adding subtle ambiance, dramatic accents, or sophisticated structural highlighting, it provides an elevated, custom finish that effortlessly enhances the beauty and atmosphere of any luxury space.</v>
      </c>
      <c r="G6" s="13" t="s">
        <v>60</v>
      </c>
      <c r="H6" s="11" t="str">
        <f>IFERROR(__xludf.DUMMYFUNCTION("AI(""Give me a paragraph marketing spiel for product in this row, no tech specs just marketing fluff under 180 characters "")"),"Transform ordinary walls and ceilings into modern masterpieces with uninterrupted, flush lines of ambient light tailored for luxury spaces.")</f>
        <v>Transform ordinary walls and ceilings into modern masterpieces with uninterrupted, flush lines of ambient light tailored for luxury spaces.</v>
      </c>
      <c r="I6" s="13" t="s">
        <v>61</v>
      </c>
      <c r="J6" s="13"/>
      <c r="K6" s="13"/>
      <c r="L6" s="10" t="s">
        <v>35</v>
      </c>
      <c r="M6" s="13"/>
      <c r="N6" s="13"/>
      <c r="O6" s="13"/>
      <c r="P6" s="13"/>
      <c r="Q6" s="13"/>
      <c r="R6" s="13"/>
      <c r="S6" s="13"/>
      <c r="T6" s="13"/>
      <c r="U6" s="13"/>
      <c r="V6" s="13"/>
      <c r="W6" s="10" t="s">
        <v>36</v>
      </c>
      <c r="X6" s="10" t="s">
        <v>62</v>
      </c>
      <c r="Y6" s="10" t="s">
        <v>38</v>
      </c>
      <c r="Z6" s="13"/>
      <c r="AA6" s="13" t="str">
        <f>IFERROR(__xludf.DUMMYFUNCTION("AI(""Generate 6 powerful unique keywords for the product in this row"")"),"plaster aluminum profile, flush mount channel, architectural lighting, neon flex profile, recessed LED housing, 16x17mm profile")</f>
        <v>plaster aluminum profile, flush mount channel, architectural lighting, neon flex profile, recessed LED housing, 16x17mm profile</v>
      </c>
      <c r="AB6" s="13" t="s">
        <v>63</v>
      </c>
    </row>
    <row r="7">
      <c r="A7" s="10" t="s">
        <v>64</v>
      </c>
      <c r="B7" s="10" t="s">
        <v>65</v>
      </c>
      <c r="C7" s="10" t="s">
        <v>30</v>
      </c>
      <c r="D7" s="10" t="s">
        <v>31</v>
      </c>
      <c r="E7" s="10" t="s">
        <v>32</v>
      </c>
      <c r="F7" s="11" t="str">
        <f>IFERROR(__xludf.DUMMYFUNCTION("AI(""Give me a paragraph marketing spiel for product in this row, no tech specs just marketing fluff "")"),"Effortlessly sculpt ambient light with our plaster flexible aluminum profile, designed to fluidly conform to your unique architectural visions. Seamlessly integrating into your walls or ceilings, it crafts smooth, flowing lines of light that elevate any i"&amp;"nterior with a touch of modern sophistication. Perfect for creating captivating ambient effects or sleek visual accents, this versatile profile provides the ultimate subtle canvas to let your custom lighting design shine with graceful perfection.")</f>
        <v>Effortlessly sculpt ambient light with our plaster flexible aluminum profile, designed to fluidly conform to your unique architectural visions. Seamlessly integrating into your walls or ceilings, it crafts smooth, flowing lines of light that elevate any interior with a touch of modern sophistication. Perfect for creating captivating ambient effects or sleek visual accents, this versatile profile provides the ultimate subtle canvas to let your custom lighting design shine with graceful perfection.</v>
      </c>
      <c r="G7" s="13" t="s">
        <v>66</v>
      </c>
      <c r="H7" s="11" t="str">
        <f>IFERROR(__xludf.DUMMYFUNCTION("AI(""Give me a paragraph marketing spiel for product in this row, no tech specs just marketing fluff under 180 characters "")"),"Effortlessly sculpt flowing curves of ambient light with flexible plaster profiles designed to adapt to your unique architectural visions.")</f>
        <v>Effortlessly sculpt flowing curves of ambient light with flexible plaster profiles designed to adapt to your unique architectural visions.</v>
      </c>
      <c r="I7" s="13" t="s">
        <v>67</v>
      </c>
      <c r="J7" s="13"/>
      <c r="K7" s="13"/>
      <c r="L7" s="10" t="s">
        <v>35</v>
      </c>
      <c r="M7" s="13"/>
      <c r="N7" s="13"/>
      <c r="O7" s="13"/>
      <c r="P7" s="13"/>
      <c r="Q7" s="13"/>
      <c r="R7" s="13"/>
      <c r="S7" s="13"/>
      <c r="T7" s="13"/>
      <c r="U7" s="13"/>
      <c r="V7" s="13"/>
      <c r="W7" s="10" t="s">
        <v>36</v>
      </c>
      <c r="X7" s="10" t="s">
        <v>68</v>
      </c>
      <c r="Y7" s="10" t="s">
        <v>38</v>
      </c>
      <c r="Z7" s="13"/>
      <c r="AA7" s="13" t="str">
        <f>IFERROR(__xludf.DUMMYFUNCTION("AI(""Generate 6 powerful unique keywords for the product in this row"")"),"bendable plaster profile, flexible aluminum channel, curved LED profile, architectural neon flex, flexible recessed housing, 16x17mm profile")</f>
        <v>bendable plaster profile, flexible aluminum channel, curved LED profile, architectural neon flex, flexible recessed housing, 16x17mm profile</v>
      </c>
      <c r="AB7" s="13" t="s">
        <v>69</v>
      </c>
    </row>
    <row r="8">
      <c r="A8" s="10" t="s">
        <v>70</v>
      </c>
      <c r="B8" s="10" t="s">
        <v>71</v>
      </c>
      <c r="C8" s="10" t="s">
        <v>30</v>
      </c>
      <c r="D8" s="10" t="s">
        <v>31</v>
      </c>
      <c r="E8" s="10" t="s">
        <v>32</v>
      </c>
      <c r="F8" s="11" t="str">
        <f>IFERROR(__xludf.DUMMYFUNCTION("AI(""Give me a paragraph marketing spiel for product in this row, no tech specs just marketing fluff "")"),"Effortlessly bring your lighting vision to life with this ultra-flexible PC channel, designed to curve and shape around any architectural detail with seamless grace. Perfect for creating fluid lines of soft, captivating light, it offers the ultimate versa"&amp;"tility for modern design enthusiasts looking to add ambiance and flair to any space. Elevate your interior ambiance with a sleek, continuous glow that transforms ordinary walls into stunning visual masterpieces.")</f>
        <v>Effortlessly bring your lighting vision to life with this ultra-flexible PC channel, designed to curve and shape around any architectural detail with seamless grace. Perfect for creating fluid lines of soft, captivating light, it offers the ultimate versatility for modern design enthusiasts looking to add ambiance and flair to any space. Elevate your interior ambiance with a sleek, continuous glow that transforms ordinary walls into stunning visual masterpieces.</v>
      </c>
      <c r="G8" s="13" t="s">
        <v>72</v>
      </c>
      <c r="H8" s="11" t="str">
        <f>IFERROR(__xludf.DUMMYFUNCTION("AI(""Give me a paragraph marketing spiel for product in this row, no tech specs just marketing fluff under 180 characters "")"),"Effortlessly shape soft, continuous light around any space with ultra-flexible channels designed to bring your modern lighting vision to life.")</f>
        <v>Effortlessly shape soft, continuous light around any space with ultra-flexible channels designed to bring your modern lighting vision to life.</v>
      </c>
      <c r="I8" s="13" t="s">
        <v>73</v>
      </c>
      <c r="J8" s="13"/>
      <c r="K8" s="13"/>
      <c r="L8" s="10" t="s">
        <v>35</v>
      </c>
      <c r="M8" s="13"/>
      <c r="N8" s="13"/>
      <c r="O8" s="13"/>
      <c r="P8" s="13"/>
      <c r="Q8" s="13"/>
      <c r="R8" s="13"/>
      <c r="S8" s="13"/>
      <c r="T8" s="13"/>
      <c r="U8" s="13"/>
      <c r="V8" s="13"/>
      <c r="W8" s="10" t="s">
        <v>36</v>
      </c>
      <c r="X8" s="10" t="s">
        <v>74</v>
      </c>
      <c r="Y8" s="10" t="s">
        <v>38</v>
      </c>
      <c r="Z8" s="13"/>
      <c r="AA8" s="13" t="str">
        <f>IFERROR(__xludf.DUMMYFUNCTION("AI(""Generate 6 powerful unique keywords for the product in this row"")"),"PC flexible profile, polycarbonate channel, ultra-flexible LED housing, bendable neon channel, ambient light profile, 16x17mm profile")</f>
        <v>PC flexible profile, polycarbonate channel, ultra-flexible LED housing, bendable neon channel, ambient light profile, 16x17mm profile</v>
      </c>
      <c r="AB8" s="13" t="s">
        <v>75</v>
      </c>
    </row>
    <row r="9">
      <c r="A9" s="10" t="s">
        <v>76</v>
      </c>
      <c r="B9" s="10" t="s">
        <v>77</v>
      </c>
      <c r="C9" s="10" t="s">
        <v>30</v>
      </c>
      <c r="D9" s="10" t="s">
        <v>31</v>
      </c>
      <c r="E9" s="10" t="s">
        <v>32</v>
      </c>
      <c r="F9" s="11" t="str">
        <f>IFERROR(__xludf.DUMMYFUNCTION("AI(""Give me a paragraph marketing spiel for product in this row, no tech specs just marketing fluff "")"),"Elevate your lighting design with the effortless flexibility and modern aesthetic of our flexible PC channel. Designed to seamlessly diffuse light into a smooth, mesmerizing glow, this versatile profile allows you to craft fluid curves and captivating arc"&amp;"hitectural accents without compromising on style. Perfect for creating ambient moods or striking feature lighting, it adds a touch of sophisticated polish to any room, allowing your artistic vision to shine with flawless grace.")</f>
        <v>Elevate your lighting design with the effortless flexibility and modern aesthetic of our flexible PC channel. Designed to seamlessly diffuse light into a smooth, mesmerizing glow, this versatile profile allows you to craft fluid curves and captivating architectural accents without compromising on style. Perfect for creating ambient moods or striking feature lighting, it adds a touch of sophisticated polish to any room, allowing your artistic vision to shine with flawless grace.</v>
      </c>
      <c r="G9" s="13" t="s">
        <v>78</v>
      </c>
      <c r="H9" s="11" t="str">
        <f>IFERROR(__xludf.DUMMYFUNCTION("AI(""Give me a paragraph marketing spiel for product in this row, no tech specs just marketing fluff under 180 characters "")"),"Craft fluid curves and captivating architectural accents with a flexible channel that seamlessly diffuses light into a mesmerizing glow.")</f>
        <v>Craft fluid curves and captivating architectural accents with a flexible channel that seamlessly diffuses light into a mesmerizing glow.</v>
      </c>
      <c r="I9" s="13" t="s">
        <v>79</v>
      </c>
      <c r="J9" s="13"/>
      <c r="K9" s="13"/>
      <c r="L9" s="10" t="s">
        <v>35</v>
      </c>
      <c r="M9" s="13"/>
      <c r="N9" s="13"/>
      <c r="O9" s="13"/>
      <c r="P9" s="13"/>
      <c r="Q9" s="13"/>
      <c r="R9" s="13"/>
      <c r="S9" s="13"/>
      <c r="T9" s="13"/>
      <c r="U9" s="13"/>
      <c r="V9" s="13"/>
      <c r="W9" s="10" t="s">
        <v>36</v>
      </c>
      <c r="X9" s="10" t="s">
        <v>80</v>
      </c>
      <c r="Y9" s="10" t="s">
        <v>38</v>
      </c>
      <c r="Z9" s="13"/>
      <c r="AA9" s="13" t="str">
        <f>IFERROR(__xludf.DUMMYFUNCTION("AI(""Generate 6 powerful unique keywords for the product in this row"")"),"PC bendable profile, flexible diffuser channel, continuous glow profile, flexible LED housing, architectural PC channel, 16x17mm profile")</f>
        <v>PC bendable profile, flexible diffuser channel, continuous glow profile, flexible LED housing, architectural PC channel, 16x17mm profile</v>
      </c>
      <c r="AB9" s="13" t="s">
        <v>81</v>
      </c>
    </row>
    <row r="10">
      <c r="A10" s="10" t="s">
        <v>82</v>
      </c>
      <c r="B10" s="10" t="s">
        <v>29</v>
      </c>
      <c r="C10" s="10" t="s">
        <v>30</v>
      </c>
      <c r="D10" s="10" t="s">
        <v>31</v>
      </c>
      <c r="E10" s="10" t="s">
        <v>32</v>
      </c>
      <c r="F10" s="11" t="str">
        <f>IFERROR(__xludf.DUMMYFUNCTION("AI(""Give me a paragraph marketing spiel for product in this row, no tech specs just marketing fluff "")"),"Elevate your lighting design with our premium aluminum profile, meticulously engineered to bring a touch of modern sophistication to any space. Designed to integrate seamlessly into your interior décor, this versatile channel creates smooth, captivating l"&amp;"ines of illumination that enhance ambiance and highlight architectural details. Perfect for crafting ambient accents or striking lighting features, it offers the ideal foundation to showcase your unique design vision with understated elegance and flair.")</f>
        <v>Elevate your lighting design with our premium aluminum profile, meticulously engineered to bring a touch of modern sophistication to any space. Designed to integrate seamlessly into your interior décor, this versatile channel creates smooth, captivating lines of illumination that enhance ambiance and highlight architectural details. Perfect for crafting ambient accents or striking lighting features, it offers the ideal foundation to showcase your unique design vision with understated elegance and flair.</v>
      </c>
      <c r="G10" s="13" t="s">
        <v>83</v>
      </c>
      <c r="H10" s="11" t="str">
        <f>IFERROR(__xludf.DUMMYFUNCTION("AI(""Give me a paragraph marketing spiel for product in this row, no tech specs just marketing fluff under 180 characters "")"),"Elevate your lighting design with sleek aluminum profiles engineered to create smooth, captivating lines of illumination for modern interiors.")</f>
        <v>Elevate your lighting design with sleek aluminum profiles engineered to create smooth, captivating lines of illumination for modern interiors.</v>
      </c>
      <c r="I10" s="13" t="s">
        <v>84</v>
      </c>
      <c r="J10" s="13"/>
      <c r="K10" s="13"/>
      <c r="L10" s="10" t="s">
        <v>85</v>
      </c>
      <c r="M10" s="13"/>
      <c r="N10" s="13"/>
      <c r="O10" s="13"/>
      <c r="P10" s="13"/>
      <c r="Q10" s="13"/>
      <c r="R10" s="13"/>
      <c r="S10" s="13"/>
      <c r="T10" s="13"/>
      <c r="U10" s="13"/>
      <c r="V10" s="13"/>
      <c r="W10" s="10" t="s">
        <v>36</v>
      </c>
      <c r="X10" s="10" t="s">
        <v>86</v>
      </c>
      <c r="Y10" s="10" t="s">
        <v>38</v>
      </c>
      <c r="Z10" s="13"/>
      <c r="AA10" s="13" t="str">
        <f>IFERROR(__xludf.DUMMYFUNCTION("AI(""Generate 6 powerful unique keywords for the product in this row"")"),"aluminum profile, neon channel, LED channel, architectural lighting, ambient illumination, 16x15mm profile")</f>
        <v>aluminum profile, neon channel, LED channel, architectural lighting, ambient illumination, 16x15mm profile</v>
      </c>
      <c r="AB10" s="13" t="s">
        <v>87</v>
      </c>
    </row>
    <row r="11">
      <c r="A11" s="10" t="s">
        <v>88</v>
      </c>
      <c r="B11" s="10" t="s">
        <v>41</v>
      </c>
      <c r="C11" s="10" t="s">
        <v>30</v>
      </c>
      <c r="D11" s="10" t="s">
        <v>31</v>
      </c>
      <c r="E11" s="10" t="s">
        <v>32</v>
      </c>
      <c r="F11" s="11" t="str">
        <f>IFERROR(__xludf.DUMMYFUNCTION("AI(""Give me a paragraph marketing spiel for product in this row, no tech specs just marketing fluff "")"),"Secure your lighting installations with total confidence and effortless precision using these premium metal mounting clips. Designed to deliver a flawless, professional finish, these durable clips hold your fixtures seamlessly in place while keeping the f"&amp;"ocus entirely on your stunning light displays. Perfect for achieving clean lines and an elevated architectural aesthetic, they offer the dependable support your custom design deserves without compromising on style.")</f>
        <v>Secure your lighting installations with total confidence and effortless precision using these premium metal mounting clips. Designed to deliver a flawless, professional finish, these durable clips hold your fixtures seamlessly in place while keeping the focus entirely on your stunning light displays. Perfect for achieving clean lines and an elevated architectural aesthetic, they offer the dependable support your custom design deserves without compromising on style.</v>
      </c>
      <c r="G11" s="13" t="s">
        <v>89</v>
      </c>
      <c r="H11" s="11" t="str">
        <f>IFERROR(__xludf.DUMMYFUNCTION("AI(""Give me a paragraph marketing spiel for product in this row, no tech specs just marketing fluff under 180 characters "")"),"Secure your custom lighting with premium mounting clips that deliver a clean, professional finish and reliable support without distraction.")</f>
        <v>Secure your custom lighting with premium mounting clips that deliver a clean, professional finish and reliable support without distraction.</v>
      </c>
      <c r="I11" s="13" t="s">
        <v>90</v>
      </c>
      <c r="J11" s="13"/>
      <c r="K11" s="13"/>
      <c r="L11" s="10" t="s">
        <v>91</v>
      </c>
      <c r="M11" s="13"/>
      <c r="N11" s="13"/>
      <c r="O11" s="13"/>
      <c r="P11" s="13"/>
      <c r="Q11" s="13"/>
      <c r="R11" s="13"/>
      <c r="S11" s="13"/>
      <c r="T11" s="13"/>
      <c r="U11" s="13"/>
      <c r="V11" s="13"/>
      <c r="W11" s="10" t="s">
        <v>36</v>
      </c>
      <c r="X11" s="10" t="s">
        <v>92</v>
      </c>
      <c r="Y11" s="10" t="s">
        <v>38</v>
      </c>
      <c r="Z11" s="13"/>
      <c r="AA11" s="13" t="str">
        <f>IFERROR(__xludf.DUMMYFUNCTION("AI(""Generate 6 powerful unique keywords for the product in this row"")"),"metal mounting clips, neon light clips, LED mounting brackets, installation hardware, architectural lighting, 16x15mm clips")</f>
        <v>metal mounting clips, neon light clips, LED mounting brackets, installation hardware, architectural lighting, 16x15mm clips</v>
      </c>
      <c r="AB11" s="13" t="s">
        <v>93</v>
      </c>
    </row>
    <row r="12">
      <c r="A12" s="10" t="s">
        <v>94</v>
      </c>
      <c r="B12" s="10" t="s">
        <v>54</v>
      </c>
      <c r="C12" s="10" t="s">
        <v>30</v>
      </c>
      <c r="D12" s="10" t="s">
        <v>31</v>
      </c>
      <c r="E12" s="10" t="s">
        <v>32</v>
      </c>
      <c r="F12" s="11" t="str">
        <f>IFERROR(__xludf.DUMMYFUNCTION("AI(""Give me a paragraph marketing spiel for product in this row, no tech specs just marketing fluff "")"),"Elevate your space with the subtle sophistication of our recessed aluminum profile, designed to seamlessly blend modern illumination directly into your architecture. Crafted for a clean, flush aesthetic, this mounting channel buries the light source into "&amp;"walls or cabinetry for a trimless, built-in feel. It transforms ordinary room accents into stunning visual focal points, delivering a soft, captivating glow that feels both high-end and effortlessly stylish.")</f>
        <v>Elevate your space with the subtle sophistication of our recessed aluminum profile, designed to seamlessly blend modern illumination directly into your architecture. Crafted for a clean, flush aesthetic, this mounting channel buries the light source into walls or cabinetry for a trimless, built-in feel. It transforms ordinary room accents into stunning visual focal points, delivering a soft, captivating glow that feels both high-end and effortlessly stylish.</v>
      </c>
      <c r="G12" s="13" t="s">
        <v>95</v>
      </c>
      <c r="H12" s="11" t="str">
        <f>IFERROR(__xludf.DUMMYFUNCTION("AI(""Give me a paragraph marketing spiel for product in this row, no tech specs just marketing fluff under 180 characters "")"),"Blend illumination seamlessly into your architecture with recessed profiles designed for a trimless, built-in feel and luxury glow.")</f>
        <v>Blend illumination seamlessly into your architecture with recessed profiles designed for a trimless, built-in feel and luxury glow.</v>
      </c>
      <c r="I12" s="13" t="s">
        <v>96</v>
      </c>
      <c r="J12" s="13"/>
      <c r="K12" s="13"/>
      <c r="L12" s="10" t="s">
        <v>85</v>
      </c>
      <c r="M12" s="13"/>
      <c r="N12" s="13"/>
      <c r="O12" s="13"/>
      <c r="P12" s="13"/>
      <c r="Q12" s="13"/>
      <c r="R12" s="13"/>
      <c r="S12" s="13"/>
      <c r="T12" s="13"/>
      <c r="U12" s="13"/>
      <c r="V12" s="13"/>
      <c r="W12" s="10" t="s">
        <v>36</v>
      </c>
      <c r="X12" s="10" t="s">
        <v>97</v>
      </c>
      <c r="Y12" s="10" t="s">
        <v>38</v>
      </c>
      <c r="Z12" s="13"/>
      <c r="AA12" s="13" t="str">
        <f>IFERROR(__xludf.DUMMYFUNCTION("AI(""Generate 6 powerful unique keywords for the product in this row"")"),"recessed aluminum profile, flush mount channel, trimless LED housing, architectural lighting, embedded neon channel, 16x15mm profile")</f>
        <v>recessed aluminum profile, flush mount channel, trimless LED housing, architectural lighting, embedded neon channel, 16x15mm profile</v>
      </c>
      <c r="AB12" s="13" t="s">
        <v>98</v>
      </c>
    </row>
    <row r="13">
      <c r="A13" s="10" t="s">
        <v>99</v>
      </c>
      <c r="B13" s="10" t="s">
        <v>65</v>
      </c>
      <c r="C13" s="10" t="s">
        <v>30</v>
      </c>
      <c r="D13" s="10" t="s">
        <v>31</v>
      </c>
      <c r="E13" s="10" t="s">
        <v>32</v>
      </c>
      <c r="F13" s="11" t="str">
        <f>IFERROR(__xludf.DUMMYFUNCTION("AI(""Give me a paragraph marketing spiel for product in this row, no tech specs just marketing fluff "")"),"Unlock endless design possibilities with our plaster flexi aluminum profile, meticulously designed to create soft, fluid curves and flawless continuous lighting. Effortlessly blending into your architecture, this versatile solution allows you to bend ligh"&amp;"t around unique spaces and bring your most imaginative interior visions to life. Perfect for crafting custom accents and sophisticated ambient glows, it elevates any modern space with a seamless, high-end architectural finish.")</f>
        <v>Unlock endless design possibilities with our plaster flexi aluminum profile, meticulously designed to create soft, fluid curves and flawless continuous lighting. Effortlessly blending into your architecture, this versatile solution allows you to bend light around unique spaces and bring your most imaginative interior visions to life. Perfect for crafting custom accents and sophisticated ambient glows, it elevates any modern space with a seamless, high-end architectural finish.</v>
      </c>
      <c r="G13" s="13" t="s">
        <v>100</v>
      </c>
      <c r="H13" s="11" t="str">
        <f>IFERROR(__xludf.DUMMYFUNCTION("AI(""Give me a paragraph marketing spiel for product in this row, no tech specs just marketing fluff under 180 characters "")"),"Unlock creative possibilities with plaster flexible profiles that create soft, continuous light curves blending into modern architecture.")</f>
        <v>Unlock creative possibilities with plaster flexible profiles that create soft, continuous light curves blending into modern architecture.</v>
      </c>
      <c r="I13" s="13" t="s">
        <v>101</v>
      </c>
      <c r="J13" s="13"/>
      <c r="K13" s="13"/>
      <c r="L13" s="10" t="s">
        <v>85</v>
      </c>
      <c r="M13" s="13"/>
      <c r="N13" s="13"/>
      <c r="O13" s="13"/>
      <c r="P13" s="13"/>
      <c r="Q13" s="13"/>
      <c r="R13" s="13"/>
      <c r="S13" s="13"/>
      <c r="T13" s="13"/>
      <c r="U13" s="13"/>
      <c r="V13" s="13"/>
      <c r="W13" s="10" t="s">
        <v>36</v>
      </c>
      <c r="X13" s="10" t="s">
        <v>102</v>
      </c>
      <c r="Y13" s="10" t="s">
        <v>38</v>
      </c>
      <c r="Z13" s="13"/>
      <c r="AA13" s="13" t="str">
        <f>IFERROR(__xludf.DUMMYFUNCTION("AI(""Generate 6 powerful unique keywords for the product in this row"")"),"bendable aluminum profile, plaster flexi profile, neon channel, flexible LED housing, architectural lighting, 16x15mm profile")</f>
        <v>bendable aluminum profile, plaster flexi profile, neon channel, flexible LED housing, architectural lighting, 16x15mm profile</v>
      </c>
      <c r="AB13" s="13" t="s">
        <v>103</v>
      </c>
    </row>
    <row r="14">
      <c r="A14" s="10" t="s">
        <v>104</v>
      </c>
      <c r="B14" s="10" t="s">
        <v>29</v>
      </c>
      <c r="C14" s="10" t="s">
        <v>30</v>
      </c>
      <c r="D14" s="10" t="s">
        <v>31</v>
      </c>
      <c r="E14" s="10" t="s">
        <v>32</v>
      </c>
      <c r="F14" s="11" t="str">
        <f>IFERROR(__xludf.DUMMYFUNCTION("AI(""Give me a paragraph marketing spiel for product in this row, no tech specs just marketing fluff "")"),"Elevate your space with the sleek, modern aesthetic of our premium aluminum profile, meticulously designed to bring your lighting vision to life. Perfectly tailored for creating smooth, captivating lines of light, this versatile housing seamlessly integra"&amp;"tes into any interior, adding a refined architectural touch to modern spaces. Whether you are looking to build a soft ambient atmosphere or highlight key visual features, it offers the ultimate backdrop to showcase your custom lighting with effortless ele"&amp;"gance.")</f>
        <v>Elevate your space with the sleek, modern aesthetic of our premium aluminum profile, meticulously designed to bring your lighting vision to life. Perfectly tailored for creating smooth, captivating lines of light, this versatile housing seamlessly integrates into any interior, adding a refined architectural touch to modern spaces. Whether you are looking to build a soft ambient atmosphere or highlight key visual features, it offers the ultimate backdrop to showcase your custom lighting with effortless elegance.</v>
      </c>
      <c r="G14" s="13" t="s">
        <v>105</v>
      </c>
      <c r="H14" s="11" t="str">
        <f>IFERROR(__xludf.DUMMYFUNCTION("AI(""Give me a paragraph marketing spiel for product in this row, no tech specs just marketing fluff under 180 characters "")"),"Bring sleek architectural style to your space with continuous lines of ambient glow, creating a refined backdrop for modern interiors.")</f>
        <v>Bring sleek architectural style to your space with continuous lines of ambient glow, creating a refined backdrop for modern interiors.</v>
      </c>
      <c r="I14" s="13" t="s">
        <v>106</v>
      </c>
      <c r="J14" s="13"/>
      <c r="K14" s="13"/>
      <c r="L14" s="10" t="s">
        <v>107</v>
      </c>
      <c r="M14" s="13"/>
      <c r="N14" s="13"/>
      <c r="O14" s="13"/>
      <c r="P14" s="13"/>
      <c r="Q14" s="13"/>
      <c r="R14" s="13"/>
      <c r="S14" s="13"/>
      <c r="T14" s="13"/>
      <c r="U14" s="13"/>
      <c r="V14" s="13"/>
      <c r="W14" s="10" t="s">
        <v>36</v>
      </c>
      <c r="X14" s="10" t="s">
        <v>108</v>
      </c>
      <c r="Y14" s="10" t="s">
        <v>38</v>
      </c>
      <c r="Z14" s="13"/>
      <c r="AA14" s="13" t="str">
        <f>IFERROR(__xludf.DUMMYFUNCTION("AI(""Generate 6 powerful unique keywords for the product in this row"")"),"aluminum profile, neon channel, LED housing, architectural lighting, ambient illumination, 12x20mm profile")</f>
        <v>aluminum profile, neon channel, LED housing, architectural lighting, ambient illumination, 12x20mm profile</v>
      </c>
      <c r="AB14" s="13" t="s">
        <v>109</v>
      </c>
    </row>
    <row r="15">
      <c r="A15" s="10" t="s">
        <v>110</v>
      </c>
      <c r="B15" s="10" t="s">
        <v>41</v>
      </c>
      <c r="C15" s="10" t="s">
        <v>30</v>
      </c>
      <c r="D15" s="10" t="s">
        <v>31</v>
      </c>
      <c r="E15" s="10" t="s">
        <v>32</v>
      </c>
      <c r="F15" s="11" t="str">
        <f>IFERROR(__xludf.DUMMYFUNCTION("AI(""Give me a paragraph marketing spiel for product in this row, no tech specs just marketing fluff "")"),"Ensure a flawless, professional finish for your lighting installation with our high-grade metal mounting clips. Designed to secure your light channels seamlessly, these sturdy clips offer reliable support while maintaining a clean, minimalist aesthetic. P"&amp;"erfect for creating crisp, continuous lines of light, they allow you to transform any space into a beautifully illuminated showcase with complete confidence and effortless sophistication.")</f>
        <v>Ensure a flawless, professional finish for your lighting installation with our high-grade metal mounting clips. Designed to secure your light channels seamlessly, these sturdy clips offer reliable support while maintaining a clean, minimalist aesthetic. Perfect for creating crisp, continuous lines of light, they allow you to transform any space into a beautifully illuminated showcase with complete confidence and effortless sophistication.</v>
      </c>
      <c r="G15" s="13" t="s">
        <v>111</v>
      </c>
      <c r="H15" s="11" t="str">
        <f>IFERROR(__xludf.DUMMYFUNCTION("AI(""Give me a paragraph marketing spiel for product in this row, no tech specs just marketing fluff under 180 characters "")"),"Ensure a flawless, professional installation with sturdy mounting clips designed to maintain crisp, continuous light and clean lines.")</f>
        <v>Ensure a flawless, professional installation with sturdy mounting clips designed to maintain crisp, continuous light and clean lines.</v>
      </c>
      <c r="I15" s="13" t="s">
        <v>112</v>
      </c>
      <c r="J15" s="13"/>
      <c r="K15" s="13"/>
      <c r="L15" s="10" t="s">
        <v>113</v>
      </c>
      <c r="M15" s="13"/>
      <c r="N15" s="13"/>
      <c r="O15" s="13"/>
      <c r="P15" s="13"/>
      <c r="Q15" s="13"/>
      <c r="R15" s="13"/>
      <c r="S15" s="13"/>
      <c r="T15" s="13"/>
      <c r="U15" s="13"/>
      <c r="V15" s="13"/>
      <c r="W15" s="10" t="s">
        <v>36</v>
      </c>
      <c r="X15" s="10" t="s">
        <v>114</v>
      </c>
      <c r="Y15" s="10" t="s">
        <v>38</v>
      </c>
      <c r="Z15" s="13"/>
      <c r="AA15" s="13" t="str">
        <f>IFERROR(__xludf.DUMMYFUNCTION("AI(""Generate 6 powerful unique keywords for the product in this row"")"),"metal mounting clips, neon light clips, channel mounting bracket, LED profile clips, light installation hardware, 12x20mm clips")</f>
        <v>metal mounting clips, neon light clips, channel mounting bracket, LED profile clips, light installation hardware, 12x20mm clips</v>
      </c>
      <c r="AB15" s="13" t="s">
        <v>115</v>
      </c>
    </row>
    <row r="16">
      <c r="A16" s="10" t="s">
        <v>116</v>
      </c>
      <c r="B16" s="10" t="s">
        <v>54</v>
      </c>
      <c r="C16" s="10" t="s">
        <v>30</v>
      </c>
      <c r="D16" s="10" t="s">
        <v>31</v>
      </c>
      <c r="E16" s="10" t="s">
        <v>32</v>
      </c>
      <c r="F16" s="11" t="str">
        <f>IFERROR(__xludf.DUMMYFUNCTION("AI(""Give me a paragraph marketing spiel for product in this row, no tech specs just marketing fluff "")"),"Seamlessly blend light and architecture with this recessed aluminum profile, designed to give your space a clean, built-in aesthetic with effortless charm. Crafting a sophisticated trimless look, it neatly tucks your custom neon lighting into walls or cei"&amp;"lings, casting a soft, captivating glow that enhances any interior. Perfect for creating modern lines of light and an elevated ambiance, this profile turns ordinary rooms into stunning, light-filled environments with a polished, luxury feel.")</f>
        <v>Seamlessly blend light and architecture with this recessed aluminum profile, designed to give your space a clean, built-in aesthetic with effortless charm. Crafting a sophisticated trimless look, it neatly tucks your custom neon lighting into walls or ceilings, casting a soft, captivating glow that enhances any interior. Perfect for creating modern lines of light and an elevated ambiance, this profile turns ordinary rooms into stunning, light-filled environments with a polished, luxury feel.</v>
      </c>
      <c r="G16" s="13" t="s">
        <v>117</v>
      </c>
      <c r="H16" s="11" t="str">
        <f>IFERROR(__xludf.DUMMYFUNCTION("AI(""Give me a paragraph marketing spiel for product in this row, no tech specs just marketing fluff under 180 characters "")"),"Tuck custom neon light neatly into walls and ceilings for a soft, captivating ambient glow with a sophisticated built-in aesthetic.")</f>
        <v>Tuck custom neon light neatly into walls and ceilings for a soft, captivating ambient glow with a sophisticated built-in aesthetic.</v>
      </c>
      <c r="I16" s="13" t="s">
        <v>118</v>
      </c>
      <c r="J16" s="13"/>
      <c r="K16" s="13"/>
      <c r="L16" s="10" t="s">
        <v>107</v>
      </c>
      <c r="M16" s="13"/>
      <c r="N16" s="13"/>
      <c r="O16" s="13"/>
      <c r="P16" s="13"/>
      <c r="Q16" s="13"/>
      <c r="R16" s="13"/>
      <c r="S16" s="13"/>
      <c r="T16" s="13"/>
      <c r="U16" s="13"/>
      <c r="V16" s="13"/>
      <c r="W16" s="10" t="s">
        <v>36</v>
      </c>
      <c r="X16" s="10" t="s">
        <v>119</v>
      </c>
      <c r="Y16" s="10" t="s">
        <v>38</v>
      </c>
      <c r="Z16" s="13"/>
      <c r="AA16" s="13" t="str">
        <f>IFERROR(__xludf.DUMMYFUNCTION("AI(""Generate 6 powerful unique keywords for the product in this row"")"),"recessed aluminum profile, trimless neon channel, flush mount LED housing, wall recessed profile, ceiling lighting channel, 12x20mm recessed profile")</f>
        <v>recessed aluminum profile, trimless neon channel, flush mount LED housing, wall recessed profile, ceiling lighting channel, 12x20mm recessed profile</v>
      </c>
      <c r="AB16" s="13" t="s">
        <v>120</v>
      </c>
    </row>
    <row r="17">
      <c r="A17" s="10" t="s">
        <v>121</v>
      </c>
      <c r="B17" s="10" t="s">
        <v>65</v>
      </c>
      <c r="C17" s="10" t="s">
        <v>30</v>
      </c>
      <c r="D17" s="10" t="s">
        <v>31</v>
      </c>
      <c r="E17" s="10" t="s">
        <v>32</v>
      </c>
      <c r="F17" s="11" t="str">
        <f>IFERROR(__xludf.DUMMYFUNCTION("AI(""Give me a paragraph marketing spiel for product in this row, no tech specs just marketing fluff "")"),"Transform your space with the versatile charm of our premium plaster aluminum profile, designed to bring seamless sophistication to any interior setting. Crafted to blend effortlessly into walls and ceilings, this elegant channel transforms ordinary light"&amp;"ing into a captivating architectural feature, casting a smooth, inviting glow. Perfect for elevating modern interiors, it offers a clean, refined finish that turns ambient illumination into a breathtaking design statement.")</f>
        <v>Transform your space with the versatile charm of our premium plaster aluminum profile, designed to bring seamless sophistication to any interior setting. Crafted to blend effortlessly into walls and ceilings, this elegant channel transforms ordinary lighting into a captivating architectural feature, casting a smooth, inviting glow. Perfect for elevating modern interiors, it offers a clean, refined finish that turns ambient illumination into a breathtaking design statement.</v>
      </c>
      <c r="G17" s="13" t="s">
        <v>122</v>
      </c>
      <c r="H17" s="11" t="str">
        <f>IFERROR(__xludf.DUMMYFUNCTION("AI(""Give me a paragraph marketing spiel for product in this row, no tech specs just marketing fluff under 180 characters "")"),"Transform modern interiors with plaster profiles that blend effortlessly into walls to turn lighting into a striking design feature.")</f>
        <v>Transform modern interiors with plaster profiles that blend effortlessly into walls to turn lighting into a striking design feature.</v>
      </c>
      <c r="I17" s="13" t="s">
        <v>123</v>
      </c>
      <c r="J17" s="13"/>
      <c r="K17" s="13"/>
      <c r="L17" s="10" t="s">
        <v>107</v>
      </c>
      <c r="M17" s="13"/>
      <c r="N17" s="13"/>
      <c r="O17" s="13"/>
      <c r="P17" s="13"/>
      <c r="Q17" s="13"/>
      <c r="R17" s="13"/>
      <c r="S17" s="13"/>
      <c r="T17" s="13"/>
      <c r="U17" s="13"/>
      <c r="V17" s="13"/>
      <c r="W17" s="10" t="s">
        <v>36</v>
      </c>
      <c r="X17" s="10" t="s">
        <v>124</v>
      </c>
      <c r="Y17" s="10" t="s">
        <v>38</v>
      </c>
      <c r="Z17" s="13"/>
      <c r="AA17" s="13" t="str">
        <f>IFERROR(__xludf.DUMMYFUNCTION("AI(""Generate 6 powerful unique keywords for the product in this row"")"),"bendable aluminum profile, plaster led channel, 12x20mm profile, flexible neon housing, architectural lighting, plaster-in channel")</f>
        <v>bendable aluminum profile, plaster led channel, 12x20mm profile, flexible neon housing, architectural lighting, plaster-in channel</v>
      </c>
      <c r="AB17" s="13" t="s">
        <v>125</v>
      </c>
    </row>
    <row r="18">
      <c r="A18" s="10" t="s">
        <v>126</v>
      </c>
      <c r="B18" s="10" t="s">
        <v>29</v>
      </c>
      <c r="C18" s="10" t="s">
        <v>30</v>
      </c>
      <c r="D18" s="10" t="s">
        <v>31</v>
      </c>
      <c r="E18" s="10" t="s">
        <v>32</v>
      </c>
      <c r="F18" s="11" t="str">
        <f>IFERROR(__xludf.DUMMYFUNCTION("AI(""Give me a paragraph marketing spiel for product in this row, no tech specs just marketing fluff "")"),"Elevate your space with the sleek elegance of our premium aluminum profile, meticulously designed to bring an ultra-slim, sophisticated edge to modern interiors. Crafted for seamless integration into any architectural layout, this versatile channel transf"&amp;"orms ambient lighting into a smooth, stunning visual statement. Perfect for creating subtle accents or captivating features, it offers the ideal refined framing to let your custom lighting vision shine with effortless elegance.")</f>
        <v>Elevate your space with the sleek elegance of our premium aluminum profile, meticulously designed to bring an ultra-slim, sophisticated edge to modern interiors. Crafted for seamless integration into any architectural layout, this versatile channel transforms ambient lighting into a smooth, stunning visual statement. Perfect for creating subtle accents or captivating features, it offers the ideal refined framing to let your custom lighting vision shine with effortless elegance.</v>
      </c>
      <c r="G18" s="13" t="s">
        <v>127</v>
      </c>
      <c r="H18" s="11" t="str">
        <f>IFERROR(__xludf.DUMMYFUNCTION("AI(""Give me a paragraph marketing spiel for product in this row, no tech specs just marketing fluff under 180 characters "")"),"Add an ultra-slim, sophisticated edge to modern spaces with smooth aluminum profiles designed for elegant, continuous illumination.")</f>
        <v>Add an ultra-slim, sophisticated edge to modern spaces with smooth aluminum profiles designed for elegant, continuous illumination.</v>
      </c>
      <c r="I18" s="13" t="s">
        <v>128</v>
      </c>
      <c r="J18" s="13"/>
      <c r="K18" s="13"/>
      <c r="L18" s="10" t="s">
        <v>129</v>
      </c>
      <c r="M18" s="13"/>
      <c r="N18" s="13"/>
      <c r="O18" s="13"/>
      <c r="P18" s="13"/>
      <c r="Q18" s="13"/>
      <c r="R18" s="13"/>
      <c r="S18" s="13"/>
      <c r="T18" s="13"/>
      <c r="U18" s="13"/>
      <c r="V18" s="13"/>
      <c r="W18" s="10" t="s">
        <v>36</v>
      </c>
      <c r="X18" s="10" t="s">
        <v>130</v>
      </c>
      <c r="Y18" s="10" t="s">
        <v>38</v>
      </c>
      <c r="Z18" s="13"/>
      <c r="AA18" s="13" t="str">
        <f>IFERROR(__xludf.DUMMYFUNCTION("AI(""Generate 6 powerful unique keywords for the product in this row"")"),"ultra slim profile, 6x12mm profile, aluminum neon channel, led strip housing, continuous illumination, slim light channel")</f>
        <v>ultra slim profile, 6x12mm profile, aluminum neon channel, led strip housing, continuous illumination, slim light channel</v>
      </c>
      <c r="AB18" s="13" t="s">
        <v>131</v>
      </c>
    </row>
    <row r="19">
      <c r="A19" s="10" t="s">
        <v>132</v>
      </c>
      <c r="B19" s="10" t="s">
        <v>41</v>
      </c>
      <c r="C19" s="10" t="s">
        <v>30</v>
      </c>
      <c r="D19" s="10" t="s">
        <v>31</v>
      </c>
      <c r="E19" s="10" t="s">
        <v>32</v>
      </c>
      <c r="F19" s="11" t="str">
        <f>IFERROR(__xludf.DUMMYFUNCTION("AI(""Give me a paragraph marketing spiel for product in this row, no tech specs just marketing fluff "")"),"Ensure a flawless, professional installation every time with our high-grade metal mounting clips, meticulously designed to hold your lighting seamlessly in place. Crafted for ultimate reliability and a clean, modern look, these essential accents secure yo"&amp;"ur custom lighting setups with effortless strength, allowing your design vision to shine bright without distraction.")</f>
        <v>Ensure a flawless, professional installation every time with our high-grade metal mounting clips, meticulously designed to hold your lighting seamlessly in place. Crafted for ultimate reliability and a clean, modern look, these essential accents secure your custom lighting setups with effortless strength, allowing your design vision to shine bright without distraction.</v>
      </c>
      <c r="G19" s="13" t="s">
        <v>133</v>
      </c>
      <c r="H19" s="11" t="str">
        <f>IFERROR(__xludf.DUMMYFUNCTION("AI(""Give me a paragraph marketing spiel for product in this row, no tech specs just marketing fluff under 180 characters "")"),"Achieve reliable support and a minimalist look with high-grade clips that keep the focus entirely on your stunning light displays.")</f>
        <v>Achieve reliable support and a minimalist look with high-grade clips that keep the focus entirely on your stunning light displays.</v>
      </c>
      <c r="I19" s="13" t="s">
        <v>134</v>
      </c>
      <c r="J19" s="13"/>
      <c r="K19" s="13"/>
      <c r="L19" s="10" t="s">
        <v>135</v>
      </c>
      <c r="M19" s="13"/>
      <c r="N19" s="13"/>
      <c r="O19" s="13"/>
      <c r="P19" s="13"/>
      <c r="Q19" s="13"/>
      <c r="R19" s="13"/>
      <c r="S19" s="13"/>
      <c r="T19" s="13"/>
      <c r="U19" s="13"/>
      <c r="V19" s="13"/>
      <c r="W19" s="10" t="s">
        <v>36</v>
      </c>
      <c r="X19" s="10" t="s">
        <v>136</v>
      </c>
      <c r="Y19" s="10" t="s">
        <v>38</v>
      </c>
      <c r="Z19" s="13"/>
      <c r="AA19" s="13" t="str">
        <f>IFERROR(__xludf.DUMMYFUNCTION("AI(""Generate 6 powerful unique keywords for the product in this row"")"),"metal mounting clips, neon light brackets, 6x12mm clips, led mounting hardware, neon installation clips, mounting accessories")</f>
        <v>metal mounting clips, neon light brackets, 6x12mm clips, led mounting hardware, neon installation clips, mounting accessories</v>
      </c>
      <c r="AB19" s="13" t="s">
        <v>137</v>
      </c>
    </row>
    <row r="20">
      <c r="A20" s="10" t="s">
        <v>138</v>
      </c>
      <c r="B20" s="10" t="s">
        <v>65</v>
      </c>
      <c r="C20" s="10" t="s">
        <v>30</v>
      </c>
      <c r="D20" s="10" t="s">
        <v>31</v>
      </c>
      <c r="E20" s="10" t="s">
        <v>32</v>
      </c>
      <c r="F20" s="11" t="str">
        <f>IFERROR(__xludf.DUMMYFUNCTION("AI(""Give me a paragraph marketing spiel for product in this row, no tech specs just marketing fluff "")"),"Unlock endless design possibilities with our plaster flexible aluminum profile, expertly crafted to turn your custom lighting concepts into stunning architectural realities. Engineered to effortlessly conform to unique curves and fluid contours, this vers"&amp;"atile profile blends seamlessly into plaster surfaces for a flawless, built-in finish. It transforms ordinary spaces with soft, continuous illumination that highlights every architectural detail, adding a touch of modern sophistication, warmth, and luxury"&amp;" to any interior landscape.")</f>
        <v>Unlock endless design possibilities with our plaster flexible aluminum profile, expertly crafted to turn your custom lighting concepts into stunning architectural realities. Engineered to effortlessly conform to unique curves and fluid contours, this versatile profile blends seamlessly into plaster surfaces for a flawless, built-in finish. It transforms ordinary spaces with soft, continuous illumination that highlights every architectural detail, adding a touch of modern sophistication, warmth, and luxury to any interior landscape.</v>
      </c>
      <c r="G20" s="13" t="s">
        <v>139</v>
      </c>
      <c r="H20" s="11" t="str">
        <f>IFERROR(__xludf.DUMMYFUNCTION("AI(""Give me a paragraph marketing spiel for product in this row, no tech specs just marketing fluff under 180 characters "")"),"Conform to unique curves and plaster surfaces effortlessly, casting soft, continuous illumination that adds luxury to any interior.")</f>
        <v>Conform to unique curves and plaster surfaces effortlessly, casting soft, continuous illumination that adds luxury to any interior.</v>
      </c>
      <c r="I20" s="13" t="s">
        <v>140</v>
      </c>
      <c r="J20" s="13"/>
      <c r="K20" s="13"/>
      <c r="L20" s="10" t="s">
        <v>129</v>
      </c>
      <c r="M20" s="13"/>
      <c r="N20" s="13"/>
      <c r="O20" s="13"/>
      <c r="P20" s="13"/>
      <c r="Q20" s="13"/>
      <c r="R20" s="13"/>
      <c r="S20" s="13"/>
      <c r="T20" s="13"/>
      <c r="U20" s="13"/>
      <c r="V20" s="13"/>
      <c r="W20" s="10" t="s">
        <v>36</v>
      </c>
      <c r="X20" s="10" t="s">
        <v>141</v>
      </c>
      <c r="Y20" s="10" t="s">
        <v>38</v>
      </c>
      <c r="Z20" s="13"/>
      <c r="AA20" s="13" t="str">
        <f>IFERROR(__xludf.DUMMYFUNCTION("AI(""Generate 6 powerful unique keywords for the product in this row"")"),"flexible plaster profile, bendable aluminum channel, 6x12mm profile, plaster-in led housing, curved light profile, recessed neon channel")</f>
        <v>flexible plaster profile, bendable aluminum channel, 6x12mm profile, plaster-in led housing, curved light profile, recessed neon channel</v>
      </c>
      <c r="AB20" s="13" t="s">
        <v>142</v>
      </c>
    </row>
    <row r="21">
      <c r="A21" s="10" t="s">
        <v>143</v>
      </c>
      <c r="B21" s="10" t="s">
        <v>29</v>
      </c>
      <c r="C21" s="10" t="s">
        <v>30</v>
      </c>
      <c r="D21" s="10" t="s">
        <v>31</v>
      </c>
      <c r="E21" s="10" t="s">
        <v>32</v>
      </c>
      <c r="F21" s="11" t="str">
        <f>IFERROR(__xludf.DUMMYFUNCTION("AI(""Give me a paragraph marketing spiel for product in this row, no tech specs just marketing fluff "")"),"Elevate your interior lighting design with our ultra-slim aluminum profile, engineered to deliver sleek, modern elegance to any space. Designed to integrate seamlessly into your décor, this discreet channel creates smooth, captivating lines of continuous "&amp;"glow that effortlessly transform everyday rooms into extraordinary visual experiences. Perfect for highlighting architectural details or creating sophisticated ambient accents, it provides the ultimate polished canvas for your unique lighting vision.")</f>
        <v>Elevate your interior lighting design with our ultra-slim aluminum profile, engineered to deliver sleek, modern elegance to any space. Designed to integrate seamlessly into your décor, this discreet channel creates smooth, captivating lines of continuous glow that effortlessly transform everyday rooms into extraordinary visual experiences. Perfect for highlighting architectural details or creating sophisticated ambient accents, it provides the ultimate polished canvas for your unique lighting vision.</v>
      </c>
      <c r="G21" s="13" t="s">
        <v>144</v>
      </c>
      <c r="H21" s="11" t="str">
        <f>IFERROR(__xludf.DUMMYFUNCTION("AI(""Give me a paragraph marketing spiel for product in this row, no tech specs just marketing fluff under 180 characters "")"),"Engineered for modern elegance, this ultra-slim profile creates continuous lines of glow to transform everyday rooms into art.")</f>
        <v>Engineered for modern elegance, this ultra-slim profile creates continuous lines of glow to transform everyday rooms into art.</v>
      </c>
      <c r="I21" s="13" t="s">
        <v>145</v>
      </c>
      <c r="J21" s="13"/>
      <c r="K21" s="13"/>
      <c r="L21" s="10" t="s">
        <v>146</v>
      </c>
      <c r="M21" s="13"/>
      <c r="N21" s="13"/>
      <c r="O21" s="13"/>
      <c r="P21" s="13"/>
      <c r="Q21" s="13"/>
      <c r="R21" s="13"/>
      <c r="S21" s="13"/>
      <c r="T21" s="13"/>
      <c r="U21" s="13"/>
      <c r="V21" s="13"/>
      <c r="W21" s="10" t="s">
        <v>36</v>
      </c>
      <c r="X21" s="10" t="s">
        <v>147</v>
      </c>
      <c r="Y21" s="10" t="s">
        <v>38</v>
      </c>
      <c r="Z21" s="13"/>
      <c r="AA21" s="13" t="str">
        <f>IFERROR(__xludf.DUMMYFUNCTION("AI(""Generate 6 powerful unique keywords for the product in this row"")"),"ultra slim aluminum profile, 10x4mm profile, micro neon channel, discreet led housing, ambient lighting profile, slim accent channel")</f>
        <v>ultra slim aluminum profile, 10x4mm profile, micro neon channel, discreet led housing, ambient lighting profile, slim accent channel</v>
      </c>
      <c r="AB21" s="13" t="s">
        <v>148</v>
      </c>
    </row>
    <row r="22">
      <c r="A22" s="10" t="s">
        <v>149</v>
      </c>
      <c r="B22" s="10" t="s">
        <v>150</v>
      </c>
      <c r="C22" s="10" t="s">
        <v>30</v>
      </c>
      <c r="D22" s="10" t="s">
        <v>31</v>
      </c>
      <c r="E22" s="10" t="s">
        <v>32</v>
      </c>
      <c r="F22" s="11" t="str">
        <f>IFERROR(__xludf.DUMMYFUNCTION("AI(""Give me a paragraph marketing spiel for product in this row, no tech specs just marketing fluff "")"),"Ensure a flawless, professional finish for your lighting installation with these premium mounting clips, designed to hold your neon channels securely in place. Effortlessly discreet, they provide reliable support while keeping the focus entirely on your s"&amp;"tunning light display. Perfect for creating clean, continuous accents in any modern space, these clips make bringing your creative lighting vision to life simpler and more seamless than ever.")</f>
        <v>Ensure a flawless, professional finish for your lighting installation with these premium mounting clips, designed to hold your neon channels securely in place. Effortlessly discreet, they provide reliable support while keeping the focus entirely on your stunning light display. Perfect for creating clean, continuous accents in any modern space, these clips make bringing your creative lighting vision to life simpler and more seamless than ever.</v>
      </c>
      <c r="G22" s="13" t="s">
        <v>151</v>
      </c>
      <c r="H22" s="11" t="str">
        <f>IFERROR(__xludf.DUMMYFUNCTION("AI(""Give me a paragraph marketing spiel for product in this row, no tech specs just marketing fluff under 180 characters "")"),"Effortlessly secure your lighting channels with discreet mounting clips designed to make custom light installations sleek and simple.")</f>
        <v>Effortlessly secure your lighting channels with discreet mounting clips designed to make custom light installations sleek and simple.</v>
      </c>
      <c r="I22" s="13" t="s">
        <v>152</v>
      </c>
      <c r="J22" s="13"/>
      <c r="K22" s="13"/>
      <c r="L22" s="10" t="s">
        <v>153</v>
      </c>
      <c r="M22" s="13"/>
      <c r="N22" s="13"/>
      <c r="O22" s="13"/>
      <c r="P22" s="13"/>
      <c r="Q22" s="13"/>
      <c r="R22" s="13"/>
      <c r="S22" s="13"/>
      <c r="T22" s="13"/>
      <c r="U22" s="13"/>
      <c r="V22" s="13"/>
      <c r="W22" s="10" t="s">
        <v>36</v>
      </c>
      <c r="X22" s="10" t="s">
        <v>154</v>
      </c>
      <c r="Y22" s="10" t="s">
        <v>38</v>
      </c>
      <c r="Z22" s="13"/>
      <c r="AA22" s="13" t="str">
        <f>IFERROR(__xludf.DUMMYFUNCTION("AI(""Generate 6 powerful unique keywords for the product in this row"")"),"neon mounting clips, PC channel clips, LED mounting brackets, neon strip holders, installation accessories, 10x4mm clips")</f>
        <v>neon mounting clips, PC channel clips, LED mounting brackets, neon strip holders, installation accessories, 10x4mm clips</v>
      </c>
      <c r="AB22" s="13" t="s">
        <v>155</v>
      </c>
    </row>
    <row r="23">
      <c r="A23" s="10" t="s">
        <v>156</v>
      </c>
      <c r="B23" s="10" t="s">
        <v>48</v>
      </c>
      <c r="C23" s="10" t="s">
        <v>30</v>
      </c>
      <c r="D23" s="10" t="s">
        <v>31</v>
      </c>
      <c r="E23" s="10" t="s">
        <v>32</v>
      </c>
      <c r="F23" s="11" t="str">
        <f>IFERROR(__xludf.DUMMYFUNCTION("AI(""Give me a paragraph marketing spiel for product in this row, no tech specs just marketing fluff "")"),"Elevate your interior design with our premium plaster aluminum profile, expertly designed to blend seamlessly into your walls and ceilings for a flawless, built-in look. Perfect for creating soft, sophisticated accent lighting or continuous lines of radia"&amp;"nt glow, this versatile mounting channel transforms ordinary spaces into modern architectural masterpieces. Enhance your home or commercial environment with effortless elegance, clean lines, and an unforgettable ambient atmosphere.")</f>
        <v>Elevate your interior design with our premium plaster aluminum profile, expertly designed to blend seamlessly into your walls and ceilings for a flawless, built-in look. Perfect for creating soft, sophisticated accent lighting or continuous lines of radiant glow, this versatile mounting channel transforms ordinary spaces into modern architectural masterpieces. Enhance your home or commercial environment with effortless elegance, clean lines, and an unforgettable ambient atmosphere.</v>
      </c>
      <c r="G23" s="13" t="s">
        <v>157</v>
      </c>
      <c r="H23" s="11" t="str">
        <f>IFERROR(__xludf.DUMMYFUNCTION("AI(""Give me a paragraph marketing spiel for product in this row, no tech specs just marketing fluff under 180 characters "")"),"Create a seamless, built-in look with plaster profiles that integrate soft accent lighting into walls and ceilings with total elegance.")</f>
        <v>Create a seamless, built-in look with plaster profiles that integrate soft accent lighting into walls and ceilings with total elegance.</v>
      </c>
      <c r="I23" s="13" t="s">
        <v>158</v>
      </c>
      <c r="J23" s="13"/>
      <c r="K23" s="13"/>
      <c r="L23" s="10" t="s">
        <v>146</v>
      </c>
      <c r="M23" s="13"/>
      <c r="N23" s="13"/>
      <c r="O23" s="13"/>
      <c r="P23" s="13"/>
      <c r="Q23" s="13"/>
      <c r="R23" s="13"/>
      <c r="S23" s="13"/>
      <c r="T23" s="13"/>
      <c r="U23" s="13"/>
      <c r="V23" s="13"/>
      <c r="W23" s="10" t="s">
        <v>36</v>
      </c>
      <c r="X23" s="10" t="s">
        <v>159</v>
      </c>
      <c r="Y23" s="10" t="s">
        <v>38</v>
      </c>
      <c r="Z23" s="13"/>
      <c r="AA23" s="13" t="str">
        <f>IFERROR(__xludf.DUMMYFUNCTION("AI(""Generate 6 powerful unique keywords for the product in this row"")"),"plaster aluminum profile, trimless LED channel, plaster-in profile, drywall neon channel, flush mount lighting, 10x4mm profile")</f>
        <v>plaster aluminum profile, trimless LED channel, plaster-in profile, drywall neon channel, flush mount lighting, 10x4mm profile</v>
      </c>
      <c r="AB23" s="13" t="s">
        <v>160</v>
      </c>
    </row>
    <row r="24">
      <c r="A24" s="10" t="s">
        <v>161</v>
      </c>
      <c r="B24" s="10" t="s">
        <v>54</v>
      </c>
      <c r="C24" s="10" t="s">
        <v>30</v>
      </c>
      <c r="D24" s="10" t="s">
        <v>31</v>
      </c>
      <c r="E24" s="10" t="s">
        <v>32</v>
      </c>
      <c r="F24" s="11" t="str">
        <f>IFERROR(__xludf.DUMMYFUNCTION("AI(""Give me a paragraph marketing spiel for product in this row, no tech specs just marketing fluff "")"),"Achieve a clean, architectural finish with our ultra-slim recessed aluminum profile, seamlessly integrating light directly into your walls and ceilings. Designed to hide effortlessly within your space, it crafts smooth, continuous lines of glow that enhan"&amp;"ce your interior with sophisticated modern elegance. Perfect for creating subtle ambient accents or striking linear illumination, this channel transforms lighting into a captivating architectural feature.")</f>
        <v>Achieve a clean, architectural finish with our ultra-slim recessed aluminum profile, seamlessly integrating light directly into your walls and ceilings. Designed to hide effortlessly within your space, it crafts smooth, continuous lines of glow that enhance your interior with sophisticated modern elegance. Perfect for creating subtle ambient accents or striking linear illumination, this channel transforms lighting into a captivating architectural feature.</v>
      </c>
      <c r="G24" s="13" t="s">
        <v>162</v>
      </c>
      <c r="H24" s="11" t="str">
        <f>IFERROR(__xludf.DUMMYFUNCTION("AI(""Give me a paragraph marketing spiel for product in this row, no tech specs just marketing fluff under 180 characters "")"),"Achieve an ultra-clean architectural finish by hiding light seamlessly within walls and ceilings for modern linear illumination.")</f>
        <v>Achieve an ultra-clean architectural finish by hiding light seamlessly within walls and ceilings for modern linear illumination.</v>
      </c>
      <c r="I24" s="13" t="s">
        <v>163</v>
      </c>
      <c r="J24" s="13"/>
      <c r="K24" s="13"/>
      <c r="L24" s="10" t="s">
        <v>146</v>
      </c>
      <c r="M24" s="13"/>
      <c r="N24" s="13"/>
      <c r="O24" s="13"/>
      <c r="P24" s="13"/>
      <c r="Q24" s="13"/>
      <c r="R24" s="13"/>
      <c r="S24" s="13"/>
      <c r="T24" s="13"/>
      <c r="U24" s="13"/>
      <c r="V24" s="13"/>
      <c r="W24" s="10" t="s">
        <v>36</v>
      </c>
      <c r="X24" s="10" t="s">
        <v>164</v>
      </c>
      <c r="Y24" s="10" t="s">
        <v>38</v>
      </c>
      <c r="Z24" s="13"/>
      <c r="AA24" s="13" t="str">
        <f>IFERROR(__xludf.DUMMYFUNCTION("AI(""Generate 6 powerful unique keywords for the product in this row"")"),"recessed aluminum profile, flush LED channel, ultra slim light track, recessed neon housing, linear architectural light, 10x4mm profile")</f>
        <v>recessed aluminum profile, flush LED channel, ultra slim light track, recessed neon housing, linear architectural light, 10x4mm profile</v>
      </c>
      <c r="AB24" s="13" t="s">
        <v>165</v>
      </c>
    </row>
    <row r="25">
      <c r="A25" s="10" t="s">
        <v>166</v>
      </c>
      <c r="B25" s="10" t="s">
        <v>167</v>
      </c>
      <c r="C25" s="10" t="s">
        <v>30</v>
      </c>
      <c r="D25" s="10" t="s">
        <v>31</v>
      </c>
      <c r="E25" s="10" t="s">
        <v>32</v>
      </c>
      <c r="F25" s="11" t="str">
        <f>IFERROR(__xludf.DUMMYFUNCTION("AI(""Give me a paragraph marketing spiel for product in this row, no tech specs just marketing fluff "")"),"Transform your space with the sleek elegance of our flexible aluminum profile, expertly designed to bring dynamic, modern illumination to any layout. Crafted to adapt seamlessly to unique curves and architectural contours, it allows you to sculpt light wi"&amp;"th complete creative freedom. Perfect for elevating ambient accents or crafting striking visual feature lines, this versatile channel provides the ideal foundation to let your bespoke lighting designs shine with effortless sophistication.")</f>
        <v>Transform your space with the sleek elegance of our flexible aluminum profile, expertly designed to bring dynamic, modern illumination to any layout. Crafted to adapt seamlessly to unique curves and architectural contours, it allows you to sculpt light with complete creative freedom. Perfect for elevating ambient accents or crafting striking visual feature lines, this versatile channel provides the ideal foundation to let your bespoke lighting designs shine with effortless sophistication.</v>
      </c>
      <c r="G25" s="13" t="s">
        <v>168</v>
      </c>
      <c r="H25" s="11" t="str">
        <f>IFERROR(__xludf.DUMMYFUNCTION("AI(""Give me a paragraph marketing spiel for product in this row, no tech specs just marketing fluff under 180 characters "")"),"Sculpt light with creative freedom using flexible profiles designed to adapt seamlessly to unique curves and dynamic accents.")</f>
        <v>Sculpt light with creative freedom using flexible profiles designed to adapt seamlessly to unique curves and dynamic accents.</v>
      </c>
      <c r="I25" s="13" t="s">
        <v>169</v>
      </c>
      <c r="J25" s="13"/>
      <c r="K25" s="13"/>
      <c r="L25" s="10" t="s">
        <v>146</v>
      </c>
      <c r="M25" s="13"/>
      <c r="N25" s="13"/>
      <c r="O25" s="13"/>
      <c r="P25" s="13"/>
      <c r="Q25" s="13"/>
      <c r="R25" s="13"/>
      <c r="S25" s="13"/>
      <c r="T25" s="13"/>
      <c r="U25" s="13"/>
      <c r="V25" s="13"/>
      <c r="W25" s="10" t="s">
        <v>36</v>
      </c>
      <c r="X25" s="10" t="s">
        <v>170</v>
      </c>
      <c r="Y25" s="10" t="s">
        <v>38</v>
      </c>
      <c r="Z25" s="13"/>
      <c r="AA25" s="13" t="str">
        <f>IFERROR(__xludf.DUMMYFUNCTION("AI(""Generate 6 powerful unique keywords for the product in this row"")"),"bendable aluminum profile, flexible LED channel, curved neon track, flexible light housing, contour mounting channel, 10x4mm profile")</f>
        <v>bendable aluminum profile, flexible LED channel, curved neon track, flexible light housing, contour mounting channel, 10x4mm profile</v>
      </c>
      <c r="AB25" s="13" t="s">
        <v>171</v>
      </c>
    </row>
    <row r="26">
      <c r="A26" s="10" t="s">
        <v>172</v>
      </c>
      <c r="B26" s="10" t="s">
        <v>173</v>
      </c>
      <c r="C26" s="10" t="s">
        <v>30</v>
      </c>
      <c r="D26" s="10" t="s">
        <v>31</v>
      </c>
      <c r="E26" s="10" t="s">
        <v>32</v>
      </c>
      <c r="F26" s="11" t="str">
        <f>IFERROR(__xludf.DUMMYFUNCTION("AI(""Give me a paragraph marketing spiel for product in this row, no tech specs just marketing fluff "")"),"Elevate your lighting design with our sleek corner aluminum profile, expertly crafted to turn overlooked edges into stunning visual highlights. Designed for effortless architectural integration, it frames your spaces with a soft, continuous glow that adds"&amp;" modern depth and sophisticated ambiance to any room. Perfectly accentuating angles and architectural features, this profile transforms ordinary corners into captivating focal points of pure, elegant light.")</f>
        <v>Elevate your lighting design with our sleek corner aluminum profile, expertly crafted to turn overlooked edges into stunning visual highlights. Designed for effortless architectural integration, it frames your spaces with a soft, continuous glow that adds modern depth and sophisticated ambiance to any room. Perfectly accentuating angles and architectural features, this profile transforms ordinary corners into captivating focal points of pure, elegant light.</v>
      </c>
      <c r="G26" s="13" t="s">
        <v>174</v>
      </c>
      <c r="H26" s="11" t="str">
        <f>IFERROR(__xludf.DUMMYFUNCTION("AI(""Give me a paragraph marketing spiel for product in this row, no tech specs just marketing fluff under 180 characters "")"),"Turn overlooked edges into stunning visual highlights with corner profiles that frame your architectural spaces in soft, radiant light.")</f>
        <v>Turn overlooked edges into stunning visual highlights with corner profiles that frame your architectural spaces in soft, radiant light.</v>
      </c>
      <c r="I26" s="13" t="s">
        <v>175</v>
      </c>
      <c r="J26" s="13"/>
      <c r="K26" s="13"/>
      <c r="L26" s="10" t="s">
        <v>176</v>
      </c>
      <c r="M26" s="13"/>
      <c r="N26" s="13"/>
      <c r="O26" s="13"/>
      <c r="P26" s="13"/>
      <c r="Q26" s="13"/>
      <c r="R26" s="13"/>
      <c r="S26" s="13"/>
      <c r="T26" s="13"/>
      <c r="U26" s="13"/>
      <c r="V26" s="13"/>
      <c r="W26" s="10" t="s">
        <v>36</v>
      </c>
      <c r="X26" s="10" t="s">
        <v>177</v>
      </c>
      <c r="Y26" s="10" t="s">
        <v>38</v>
      </c>
      <c r="Z26" s="13"/>
      <c r="AA26" s="13" t="str">
        <f>IFERROR(__xludf.DUMMYFUNCTION("AI(""Generate 6 powerful unique keywords for the product in this row"")"),"corner aluminum profile, angled LED channel, 90 degree light track, edge neon profile, corner accent channel, 10x4mm profile")</f>
        <v>corner aluminum profile, angled LED channel, 90 degree light track, edge neon profile, corner accent channel, 10x4mm profile</v>
      </c>
      <c r="AB26" s="13" t="s">
        <v>178</v>
      </c>
    </row>
    <row r="27">
      <c r="A27" s="10" t="s">
        <v>179</v>
      </c>
      <c r="B27" s="10" t="s">
        <v>180</v>
      </c>
      <c r="C27" s="10" t="s">
        <v>30</v>
      </c>
      <c r="D27" s="10" t="s">
        <v>31</v>
      </c>
      <c r="E27" s="10" t="s">
        <v>32</v>
      </c>
      <c r="F27" s="11" t="str">
        <f>IFERROR(__xludf.DUMMYFUNCTION("AI(""Give me a paragraph marketing spiel for product in this row, no tech specs just marketing fluff "")"),"Ensure a clean, flawless finish for your custom LED lighting installations with these essential open endcaps. Designed to provide a neat, professional transition for wiring while keeping your setup secure, they seamlessly blend into your architecture for "&amp;"a polished and modern aesthetic. Perfect for maintaining continuous lines of ambient glow, these endcaps give your tailored lighting projects the refined, high-end detail they deserve.")</f>
        <v>Ensure a clean, flawless finish for your custom LED lighting installations with these essential open endcaps. Designed to provide a neat, professional transition for wiring while keeping your setup secure, they seamlessly blend into your architecture for a polished and modern aesthetic. Perfect for maintaining continuous lines of ambient glow, these endcaps give your tailored lighting projects the refined, high-end detail they deserve.</v>
      </c>
      <c r="G27" s="13" t="s">
        <v>181</v>
      </c>
      <c r="H27" s="11" t="str">
        <f>IFERROR(__xludf.DUMMYFUNCTION("AI(""Give me a paragraph marketing spiel for product in this row, no tech specs just marketing fluff under 180 characters "")"),"Complete your custom lighting installation with neat, professional open endcaps designed for smooth transitions and a polished finish.")</f>
        <v>Complete your custom lighting installation with neat, professional open endcaps designed for smooth transitions and a polished finish.</v>
      </c>
      <c r="I27" s="13" t="s">
        <v>182</v>
      </c>
      <c r="J27" s="13"/>
      <c r="K27" s="13"/>
      <c r="L27" s="10" t="s">
        <v>180</v>
      </c>
      <c r="M27" s="13"/>
      <c r="N27" s="13"/>
      <c r="O27" s="13"/>
      <c r="P27" s="13"/>
      <c r="Q27" s="13"/>
      <c r="R27" s="13"/>
      <c r="S27" s="13"/>
      <c r="T27" s="13"/>
      <c r="U27" s="13"/>
      <c r="V27" s="13"/>
      <c r="W27" s="10" t="s">
        <v>36</v>
      </c>
      <c r="X27" s="10" t="s">
        <v>183</v>
      </c>
      <c r="Y27" s="10" t="s">
        <v>38</v>
      </c>
      <c r="Z27" s="13"/>
      <c r="AA27" s="13" t="str">
        <f>IFERROR(__xludf.DUMMYFUNCTION("AI(""Generate 6 powerful unique keywords for the product in this row"")"),"open endcaps, 2-core wire, LED neon endcap, wiring accessory, lighting end cap, profile end piece")</f>
        <v>open endcaps, 2-core wire, LED neon endcap, wiring accessory, lighting end cap, profile end piece</v>
      </c>
      <c r="AB27" s="13" t="s">
        <v>184</v>
      </c>
    </row>
    <row r="28">
      <c r="A28" s="10" t="s">
        <v>185</v>
      </c>
      <c r="B28" s="10" t="s">
        <v>186</v>
      </c>
      <c r="C28" s="10" t="s">
        <v>30</v>
      </c>
      <c r="D28" s="10" t="s">
        <v>31</v>
      </c>
      <c r="E28" s="10" t="s">
        <v>32</v>
      </c>
      <c r="F28" s="11" t="str">
        <f>IFERROR(__xludf.DUMMYFUNCTION("AI(""Give me a paragraph marketing spiel for product in this row, no tech specs just marketing fluff "")"),"Complete your custom lighting setup with our premium closed endcaps, designed to deliver a flawless, polished finish. Perfectly blending into your overall aesthetic, these essential accessories add that final touch of refined sophistication to bring your "&amp;"modern lighting vision together with seamless elegance.")</f>
        <v>Complete your custom lighting setup with our premium closed endcaps, designed to deliver a flawless, polished finish. Perfectly blending into your overall aesthetic, these essential accessories add that final touch of refined sophistication to bring your modern lighting vision together with seamless elegance.</v>
      </c>
      <c r="G28" s="13" t="s">
        <v>187</v>
      </c>
      <c r="H28" s="11" t="str">
        <f>IFERROR(__xludf.DUMMYFUNCTION("AI(""Give me a paragraph marketing spiel for product in this row, no tech specs just marketing fluff under 180 characters "")"),"Ensure a flawless, polished finish for your custom lighting setup while protecting your neon LED profiles with sleek closed endcaps.")</f>
        <v>Ensure a flawless, polished finish for your custom lighting setup while protecting your neon LED profiles with sleek closed endcaps.</v>
      </c>
      <c r="I28" s="13" t="s">
        <v>188</v>
      </c>
      <c r="J28" s="13"/>
      <c r="K28" s="13"/>
      <c r="L28" s="10" t="s">
        <v>186</v>
      </c>
      <c r="M28" s="13"/>
      <c r="N28" s="13"/>
      <c r="O28" s="13"/>
      <c r="P28" s="13"/>
      <c r="Q28" s="13"/>
      <c r="R28" s="13"/>
      <c r="S28" s="13"/>
      <c r="T28" s="13"/>
      <c r="U28" s="13"/>
      <c r="V28" s="13"/>
      <c r="W28" s="10" t="s">
        <v>36</v>
      </c>
      <c r="X28" s="10" t="s">
        <v>189</v>
      </c>
      <c r="Y28" s="10" t="s">
        <v>38</v>
      </c>
      <c r="Z28" s="13"/>
      <c r="AA28" s="13" t="str">
        <f>IFERROR(__xludf.DUMMYFUNCTION("AI(""Generate 6 powerful unique keywords for the product in this row"")"),"closed endcaps, LED neon cap, profile end cap, lighting accessory, protective cap, profile end piece")</f>
        <v>closed endcaps, LED neon cap, profile end cap, lighting accessory, protective cap, profile end piece</v>
      </c>
      <c r="AB28" s="13" t="s">
        <v>190</v>
      </c>
    </row>
    <row r="29">
      <c r="A29" s="10" t="s">
        <v>191</v>
      </c>
      <c r="B29" s="10" t="s">
        <v>167</v>
      </c>
      <c r="C29" s="10" t="s">
        <v>30</v>
      </c>
      <c r="D29" s="10" t="s">
        <v>31</v>
      </c>
      <c r="E29" s="10" t="s">
        <v>32</v>
      </c>
      <c r="F29" s="11" t="str">
        <f>IFERROR(__xludf.DUMMYFUNCTION("AI(""Give me a paragraph marketing spiel for product in this row, no tech specs just marketing fluff "")"),"Unlock endless creative possibilities with our ultra-flexible aluminum profile, masterfully designed to bend and shape around your unique architectural vision. Perfect for crafting custom curves and fluid, captivating lighting accents, this versatile trac"&amp;"k effortlessly transforms ordinary spaces into breathtaking modern visual statements.")</f>
        <v>Unlock endless creative possibilities with our ultra-flexible aluminum profile, masterfully designed to bend and shape around your unique architectural vision. Perfect for crafting custom curves and fluid, captivating lighting accents, this versatile track effortlessly transforms ordinary spaces into breathtaking modern visual statements.</v>
      </c>
      <c r="G29" s="13" t="s">
        <v>192</v>
      </c>
      <c r="H29" s="11" t="str">
        <f>IFERROR(__xludf.DUMMYFUNCTION("AI(""Give me a paragraph marketing spiel for product in this row, no tech specs just marketing fluff under 180 characters "")"),"Unlock endless creative possibilities and shape stunning curves of light with this ultra-flexible aluminum profile for modern interiors.")</f>
        <v>Unlock endless creative possibilities and shape stunning curves of light with this ultra-flexible aluminum profile for modern interiors.</v>
      </c>
      <c r="I29" s="13" t="s">
        <v>193</v>
      </c>
      <c r="J29" s="13"/>
      <c r="K29" s="13"/>
      <c r="L29" s="10" t="s">
        <v>194</v>
      </c>
      <c r="M29" s="13"/>
      <c r="N29" s="13"/>
      <c r="O29" s="13"/>
      <c r="P29" s="13"/>
      <c r="Q29" s="13"/>
      <c r="R29" s="13"/>
      <c r="S29" s="13"/>
      <c r="T29" s="13"/>
      <c r="U29" s="13"/>
      <c r="V29" s="13"/>
      <c r="W29" s="10" t="s">
        <v>36</v>
      </c>
      <c r="X29" s="10" t="s">
        <v>195</v>
      </c>
      <c r="Y29" s="10" t="s">
        <v>38</v>
      </c>
      <c r="Z29" s="13"/>
      <c r="AA29" s="13" t="str">
        <f>IFERROR(__xludf.DUMMYFUNCTION("AI(""Generate 6 powerful unique keywords for the product in this row"")"),"bendable aluminum profile, flexible LED channel, 4x8mm profile, curved lighting, flexible neon track, side top bend")</f>
        <v>bendable aluminum profile, flexible LED channel, 4x8mm profile, curved lighting, flexible neon track, side top bend</v>
      </c>
      <c r="AB29" s="13" t="s">
        <v>196</v>
      </c>
    </row>
    <row r="30">
      <c r="A30" s="10" t="s">
        <v>197</v>
      </c>
      <c r="B30" s="10" t="s">
        <v>29</v>
      </c>
      <c r="C30" s="10" t="s">
        <v>30</v>
      </c>
      <c r="D30" s="10" t="s">
        <v>31</v>
      </c>
      <c r="E30" s="10" t="s">
        <v>32</v>
      </c>
      <c r="F30" s="11" t="str">
        <f>IFERROR(__xludf.DUMMYFUNCTION("AI(""Give me a paragraph marketing spiel for product in this row, no tech specs just marketing fluff "")"),"Elevate your lighting design with our ultra-compact aluminum profile, engineered to deliver sleek architectural precision in a surprisingly slim footprint. Designed to create flawless lines of light, it seamlessly integrates into any modern space to turn "&amp;"subtle ambient accents into captivating focal points of high-end elegance.")</f>
        <v>Elevate your lighting design with our ultra-compact aluminum profile, engineered to deliver sleek architectural precision in a surprisingly slim footprint. Designed to create flawless lines of light, it seamlessly integrates into any modern space to turn subtle ambient accents into captivating focal points of high-end elegance.</v>
      </c>
      <c r="G30" s="13" t="s">
        <v>198</v>
      </c>
      <c r="H30" s="11" t="str">
        <f>IFERROR(__xludf.DUMMYFUNCTION("AI(""Give me a paragraph marketing spiel for product in this row, no tech specs just marketing fluff under 180 characters "")"),"Elevate your space with sleek aluminum profiles designed to craft seamless, modern lines of light for a refined, high-end finish.")</f>
        <v>Elevate your space with sleek aluminum profiles designed to craft seamless, modern lines of light for a refined, high-end finish.</v>
      </c>
      <c r="I30" s="13" t="s">
        <v>199</v>
      </c>
      <c r="J30" s="13"/>
      <c r="K30" s="13"/>
      <c r="L30" s="10" t="s">
        <v>194</v>
      </c>
      <c r="M30" s="13"/>
      <c r="N30" s="13"/>
      <c r="O30" s="13"/>
      <c r="P30" s="13"/>
      <c r="Q30" s="13"/>
      <c r="R30" s="13"/>
      <c r="S30" s="13"/>
      <c r="T30" s="13"/>
      <c r="U30" s="13"/>
      <c r="V30" s="13"/>
      <c r="W30" s="10" t="s">
        <v>36</v>
      </c>
      <c r="X30" s="10" t="s">
        <v>200</v>
      </c>
      <c r="Y30" s="10" t="s">
        <v>38</v>
      </c>
      <c r="Z30" s="13"/>
      <c r="AA30" s="13" t="str">
        <f>IFERROR(__xludf.DUMMYFUNCTION("AI(""Generate 6 powerful unique keywords for the product in this row"")"),"aluminum profile, neon LED channel, 4x8mm profile, architectural lighting, linear light track, slim profile")</f>
        <v>aluminum profile, neon LED channel, 4x8mm profile, architectural lighting, linear light track, slim profile</v>
      </c>
      <c r="AB30" s="13" t="s">
        <v>201</v>
      </c>
    </row>
    <row r="31">
      <c r="A31" s="10" t="s">
        <v>202</v>
      </c>
      <c r="B31" s="10" t="s">
        <v>41</v>
      </c>
      <c r="C31" s="10" t="s">
        <v>30</v>
      </c>
      <c r="D31" s="10" t="s">
        <v>31</v>
      </c>
      <c r="E31" s="10" t="s">
        <v>32</v>
      </c>
      <c r="F31" s="11" t="str">
        <f>IFERROR(__xludf.DUMMYFUNCTION("AI(""Give me a paragraph marketing spiel for product in this row, no tech specs just marketing fluff "")"),"Achieve seamless, professional lighting installations with these high-grade metal mounting clips, designed to provide strong, dependable support for your neon LED profiles. Crafted for effortless integration and a clean, hidden finish, they ensure your cu"&amp;"stom lighting designs remain securely anchored while maintaining a sleek, modern aesthetic.")</f>
        <v>Achieve seamless, professional lighting installations with these high-grade metal mounting clips, designed to provide strong, dependable support for your neon LED profiles. Crafted for effortless integration and a clean, hidden finish, they ensure your custom lighting designs remain securely anchored while maintaining a sleek, modern aesthetic.</v>
      </c>
      <c r="G31" s="13" t="s">
        <v>203</v>
      </c>
      <c r="H31" s="11" t="str">
        <f>IFERROR(__xludf.DUMMYFUNCTION("AI(""Give me a paragraph marketing spiel for product in this row, no tech specs just marketing fluff under 180 characters "")"),"Achieve effortless, secure installations with premium metal mounting clips designed for a discreet, flawless, and professional look.")</f>
        <v>Achieve effortless, secure installations with premium metal mounting clips designed for a discreet, flawless, and professional look.</v>
      </c>
      <c r="I31" s="13" t="s">
        <v>204</v>
      </c>
      <c r="J31" s="13"/>
      <c r="K31" s="13"/>
      <c r="L31" s="10" t="s">
        <v>205</v>
      </c>
      <c r="M31" s="13"/>
      <c r="N31" s="13"/>
      <c r="O31" s="13"/>
      <c r="P31" s="13"/>
      <c r="Q31" s="13"/>
      <c r="R31" s="13"/>
      <c r="S31" s="13"/>
      <c r="T31" s="13"/>
      <c r="U31" s="13"/>
      <c r="V31" s="13"/>
      <c r="W31" s="10" t="s">
        <v>36</v>
      </c>
      <c r="X31" s="10" t="s">
        <v>206</v>
      </c>
      <c r="Y31" s="10" t="s">
        <v>38</v>
      </c>
      <c r="Z31" s="13"/>
      <c r="AA31" s="13" t="str">
        <f>IFERROR(__xludf.DUMMYFUNCTION("AI(""Generate 6 powerful unique keywords for the product in this row"")"),"metal mounting clips, neon profile clips, mounting brackets, 4x8mm clips, LED mounting hardware, installation clips")</f>
        <v>metal mounting clips, neon profile clips, mounting brackets, 4x8mm clips, LED mounting hardware, installation clips</v>
      </c>
      <c r="AB31" s="13" t="s">
        <v>207</v>
      </c>
    </row>
    <row r="32">
      <c r="A32" s="10" t="s">
        <v>208</v>
      </c>
      <c r="B32" s="10" t="s">
        <v>167</v>
      </c>
      <c r="C32" s="10" t="s">
        <v>30</v>
      </c>
      <c r="D32" s="10" t="s">
        <v>31</v>
      </c>
      <c r="E32" s="10" t="s">
        <v>32</v>
      </c>
      <c r="F32" s="11" t="str">
        <f>IFERROR(__xludf.DUMMYFUNCTION("AI(""Give me a paragraph marketing spiel for product in this row, no tech specs just marketing fluff "")"),"Unlock endless creative possibilities and effortlessly sculpt ambient light with our flexible aluminum profile. Designed to adapt gracefully to complex curves and unique architectural contours, this pliant channel transforms ordinary interiors into extrao"&amp;"rdinary visual landscapes with smooth, flowing ribbons of glow.")</f>
        <v>Unlock endless creative possibilities and effortlessly sculpt ambient light with our flexible aluminum profile. Designed to adapt gracefully to complex curves and unique architectural contours, this pliant channel transforms ordinary interiors into extraordinary visual landscapes with smooth, flowing ribbons of glow.</v>
      </c>
      <c r="G32" s="13" t="s">
        <v>209</v>
      </c>
      <c r="H32" s="11" t="str">
        <f>IFERROR(__xludf.DUMMYFUNCTION("AI(""Give me a paragraph marketing spiel for product in this row, no tech specs just marketing fluff under 180 characters "")"),"Sculpt smooth, flowing ribbons of glow around custom curves with an ultra-pliant aluminum profile designed for luxury lighting.")</f>
        <v>Sculpt smooth, flowing ribbons of glow around custom curves with an ultra-pliant aluminum profile designed for luxury lighting.</v>
      </c>
      <c r="I32" s="13" t="s">
        <v>210</v>
      </c>
      <c r="J32" s="13"/>
      <c r="K32" s="13"/>
      <c r="L32" s="10" t="s">
        <v>211</v>
      </c>
      <c r="M32" s="13"/>
      <c r="N32" s="13"/>
      <c r="O32" s="13"/>
      <c r="P32" s="13"/>
      <c r="Q32" s="13"/>
      <c r="R32" s="13"/>
      <c r="S32" s="13"/>
      <c r="T32" s="13"/>
      <c r="U32" s="13"/>
      <c r="V32" s="13"/>
      <c r="W32" s="10" t="s">
        <v>36</v>
      </c>
      <c r="X32" s="10" t="s">
        <v>195</v>
      </c>
      <c r="Y32" s="10" t="s">
        <v>38</v>
      </c>
      <c r="Z32" s="13"/>
      <c r="AA32" s="13" t="str">
        <f>IFERROR(__xludf.DUMMYFUNCTION("AI(""Generate 6 powerful unique keywords for the product in this row"")"),"bendable aluminum profile, flexible neon channel, 6x6mm profile, pliant LED housing, curved light channel, architectural neon flex")</f>
        <v>bendable aluminum profile, flexible neon channel, 6x6mm profile, pliant LED housing, curved light channel, architectural neon flex</v>
      </c>
      <c r="AB32" s="13" t="s">
        <v>212</v>
      </c>
    </row>
    <row r="33">
      <c r="A33" s="10" t="s">
        <v>213</v>
      </c>
      <c r="B33" s="10" t="s">
        <v>29</v>
      </c>
      <c r="C33" s="10" t="s">
        <v>30</v>
      </c>
      <c r="D33" s="10" t="s">
        <v>31</v>
      </c>
      <c r="E33" s="10" t="s">
        <v>32</v>
      </c>
      <c r="F33" s="11" t="str">
        <f>IFERROR(__xludf.DUMMYFUNCTION("AI(""Give me a paragraph marketing spiel for product in this row, no tech specs just marketing fluff "")"),"Elevate your interior design with our ultra-compact aluminum profile, expertly designed to bring refined, seamless illumination to even the tightest architectural spaces. Crafted for modern aesthetics, this minimalist channel integrates effortlessly into "&amp;"your décor, transforming subtle lighting into a sophisticated ambient feature.")</f>
        <v>Elevate your interior design with our ultra-compact aluminum profile, expertly designed to bring refined, seamless illumination to even the tightest architectural spaces. Crafted for modern aesthetics, this minimalist channel integrates effortlessly into your décor, transforming subtle lighting into a sophisticated ambient feature.</v>
      </c>
      <c r="G33" s="13" t="s">
        <v>214</v>
      </c>
      <c r="H33" s="11" t="str">
        <f>IFERROR(__xludf.DUMMYFUNCTION("AI(""Give me a paragraph marketing spiel for product in this row, no tech specs just marketing fluff under 180 characters "")"),"Bring subtle architectural elegance to tight spaces with minimalist aluminum profiles that deliver seamless, ambient illumination.")</f>
        <v>Bring subtle architectural elegance to tight spaces with minimalist aluminum profiles that deliver seamless, ambient illumination.</v>
      </c>
      <c r="I33" s="13" t="s">
        <v>215</v>
      </c>
      <c r="J33" s="13"/>
      <c r="K33" s="13"/>
      <c r="L33" s="10" t="s">
        <v>211</v>
      </c>
      <c r="M33" s="13"/>
      <c r="N33" s="13"/>
      <c r="O33" s="13"/>
      <c r="P33" s="13"/>
      <c r="Q33" s="13"/>
      <c r="R33" s="13"/>
      <c r="S33" s="13"/>
      <c r="T33" s="13"/>
      <c r="U33" s="13"/>
      <c r="V33" s="13"/>
      <c r="W33" s="10" t="s">
        <v>36</v>
      </c>
      <c r="X33" s="10" t="s">
        <v>216</v>
      </c>
      <c r="Y33" s="10" t="s">
        <v>38</v>
      </c>
      <c r="Z33" s="13"/>
      <c r="AA33" s="13" t="str">
        <f>IFERROR(__xludf.DUMMYFUNCTION("AI(""Generate 6 powerful unique keywords for the product in this row"")"),"ultra-compact aluminum profile, 6x6mm profile, micro neon channel, minimalist light channel, architectural LED housing, compact ambient lighting")</f>
        <v>ultra-compact aluminum profile, 6x6mm profile, micro neon channel, minimalist light channel, architectural LED housing, compact ambient lighting</v>
      </c>
      <c r="AB33" s="13" t="s">
        <v>217</v>
      </c>
    </row>
    <row r="34">
      <c r="A34" s="10" t="s">
        <v>218</v>
      </c>
      <c r="B34" s="10" t="s">
        <v>41</v>
      </c>
      <c r="C34" s="10" t="s">
        <v>30</v>
      </c>
      <c r="D34" s="10" t="s">
        <v>31</v>
      </c>
      <c r="E34" s="10" t="s">
        <v>32</v>
      </c>
      <c r="F34" s="11" t="str">
        <f>IFERROR(__xludf.DUMMYFUNCTION("AI(""Give me a paragraph marketing spiel for product in this row, no tech specs just marketing fluff "")"),"Ensure a flawless, professional installation with these premium metal mounting clips, engineered to provide strong, reliable support for your neon LED profiles. Designed for effortless setup and a discreet, seamless finish, they keep your tailored lightin"&amp;"g designs securely in place while preserving a clean, minimalist aesthetic.")</f>
        <v>Ensure a flawless, professional installation with these premium metal mounting clips, engineered to provide strong, reliable support for your neon LED profiles. Designed for effortless setup and a discreet, seamless finish, they keep your tailored lighting designs securely in place while preserving a clean, minimalist aesthetic.</v>
      </c>
      <c r="G34" s="13" t="s">
        <v>219</v>
      </c>
      <c r="H34" s="11" t="str">
        <f>IFERROR(__xludf.DUMMYFUNCTION("AI(""Give me a paragraph marketing spiel for product in this row, no tech specs just marketing fluff under 180 characters "")"),"Keep your custom lighting securely anchored with strong, discreet metal mounting clips crafted for a clean, minimalist aesthetic.")</f>
        <v>Keep your custom lighting securely anchored with strong, discreet metal mounting clips crafted for a clean, minimalist aesthetic.</v>
      </c>
      <c r="I34" s="13" t="s">
        <v>220</v>
      </c>
      <c r="J34" s="13"/>
      <c r="K34" s="13"/>
      <c r="L34" s="10" t="s">
        <v>221</v>
      </c>
      <c r="M34" s="13"/>
      <c r="N34" s="13"/>
      <c r="O34" s="13"/>
      <c r="P34" s="13"/>
      <c r="Q34" s="13"/>
      <c r="R34" s="13"/>
      <c r="S34" s="13"/>
      <c r="T34" s="13"/>
      <c r="U34" s="13"/>
      <c r="V34" s="13"/>
      <c r="W34" s="10" t="s">
        <v>36</v>
      </c>
      <c r="X34" s="10" t="s">
        <v>222</v>
      </c>
      <c r="Y34" s="10" t="s">
        <v>38</v>
      </c>
      <c r="Z34" s="13"/>
      <c r="AA34" s="13" t="str">
        <f>IFERROR(__xludf.DUMMYFUNCTION("AI(""Generate 6 powerful unique keywords for the product in this row"")"),"metal mounting clips, neon light clips, 6x6mm clips, LED profile brackets, mounting hardware, neon installation clips")</f>
        <v>metal mounting clips, neon light clips, 6x6mm clips, LED profile brackets, mounting hardware, neon installation clips</v>
      </c>
      <c r="AB34" s="13" t="s">
        <v>223</v>
      </c>
    </row>
    <row r="35">
      <c r="A35" s="13"/>
      <c r="B35" s="13"/>
      <c r="C35" s="13"/>
      <c r="D35" s="13"/>
      <c r="E35" s="13"/>
      <c r="F35" s="14"/>
      <c r="G35" s="14"/>
      <c r="H35" s="14"/>
      <c r="I35" s="14"/>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4"/>
      <c r="G36" s="14"/>
      <c r="H36" s="14"/>
      <c r="I36" s="14"/>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4"/>
      <c r="G37" s="14"/>
      <c r="H37" s="14"/>
      <c r="I37" s="14"/>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4"/>
      <c r="G38" s="14"/>
      <c r="H38" s="14"/>
      <c r="I38" s="14"/>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4"/>
      <c r="G39" s="14"/>
      <c r="H39" s="14"/>
      <c r="I39" s="14"/>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4"/>
      <c r="G40" s="14"/>
      <c r="H40" s="14"/>
      <c r="I40" s="14"/>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4"/>
      <c r="G41" s="14"/>
      <c r="H41" s="14"/>
      <c r="I41" s="14"/>
      <c r="J41" s="13"/>
      <c r="K41" s="13"/>
      <c r="L41" s="13"/>
      <c r="M41" s="13"/>
      <c r="N41" s="13"/>
      <c r="O41" s="13"/>
      <c r="P41" s="13"/>
      <c r="Q41" s="13"/>
      <c r="R41" s="13"/>
      <c r="S41" s="13"/>
      <c r="T41" s="13"/>
      <c r="U41" s="13"/>
      <c r="V41" s="13"/>
      <c r="W41" s="13"/>
      <c r="X41" s="13"/>
      <c r="Y41" s="13"/>
      <c r="Z41" s="13"/>
      <c r="AA41" s="13"/>
      <c r="AB41" s="13"/>
    </row>
    <row r="42">
      <c r="A42" s="13"/>
      <c r="B42" s="13"/>
      <c r="C42" s="13"/>
      <c r="D42" s="13"/>
      <c r="E42" s="13"/>
      <c r="F42" s="14"/>
      <c r="G42" s="14"/>
      <c r="H42" s="14"/>
      <c r="I42" s="14"/>
      <c r="J42" s="13"/>
      <c r="K42" s="13"/>
      <c r="L42" s="13"/>
      <c r="M42" s="13"/>
      <c r="N42" s="13"/>
      <c r="O42" s="13"/>
      <c r="P42" s="13"/>
      <c r="Q42" s="13"/>
      <c r="R42" s="13"/>
      <c r="S42" s="13"/>
      <c r="T42" s="13"/>
      <c r="U42" s="13"/>
      <c r="V42" s="13"/>
      <c r="W42" s="13"/>
      <c r="X42" s="13"/>
      <c r="Y42" s="13"/>
      <c r="Z42" s="13"/>
      <c r="AA42" s="13"/>
      <c r="AB42" s="13"/>
    </row>
    <row r="43">
      <c r="A43" s="13"/>
      <c r="B43" s="13"/>
      <c r="C43" s="13"/>
      <c r="D43" s="13"/>
      <c r="E43" s="13"/>
      <c r="F43" s="14"/>
      <c r="G43" s="14"/>
      <c r="H43" s="14"/>
      <c r="I43" s="14"/>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4"/>
      <c r="G44" s="14"/>
      <c r="H44" s="14"/>
      <c r="I44" s="14"/>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4"/>
      <c r="G45" s="14"/>
      <c r="H45" s="14"/>
      <c r="I45" s="14"/>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4"/>
      <c r="G46" s="14"/>
      <c r="H46" s="14"/>
      <c r="I46" s="14"/>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4"/>
      <c r="G47" s="14"/>
      <c r="H47" s="14"/>
      <c r="I47" s="14"/>
      <c r="J47" s="13"/>
      <c r="K47" s="13"/>
      <c r="L47" s="13"/>
      <c r="M47" s="13"/>
      <c r="N47" s="13"/>
      <c r="O47" s="13"/>
      <c r="P47" s="13"/>
      <c r="Q47" s="13"/>
      <c r="R47" s="13"/>
      <c r="S47" s="13"/>
      <c r="T47" s="13"/>
      <c r="U47" s="13"/>
      <c r="V47" s="13"/>
      <c r="W47" s="13"/>
      <c r="X47" s="13"/>
      <c r="Y47" s="13"/>
      <c r="Z47" s="13"/>
      <c r="AA47" s="13"/>
      <c r="AB47" s="13"/>
    </row>
    <row r="48">
      <c r="A48" s="13"/>
      <c r="B48" s="13"/>
      <c r="C48" s="13"/>
      <c r="D48" s="13"/>
      <c r="E48" s="13"/>
      <c r="F48" s="14"/>
      <c r="G48" s="14"/>
      <c r="H48" s="14"/>
      <c r="I48" s="14"/>
      <c r="J48" s="13"/>
      <c r="K48" s="13"/>
      <c r="L48" s="13"/>
      <c r="M48" s="13"/>
      <c r="N48" s="13"/>
      <c r="O48" s="13"/>
      <c r="P48" s="13"/>
      <c r="Q48" s="13"/>
      <c r="R48" s="13"/>
      <c r="S48" s="13"/>
      <c r="T48" s="13"/>
      <c r="U48" s="13"/>
      <c r="V48" s="13"/>
      <c r="W48" s="13"/>
      <c r="X48" s="13"/>
      <c r="Y48" s="13"/>
      <c r="Z48" s="13"/>
      <c r="AA48" s="13"/>
      <c r="AB48" s="13"/>
    </row>
    <row r="49">
      <c r="A49" s="13"/>
      <c r="B49" s="13"/>
      <c r="C49" s="13"/>
      <c r="D49" s="13"/>
      <c r="E49" s="13"/>
      <c r="F49" s="14"/>
      <c r="G49" s="14"/>
      <c r="H49" s="14"/>
      <c r="I49" s="14"/>
      <c r="J49" s="13"/>
      <c r="K49" s="13"/>
      <c r="L49" s="13"/>
      <c r="M49" s="13"/>
      <c r="N49" s="13"/>
      <c r="O49" s="13"/>
      <c r="P49" s="13"/>
      <c r="Q49" s="13"/>
      <c r="R49" s="13"/>
      <c r="S49" s="13"/>
      <c r="T49" s="13"/>
      <c r="U49" s="13"/>
      <c r="V49" s="13"/>
      <c r="W49" s="13"/>
      <c r="X49" s="13"/>
      <c r="Y49" s="13"/>
      <c r="Z49" s="13"/>
      <c r="AA49" s="13"/>
      <c r="AB49" s="13"/>
    </row>
    <row r="50">
      <c r="A50" s="13"/>
      <c r="B50" s="13"/>
      <c r="C50" s="13"/>
      <c r="D50" s="13"/>
      <c r="E50" s="13"/>
      <c r="F50" s="14"/>
      <c r="G50" s="14"/>
      <c r="H50" s="14"/>
      <c r="I50" s="14"/>
      <c r="J50" s="13"/>
      <c r="K50" s="13"/>
      <c r="L50" s="13"/>
      <c r="M50" s="13"/>
      <c r="N50" s="13"/>
      <c r="O50" s="13"/>
      <c r="P50" s="13"/>
      <c r="Q50" s="13"/>
      <c r="R50" s="13"/>
      <c r="S50" s="13"/>
      <c r="T50" s="13"/>
      <c r="U50" s="13"/>
      <c r="V50" s="13"/>
      <c r="W50" s="13"/>
      <c r="X50" s="13"/>
      <c r="Y50" s="13"/>
      <c r="Z50" s="13"/>
      <c r="AA50" s="13"/>
      <c r="AB50" s="13"/>
    </row>
    <row r="51">
      <c r="A51" s="13"/>
      <c r="B51" s="13"/>
      <c r="C51" s="13"/>
      <c r="D51" s="13"/>
      <c r="E51" s="13"/>
      <c r="F51" s="14"/>
      <c r="G51" s="14"/>
      <c r="H51" s="14"/>
      <c r="I51" s="14"/>
      <c r="J51" s="13"/>
      <c r="K51" s="13"/>
      <c r="L51" s="13"/>
      <c r="M51" s="13"/>
      <c r="N51" s="13"/>
      <c r="O51" s="13"/>
      <c r="P51" s="13"/>
      <c r="Q51" s="13"/>
      <c r="R51" s="13"/>
      <c r="S51" s="13"/>
      <c r="T51" s="13"/>
      <c r="U51" s="13"/>
      <c r="V51" s="13"/>
      <c r="W51" s="13"/>
      <c r="X51" s="13"/>
      <c r="Y51" s="13"/>
      <c r="Z51" s="13"/>
      <c r="AA51" s="13"/>
      <c r="AB51" s="13"/>
    </row>
    <row r="52">
      <c r="A52" s="13"/>
      <c r="B52" s="13"/>
      <c r="C52" s="13"/>
      <c r="D52" s="13"/>
      <c r="E52" s="13"/>
      <c r="F52" s="14"/>
      <c r="G52" s="14"/>
      <c r="H52" s="14"/>
      <c r="I52" s="14"/>
      <c r="J52" s="13"/>
      <c r="K52" s="13"/>
      <c r="L52" s="13"/>
      <c r="M52" s="13"/>
      <c r="N52" s="13"/>
      <c r="O52" s="13"/>
      <c r="P52" s="13"/>
      <c r="Q52" s="13"/>
      <c r="R52" s="13"/>
      <c r="S52" s="13"/>
      <c r="T52" s="13"/>
      <c r="U52" s="13"/>
      <c r="V52" s="13"/>
      <c r="W52" s="13"/>
      <c r="X52" s="13"/>
      <c r="Y52" s="13"/>
      <c r="Z52" s="13"/>
      <c r="AA52" s="13"/>
      <c r="AB52" s="13"/>
    </row>
    <row r="53">
      <c r="A53" s="13"/>
      <c r="B53" s="13"/>
      <c r="C53" s="13"/>
      <c r="D53" s="13"/>
      <c r="E53" s="13"/>
      <c r="F53" s="14"/>
      <c r="G53" s="14"/>
      <c r="H53" s="14"/>
      <c r="I53" s="14"/>
      <c r="J53" s="13"/>
      <c r="K53" s="13"/>
      <c r="L53" s="13"/>
      <c r="M53" s="13"/>
      <c r="N53" s="13"/>
      <c r="O53" s="13"/>
      <c r="P53" s="13"/>
      <c r="Q53" s="13"/>
      <c r="R53" s="13"/>
      <c r="S53" s="13"/>
      <c r="T53" s="13"/>
      <c r="U53" s="13"/>
      <c r="V53" s="13"/>
      <c r="W53" s="13"/>
      <c r="X53" s="13"/>
      <c r="Y53" s="13"/>
      <c r="Z53" s="13"/>
      <c r="AA53" s="13"/>
      <c r="AB53" s="13"/>
    </row>
    <row r="54">
      <c r="A54" s="13"/>
      <c r="B54" s="13"/>
      <c r="C54" s="13"/>
      <c r="D54" s="13"/>
      <c r="E54" s="13"/>
      <c r="F54" s="14"/>
      <c r="G54" s="14"/>
      <c r="H54" s="14"/>
      <c r="I54" s="14"/>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4"/>
      <c r="G55" s="14"/>
      <c r="H55" s="14"/>
      <c r="I55" s="14"/>
      <c r="J55" s="13"/>
      <c r="K55" s="13"/>
      <c r="L55" s="13"/>
      <c r="M55" s="13"/>
      <c r="N55" s="13"/>
      <c r="O55" s="13"/>
      <c r="P55" s="13"/>
      <c r="Q55" s="13"/>
      <c r="R55" s="13"/>
      <c r="S55" s="13"/>
      <c r="T55" s="13"/>
      <c r="U55" s="13"/>
      <c r="V55" s="13"/>
      <c r="W55" s="13"/>
      <c r="X55" s="13"/>
      <c r="Y55" s="13"/>
      <c r="Z55" s="13"/>
      <c r="AA55" s="13"/>
      <c r="AB55" s="13"/>
    </row>
    <row r="56">
      <c r="A56" s="13"/>
      <c r="B56" s="13"/>
      <c r="C56" s="13"/>
      <c r="D56" s="13"/>
      <c r="E56" s="13"/>
      <c r="F56" s="14"/>
      <c r="G56" s="14"/>
      <c r="H56" s="14"/>
      <c r="I56" s="14"/>
      <c r="J56" s="13"/>
      <c r="K56" s="13"/>
      <c r="L56" s="13"/>
      <c r="M56" s="13"/>
      <c r="N56" s="13"/>
      <c r="O56" s="13"/>
      <c r="P56" s="13"/>
      <c r="Q56" s="13"/>
      <c r="R56" s="13"/>
      <c r="S56" s="13"/>
      <c r="T56" s="13"/>
      <c r="U56" s="13"/>
      <c r="V56" s="13"/>
      <c r="W56" s="13"/>
      <c r="X56" s="13"/>
      <c r="Y56" s="13"/>
      <c r="Z56" s="13"/>
      <c r="AA56" s="13"/>
      <c r="AB56" s="13"/>
    </row>
    <row r="57">
      <c r="A57" s="13"/>
      <c r="B57" s="13"/>
      <c r="C57" s="13"/>
      <c r="D57" s="13"/>
      <c r="E57" s="13"/>
      <c r="F57" s="14"/>
      <c r="G57" s="14"/>
      <c r="H57" s="14"/>
      <c r="I57" s="14"/>
      <c r="J57" s="13"/>
      <c r="K57" s="13"/>
      <c r="L57" s="13"/>
      <c r="M57" s="13"/>
      <c r="N57" s="13"/>
      <c r="O57" s="13"/>
      <c r="P57" s="13"/>
      <c r="Q57" s="13"/>
      <c r="R57" s="13"/>
      <c r="S57" s="13"/>
      <c r="T57" s="13"/>
      <c r="U57" s="13"/>
      <c r="V57" s="13"/>
      <c r="W57" s="13"/>
      <c r="X57" s="13"/>
      <c r="Y57" s="13"/>
      <c r="Z57" s="13"/>
      <c r="AA57" s="13"/>
      <c r="AB57" s="13"/>
    </row>
    <row r="58">
      <c r="A58" s="13"/>
      <c r="B58" s="13"/>
      <c r="C58" s="13"/>
      <c r="D58" s="13"/>
      <c r="E58" s="13"/>
      <c r="F58" s="14"/>
      <c r="G58" s="14"/>
      <c r="H58" s="14"/>
      <c r="I58" s="14"/>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4"/>
      <c r="G59" s="14"/>
      <c r="H59" s="14"/>
      <c r="I59" s="14"/>
      <c r="J59" s="13"/>
      <c r="K59" s="13"/>
      <c r="L59" s="13"/>
      <c r="M59" s="13"/>
      <c r="N59" s="13"/>
      <c r="O59" s="13"/>
      <c r="P59" s="13"/>
      <c r="Q59" s="13"/>
      <c r="R59" s="13"/>
      <c r="S59" s="13"/>
      <c r="T59" s="13"/>
      <c r="U59" s="13"/>
      <c r="V59" s="13"/>
      <c r="W59" s="13"/>
      <c r="X59" s="13"/>
      <c r="Y59" s="13"/>
      <c r="Z59" s="13"/>
      <c r="AA59" s="13"/>
      <c r="AB59" s="13"/>
    </row>
    <row r="60">
      <c r="A60" s="13"/>
      <c r="B60" s="13"/>
      <c r="C60" s="13"/>
      <c r="D60" s="13"/>
      <c r="E60" s="13"/>
      <c r="F60" s="14"/>
      <c r="G60" s="14"/>
      <c r="H60" s="14"/>
      <c r="I60" s="14"/>
      <c r="J60" s="13"/>
      <c r="K60" s="13"/>
      <c r="L60" s="13"/>
      <c r="M60" s="13"/>
      <c r="N60" s="13"/>
      <c r="O60" s="13"/>
      <c r="P60" s="13"/>
      <c r="Q60" s="13"/>
      <c r="R60" s="13"/>
      <c r="S60" s="13"/>
      <c r="T60" s="13"/>
      <c r="U60" s="13"/>
      <c r="V60" s="13"/>
      <c r="W60" s="13"/>
      <c r="X60" s="13"/>
      <c r="Y60" s="13"/>
      <c r="Z60" s="13"/>
      <c r="AA60" s="13"/>
      <c r="AB60" s="13"/>
    </row>
    <row r="61">
      <c r="A61" s="13"/>
      <c r="B61" s="13"/>
      <c r="C61" s="13"/>
      <c r="D61" s="13"/>
      <c r="E61" s="13"/>
      <c r="F61" s="14"/>
      <c r="G61" s="14"/>
      <c r="H61" s="14"/>
      <c r="I61" s="14"/>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4"/>
      <c r="G62" s="14"/>
      <c r="H62" s="14"/>
      <c r="I62" s="14"/>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4"/>
      <c r="G63" s="14"/>
      <c r="H63" s="14"/>
      <c r="I63" s="14"/>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4"/>
      <c r="G64" s="14"/>
      <c r="H64" s="14"/>
      <c r="I64" s="14"/>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4"/>
      <c r="G65" s="14"/>
      <c r="H65" s="14"/>
      <c r="I65" s="14"/>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4"/>
      <c r="G66" s="14"/>
      <c r="H66" s="14"/>
      <c r="I66" s="14"/>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4"/>
      <c r="G67" s="14"/>
      <c r="H67" s="14"/>
      <c r="I67" s="14"/>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4"/>
      <c r="G68" s="14"/>
      <c r="H68" s="14"/>
      <c r="I68" s="14"/>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4"/>
      <c r="G69" s="14"/>
      <c r="H69" s="14"/>
      <c r="I69" s="14"/>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4"/>
      <c r="G70" s="14"/>
      <c r="H70" s="14"/>
      <c r="I70" s="14"/>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4"/>
      <c r="G71" s="14"/>
      <c r="H71" s="14"/>
      <c r="I71" s="14"/>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4"/>
      <c r="G72" s="14"/>
      <c r="H72" s="14"/>
      <c r="I72" s="14"/>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4"/>
      <c r="G73" s="14"/>
      <c r="H73" s="14"/>
      <c r="I73" s="14"/>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4"/>
      <c r="G74" s="14"/>
      <c r="H74" s="14"/>
      <c r="I74" s="14"/>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4"/>
      <c r="G75" s="14"/>
      <c r="H75" s="14"/>
      <c r="I75" s="14"/>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4"/>
      <c r="G76" s="14"/>
      <c r="H76" s="14"/>
      <c r="I76" s="14"/>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4"/>
      <c r="G77" s="14"/>
      <c r="H77" s="14"/>
      <c r="I77" s="14"/>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4"/>
      <c r="G78" s="14"/>
      <c r="H78" s="14"/>
      <c r="I78" s="14"/>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4"/>
      <c r="G79" s="14"/>
      <c r="H79" s="14"/>
      <c r="I79" s="14"/>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4"/>
      <c r="G80" s="14"/>
      <c r="H80" s="14"/>
      <c r="I80" s="14"/>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4"/>
      <c r="G81" s="14"/>
      <c r="H81" s="14"/>
      <c r="I81" s="14"/>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4"/>
      <c r="G82" s="14"/>
      <c r="H82" s="14"/>
      <c r="I82" s="14"/>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4"/>
      <c r="G83" s="14"/>
      <c r="H83" s="14"/>
      <c r="I83" s="14"/>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4"/>
      <c r="G84" s="14"/>
      <c r="H84" s="14"/>
      <c r="I84" s="14"/>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4"/>
      <c r="G85" s="14"/>
      <c r="H85" s="14"/>
      <c r="I85" s="14"/>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4"/>
      <c r="G86" s="14"/>
      <c r="H86" s="14"/>
      <c r="I86" s="14"/>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4"/>
      <c r="G87" s="14"/>
      <c r="H87" s="14"/>
      <c r="I87" s="14"/>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4"/>
      <c r="G88" s="14"/>
      <c r="H88" s="14"/>
      <c r="I88" s="14"/>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4"/>
      <c r="G89" s="14"/>
      <c r="H89" s="14"/>
      <c r="I89" s="14"/>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4"/>
      <c r="G90" s="14"/>
      <c r="H90" s="14"/>
      <c r="I90" s="14"/>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4"/>
      <c r="G91" s="14"/>
      <c r="H91" s="14"/>
      <c r="I91" s="14"/>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4"/>
      <c r="G92" s="14"/>
      <c r="H92" s="14"/>
      <c r="I92" s="14"/>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4"/>
      <c r="G93" s="14"/>
      <c r="H93" s="14"/>
      <c r="I93" s="14"/>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4"/>
      <c r="G94" s="14"/>
      <c r="H94" s="14"/>
      <c r="I94" s="14"/>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4"/>
      <c r="G95" s="14"/>
      <c r="H95" s="14"/>
      <c r="I95" s="14"/>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4"/>
      <c r="G96" s="14"/>
      <c r="H96" s="14"/>
      <c r="I96" s="14"/>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4"/>
      <c r="G97" s="14"/>
      <c r="H97" s="14"/>
      <c r="I97" s="14"/>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4"/>
      <c r="G98" s="14"/>
      <c r="H98" s="14"/>
      <c r="I98" s="14"/>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4"/>
      <c r="G99" s="14"/>
      <c r="H99" s="14"/>
      <c r="I99" s="14"/>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4"/>
      <c r="G100" s="14"/>
      <c r="H100" s="14"/>
      <c r="I100" s="14"/>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4"/>
      <c r="G101" s="14"/>
      <c r="H101" s="14"/>
      <c r="I101" s="14"/>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4"/>
      <c r="G102" s="14"/>
      <c r="H102" s="14"/>
      <c r="I102" s="14"/>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4"/>
      <c r="G103" s="14"/>
      <c r="H103" s="14"/>
      <c r="I103" s="14"/>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4"/>
      <c r="G104" s="14"/>
      <c r="H104" s="14"/>
      <c r="I104" s="14"/>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4"/>
      <c r="G105" s="14"/>
      <c r="H105" s="14"/>
      <c r="I105" s="14"/>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4"/>
      <c r="G106" s="14"/>
      <c r="H106" s="14"/>
      <c r="I106" s="14"/>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4"/>
      <c r="G107" s="14"/>
      <c r="H107" s="14"/>
      <c r="I107" s="14"/>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4"/>
      <c r="G108" s="14"/>
      <c r="H108" s="14"/>
      <c r="I108" s="14"/>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4"/>
      <c r="G109" s="14"/>
      <c r="H109" s="14"/>
      <c r="I109" s="14"/>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4"/>
      <c r="G110" s="14"/>
      <c r="H110" s="14"/>
      <c r="I110" s="14"/>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4"/>
      <c r="G111" s="14"/>
      <c r="H111" s="14"/>
      <c r="I111" s="14"/>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4"/>
      <c r="G112" s="14"/>
      <c r="H112" s="14"/>
      <c r="I112" s="14"/>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4"/>
      <c r="G113" s="14"/>
      <c r="H113" s="14"/>
      <c r="I113" s="14"/>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4"/>
      <c r="G114" s="14"/>
      <c r="H114" s="14"/>
      <c r="I114" s="14"/>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4"/>
      <c r="G115" s="14"/>
      <c r="H115" s="14"/>
      <c r="I115" s="14"/>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4"/>
      <c r="G116" s="14"/>
      <c r="H116" s="14"/>
      <c r="I116" s="14"/>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4"/>
      <c r="G117" s="14"/>
      <c r="H117" s="14"/>
      <c r="I117" s="14"/>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4"/>
      <c r="G118" s="14"/>
      <c r="H118" s="14"/>
      <c r="I118" s="14"/>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4"/>
      <c r="G119" s="14"/>
      <c r="H119" s="14"/>
      <c r="I119" s="14"/>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4"/>
      <c r="G120" s="14"/>
      <c r="H120" s="14"/>
      <c r="I120" s="14"/>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4"/>
      <c r="G121" s="14"/>
      <c r="H121" s="14"/>
      <c r="I121" s="14"/>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4"/>
      <c r="G122" s="14"/>
      <c r="H122" s="14"/>
      <c r="I122" s="14"/>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4"/>
      <c r="G123" s="14"/>
      <c r="H123" s="14"/>
      <c r="I123" s="14"/>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4"/>
      <c r="G124" s="14"/>
      <c r="H124" s="14"/>
      <c r="I124" s="14"/>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4"/>
      <c r="G125" s="14"/>
      <c r="H125" s="14"/>
      <c r="I125" s="14"/>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4"/>
      <c r="G126" s="14"/>
      <c r="H126" s="14"/>
      <c r="I126" s="14"/>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4"/>
      <c r="G127" s="14"/>
      <c r="H127" s="14"/>
      <c r="I127" s="14"/>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4"/>
      <c r="G128" s="14"/>
      <c r="H128" s="14"/>
      <c r="I128" s="14"/>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4"/>
      <c r="G129" s="14"/>
      <c r="H129" s="14"/>
      <c r="I129" s="14"/>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4"/>
      <c r="G130" s="14"/>
      <c r="H130" s="14"/>
      <c r="I130" s="14"/>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4"/>
      <c r="G131" s="14"/>
      <c r="H131" s="14"/>
      <c r="I131" s="14"/>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4"/>
      <c r="G132" s="14"/>
      <c r="H132" s="14"/>
      <c r="I132" s="14"/>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4"/>
      <c r="G133" s="14"/>
      <c r="H133" s="14"/>
      <c r="I133" s="14"/>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4"/>
      <c r="G134" s="14"/>
      <c r="H134" s="14"/>
      <c r="I134" s="14"/>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4"/>
      <c r="G135" s="14"/>
      <c r="H135" s="14"/>
      <c r="I135" s="14"/>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4"/>
      <c r="G136" s="14"/>
      <c r="H136" s="14"/>
      <c r="I136" s="14"/>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4"/>
      <c r="G137" s="14"/>
      <c r="H137" s="14"/>
      <c r="I137" s="14"/>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4"/>
      <c r="G138" s="14"/>
      <c r="H138" s="14"/>
      <c r="I138" s="14"/>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4"/>
      <c r="G139" s="14"/>
      <c r="H139" s="14"/>
      <c r="I139" s="14"/>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4"/>
      <c r="G140" s="14"/>
      <c r="H140" s="14"/>
      <c r="I140" s="14"/>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4"/>
      <c r="G141" s="14"/>
      <c r="H141" s="14"/>
      <c r="I141" s="14"/>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4"/>
      <c r="G142" s="14"/>
      <c r="H142" s="14"/>
      <c r="I142" s="14"/>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4"/>
      <c r="G143" s="14"/>
      <c r="H143" s="14"/>
      <c r="I143" s="14"/>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4"/>
      <c r="G144" s="14"/>
      <c r="H144" s="14"/>
      <c r="I144" s="14"/>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4"/>
      <c r="G145" s="14"/>
      <c r="H145" s="14"/>
      <c r="I145" s="14"/>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4"/>
      <c r="G146" s="14"/>
      <c r="H146" s="14"/>
      <c r="I146" s="14"/>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4"/>
      <c r="G147" s="14"/>
      <c r="H147" s="14"/>
      <c r="I147" s="14"/>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4"/>
      <c r="G148" s="14"/>
      <c r="H148" s="14"/>
      <c r="I148" s="14"/>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4"/>
      <c r="G149" s="14"/>
      <c r="H149" s="14"/>
      <c r="I149" s="14"/>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4"/>
      <c r="G150" s="14"/>
      <c r="H150" s="14"/>
      <c r="I150" s="14"/>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4"/>
      <c r="G151" s="14"/>
      <c r="H151" s="14"/>
      <c r="I151" s="14"/>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4"/>
      <c r="G152" s="14"/>
      <c r="H152" s="14"/>
      <c r="I152" s="14"/>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4"/>
      <c r="G153" s="14"/>
      <c r="H153" s="14"/>
      <c r="I153" s="14"/>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4"/>
      <c r="G154" s="14"/>
      <c r="H154" s="14"/>
      <c r="I154" s="14"/>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4"/>
      <c r="G155" s="14"/>
      <c r="H155" s="14"/>
      <c r="I155" s="14"/>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4"/>
      <c r="G156" s="14"/>
      <c r="H156" s="14"/>
      <c r="I156" s="14"/>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4"/>
      <c r="G157" s="14"/>
      <c r="H157" s="14"/>
      <c r="I157" s="14"/>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4"/>
      <c r="G158" s="14"/>
      <c r="H158" s="14"/>
      <c r="I158" s="14"/>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4"/>
      <c r="G159" s="14"/>
      <c r="H159" s="14"/>
      <c r="I159" s="14"/>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4"/>
      <c r="G160" s="14"/>
      <c r="H160" s="14"/>
      <c r="I160" s="14"/>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4"/>
      <c r="G161" s="14"/>
      <c r="H161" s="14"/>
      <c r="I161" s="14"/>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4"/>
      <c r="G162" s="14"/>
      <c r="H162" s="14"/>
      <c r="I162" s="14"/>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4"/>
      <c r="G163" s="14"/>
      <c r="H163" s="14"/>
      <c r="I163" s="14"/>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4"/>
      <c r="G164" s="14"/>
      <c r="H164" s="14"/>
      <c r="I164" s="14"/>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4"/>
      <c r="G165" s="14"/>
      <c r="H165" s="14"/>
      <c r="I165" s="14"/>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4"/>
      <c r="G166" s="14"/>
      <c r="H166" s="14"/>
      <c r="I166" s="14"/>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4"/>
      <c r="G167" s="14"/>
      <c r="H167" s="14"/>
      <c r="I167" s="14"/>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4"/>
      <c r="G168" s="14"/>
      <c r="H168" s="14"/>
      <c r="I168" s="14"/>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4"/>
      <c r="G169" s="14"/>
      <c r="H169" s="14"/>
      <c r="I169" s="14"/>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4"/>
      <c r="G170" s="14"/>
      <c r="H170" s="14"/>
      <c r="I170" s="14"/>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4"/>
      <c r="G171" s="14"/>
      <c r="H171" s="14"/>
      <c r="I171" s="14"/>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4"/>
      <c r="G172" s="14"/>
      <c r="H172" s="14"/>
      <c r="I172" s="14"/>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4"/>
      <c r="G173" s="14"/>
      <c r="H173" s="14"/>
      <c r="I173" s="14"/>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4"/>
      <c r="G174" s="14"/>
      <c r="H174" s="14"/>
      <c r="I174" s="14"/>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4"/>
      <c r="G175" s="14"/>
      <c r="H175" s="14"/>
      <c r="I175" s="14"/>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4"/>
      <c r="G176" s="14"/>
      <c r="H176" s="14"/>
      <c r="I176" s="14"/>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4"/>
      <c r="G177" s="14"/>
      <c r="H177" s="14"/>
      <c r="I177" s="14"/>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4"/>
      <c r="G178" s="14"/>
      <c r="H178" s="14"/>
      <c r="I178" s="14"/>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4"/>
      <c r="G179" s="14"/>
      <c r="H179" s="14"/>
      <c r="I179" s="14"/>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4"/>
      <c r="G180" s="14"/>
      <c r="H180" s="14"/>
      <c r="I180" s="14"/>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4"/>
      <c r="G181" s="14"/>
      <c r="H181" s="14"/>
      <c r="I181" s="14"/>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4"/>
      <c r="G182" s="14"/>
      <c r="H182" s="14"/>
      <c r="I182" s="14"/>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4"/>
      <c r="G183" s="14"/>
      <c r="H183" s="14"/>
      <c r="I183" s="14"/>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4"/>
      <c r="G184" s="14"/>
      <c r="H184" s="14"/>
      <c r="I184" s="14"/>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4"/>
      <c r="G185" s="14"/>
      <c r="H185" s="14"/>
      <c r="I185" s="14"/>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4"/>
      <c r="G186" s="14"/>
      <c r="H186" s="14"/>
      <c r="I186" s="14"/>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4"/>
      <c r="G187" s="14"/>
      <c r="H187" s="14"/>
      <c r="I187" s="14"/>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4"/>
      <c r="G188" s="14"/>
      <c r="H188" s="14"/>
      <c r="I188" s="14"/>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4"/>
      <c r="G189" s="14"/>
      <c r="H189" s="14"/>
      <c r="I189" s="14"/>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4"/>
      <c r="G190" s="14"/>
      <c r="H190" s="14"/>
      <c r="I190" s="14"/>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4"/>
      <c r="G191" s="14"/>
      <c r="H191" s="14"/>
      <c r="I191" s="14"/>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4"/>
      <c r="G192" s="14"/>
      <c r="H192" s="14"/>
      <c r="I192" s="14"/>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4"/>
      <c r="G193" s="14"/>
      <c r="H193" s="14"/>
      <c r="I193" s="14"/>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4"/>
      <c r="G194" s="14"/>
      <c r="H194" s="14"/>
      <c r="I194" s="14"/>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4"/>
      <c r="G195" s="14"/>
      <c r="H195" s="14"/>
      <c r="I195" s="14"/>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4"/>
      <c r="G196" s="14"/>
      <c r="H196" s="14"/>
      <c r="I196" s="14"/>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4"/>
      <c r="G197" s="14"/>
      <c r="H197" s="14"/>
      <c r="I197" s="14"/>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4"/>
      <c r="G198" s="14"/>
      <c r="H198" s="14"/>
      <c r="I198" s="14"/>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4"/>
      <c r="G199" s="14"/>
      <c r="H199" s="14"/>
      <c r="I199" s="14"/>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4"/>
      <c r="G200" s="14"/>
      <c r="H200" s="14"/>
      <c r="I200" s="14"/>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4"/>
      <c r="G201" s="14"/>
      <c r="H201" s="14"/>
      <c r="I201" s="14"/>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4"/>
      <c r="G202" s="14"/>
      <c r="H202" s="14"/>
      <c r="I202" s="14"/>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4"/>
      <c r="G203" s="14"/>
      <c r="H203" s="14"/>
      <c r="I203" s="14"/>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4"/>
      <c r="G204" s="14"/>
      <c r="H204" s="14"/>
      <c r="I204" s="14"/>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4"/>
      <c r="G205" s="14"/>
      <c r="H205" s="14"/>
      <c r="I205" s="14"/>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4"/>
      <c r="G206" s="14"/>
      <c r="H206" s="14"/>
      <c r="I206" s="14"/>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4"/>
      <c r="G207" s="14"/>
      <c r="H207" s="14"/>
      <c r="I207" s="14"/>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4"/>
      <c r="G208" s="14"/>
      <c r="H208" s="14"/>
      <c r="I208" s="14"/>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4"/>
      <c r="G209" s="14"/>
      <c r="H209" s="14"/>
      <c r="I209" s="14"/>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4"/>
      <c r="G210" s="14"/>
      <c r="H210" s="14"/>
      <c r="I210" s="14"/>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4"/>
      <c r="G211" s="14"/>
      <c r="H211" s="14"/>
      <c r="I211" s="14"/>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4"/>
      <c r="G212" s="14"/>
      <c r="H212" s="14"/>
      <c r="I212" s="14"/>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4"/>
      <c r="G213" s="14"/>
      <c r="H213" s="14"/>
      <c r="I213" s="14"/>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4"/>
      <c r="G214" s="14"/>
      <c r="H214" s="14"/>
      <c r="I214" s="14"/>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4"/>
      <c r="G215" s="14"/>
      <c r="H215" s="14"/>
      <c r="I215" s="14"/>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4"/>
      <c r="G216" s="14"/>
      <c r="H216" s="14"/>
      <c r="I216" s="14"/>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4"/>
      <c r="G217" s="14"/>
      <c r="H217" s="14"/>
      <c r="I217" s="14"/>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4"/>
      <c r="G218" s="14"/>
      <c r="H218" s="14"/>
      <c r="I218" s="14"/>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4"/>
      <c r="G219" s="14"/>
      <c r="H219" s="14"/>
      <c r="I219" s="14"/>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4"/>
      <c r="G220" s="14"/>
      <c r="H220" s="14"/>
      <c r="I220" s="14"/>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4"/>
      <c r="G221" s="14"/>
      <c r="H221" s="14"/>
      <c r="I221" s="14"/>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4"/>
      <c r="G222" s="14"/>
      <c r="H222" s="14"/>
      <c r="I222" s="14"/>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4"/>
      <c r="G223" s="14"/>
      <c r="H223" s="14"/>
      <c r="I223" s="14"/>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4"/>
      <c r="G224" s="14"/>
      <c r="H224" s="14"/>
      <c r="I224" s="14"/>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4"/>
      <c r="G225" s="14"/>
      <c r="H225" s="14"/>
      <c r="I225" s="14"/>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4"/>
      <c r="G226" s="14"/>
      <c r="H226" s="14"/>
      <c r="I226" s="14"/>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4"/>
      <c r="G227" s="14"/>
      <c r="H227" s="14"/>
      <c r="I227" s="14"/>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4"/>
      <c r="G228" s="14"/>
      <c r="H228" s="14"/>
      <c r="I228" s="14"/>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4"/>
      <c r="G229" s="14"/>
      <c r="H229" s="14"/>
      <c r="I229" s="14"/>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4"/>
      <c r="G230" s="14"/>
      <c r="H230" s="14"/>
      <c r="I230" s="14"/>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4"/>
      <c r="G231" s="14"/>
      <c r="H231" s="14"/>
      <c r="I231" s="14"/>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4"/>
      <c r="G232" s="14"/>
      <c r="H232" s="14"/>
      <c r="I232" s="14"/>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4"/>
      <c r="G233" s="14"/>
      <c r="H233" s="14"/>
      <c r="I233" s="14"/>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4"/>
      <c r="G234" s="14"/>
      <c r="H234" s="14"/>
      <c r="I234" s="14"/>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4"/>
      <c r="G235" s="14"/>
      <c r="H235" s="14"/>
      <c r="I235" s="14"/>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4"/>
      <c r="G236" s="14"/>
      <c r="H236" s="14"/>
      <c r="I236" s="14"/>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4"/>
      <c r="G237" s="14"/>
      <c r="H237" s="14"/>
      <c r="I237" s="14"/>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4"/>
      <c r="G238" s="14"/>
      <c r="H238" s="14"/>
      <c r="I238" s="14"/>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4"/>
      <c r="G239" s="14"/>
      <c r="H239" s="14"/>
      <c r="I239" s="14"/>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4"/>
      <c r="G240" s="14"/>
      <c r="H240" s="14"/>
      <c r="I240" s="14"/>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4"/>
      <c r="G241" s="14"/>
      <c r="H241" s="14"/>
      <c r="I241" s="14"/>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4"/>
      <c r="G242" s="14"/>
      <c r="H242" s="14"/>
      <c r="I242" s="14"/>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4"/>
      <c r="G243" s="14"/>
      <c r="H243" s="14"/>
      <c r="I243" s="14"/>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4"/>
      <c r="G244" s="14"/>
      <c r="H244" s="14"/>
      <c r="I244" s="14"/>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4"/>
      <c r="G245" s="14"/>
      <c r="H245" s="14"/>
      <c r="I245" s="14"/>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4"/>
      <c r="G246" s="14"/>
      <c r="H246" s="14"/>
      <c r="I246" s="14"/>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4"/>
      <c r="G247" s="14"/>
      <c r="H247" s="14"/>
      <c r="I247" s="14"/>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4"/>
      <c r="G248" s="14"/>
      <c r="H248" s="14"/>
      <c r="I248" s="14"/>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4"/>
      <c r="G249" s="14"/>
      <c r="H249" s="14"/>
      <c r="I249" s="14"/>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4"/>
      <c r="G250" s="14"/>
      <c r="H250" s="14"/>
      <c r="I250" s="14"/>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4"/>
      <c r="G251" s="14"/>
      <c r="H251" s="14"/>
      <c r="I251" s="14"/>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4"/>
      <c r="G252" s="14"/>
      <c r="H252" s="14"/>
      <c r="I252" s="14"/>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4"/>
      <c r="G253" s="14"/>
      <c r="H253" s="14"/>
      <c r="I253" s="14"/>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4"/>
      <c r="G254" s="14"/>
      <c r="H254" s="14"/>
      <c r="I254" s="14"/>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4"/>
      <c r="G255" s="14"/>
      <c r="H255" s="14"/>
      <c r="I255" s="14"/>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4"/>
      <c r="G256" s="14"/>
      <c r="H256" s="14"/>
      <c r="I256" s="14"/>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4"/>
      <c r="G257" s="14"/>
      <c r="H257" s="14"/>
      <c r="I257" s="14"/>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4"/>
      <c r="G258" s="14"/>
      <c r="H258" s="14"/>
      <c r="I258" s="14"/>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4"/>
      <c r="G259" s="14"/>
      <c r="H259" s="14"/>
      <c r="I259" s="14"/>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4"/>
      <c r="G260" s="14"/>
      <c r="H260" s="14"/>
      <c r="I260" s="14"/>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4"/>
      <c r="G261" s="14"/>
      <c r="H261" s="14"/>
      <c r="I261" s="14"/>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4"/>
      <c r="G262" s="14"/>
      <c r="H262" s="14"/>
      <c r="I262" s="14"/>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4"/>
      <c r="G263" s="14"/>
      <c r="H263" s="14"/>
      <c r="I263" s="14"/>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4"/>
      <c r="G264" s="14"/>
      <c r="H264" s="14"/>
      <c r="I264" s="14"/>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4"/>
      <c r="G265" s="14"/>
      <c r="H265" s="14"/>
      <c r="I265" s="14"/>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4"/>
      <c r="G266" s="14"/>
      <c r="H266" s="14"/>
      <c r="I266" s="14"/>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4"/>
      <c r="G267" s="14"/>
      <c r="H267" s="14"/>
      <c r="I267" s="14"/>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4"/>
      <c r="G268" s="14"/>
      <c r="H268" s="14"/>
      <c r="I268" s="14"/>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4"/>
      <c r="G269" s="14"/>
      <c r="H269" s="14"/>
      <c r="I269" s="14"/>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4"/>
      <c r="G270" s="14"/>
      <c r="H270" s="14"/>
      <c r="I270" s="14"/>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4"/>
      <c r="G271" s="14"/>
      <c r="H271" s="14"/>
      <c r="I271" s="14"/>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4"/>
      <c r="G272" s="14"/>
      <c r="H272" s="14"/>
      <c r="I272" s="14"/>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4"/>
      <c r="G273" s="14"/>
      <c r="H273" s="14"/>
      <c r="I273" s="14"/>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4"/>
      <c r="G274" s="14"/>
      <c r="H274" s="14"/>
      <c r="I274" s="14"/>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4"/>
      <c r="G275" s="14"/>
      <c r="H275" s="14"/>
      <c r="I275" s="14"/>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4"/>
      <c r="G276" s="14"/>
      <c r="H276" s="14"/>
      <c r="I276" s="14"/>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4"/>
      <c r="G277" s="14"/>
      <c r="H277" s="14"/>
      <c r="I277" s="14"/>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4"/>
      <c r="G278" s="14"/>
      <c r="H278" s="14"/>
      <c r="I278" s="14"/>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4"/>
      <c r="G279" s="14"/>
      <c r="H279" s="14"/>
      <c r="I279" s="14"/>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4"/>
      <c r="G280" s="14"/>
      <c r="H280" s="14"/>
      <c r="I280" s="14"/>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4"/>
      <c r="G281" s="14"/>
      <c r="H281" s="14"/>
      <c r="I281" s="14"/>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4"/>
      <c r="G282" s="14"/>
      <c r="H282" s="14"/>
      <c r="I282" s="14"/>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4"/>
      <c r="G283" s="14"/>
      <c r="H283" s="14"/>
      <c r="I283" s="14"/>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4"/>
      <c r="G284" s="14"/>
      <c r="H284" s="14"/>
      <c r="I284" s="14"/>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4"/>
      <c r="G285" s="14"/>
      <c r="H285" s="14"/>
      <c r="I285" s="14"/>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4"/>
      <c r="G286" s="14"/>
      <c r="H286" s="14"/>
      <c r="I286" s="14"/>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4"/>
      <c r="G287" s="14"/>
      <c r="H287" s="14"/>
      <c r="I287" s="14"/>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4"/>
      <c r="G288" s="14"/>
      <c r="H288" s="14"/>
      <c r="I288" s="14"/>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4"/>
      <c r="G289" s="14"/>
      <c r="H289" s="14"/>
      <c r="I289" s="14"/>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4"/>
      <c r="G290" s="14"/>
      <c r="H290" s="14"/>
      <c r="I290" s="14"/>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4"/>
      <c r="G291" s="14"/>
      <c r="H291" s="14"/>
      <c r="I291" s="14"/>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4"/>
      <c r="G292" s="14"/>
      <c r="H292" s="14"/>
      <c r="I292" s="14"/>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4"/>
      <c r="G293" s="14"/>
      <c r="H293" s="14"/>
      <c r="I293" s="14"/>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4"/>
      <c r="G294" s="14"/>
      <c r="H294" s="14"/>
      <c r="I294" s="14"/>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4"/>
      <c r="G295" s="14"/>
      <c r="H295" s="14"/>
      <c r="I295" s="14"/>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4"/>
      <c r="G296" s="14"/>
      <c r="H296" s="14"/>
      <c r="I296" s="14"/>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4"/>
      <c r="G297" s="14"/>
      <c r="H297" s="14"/>
      <c r="I297" s="14"/>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4"/>
      <c r="G298" s="14"/>
      <c r="H298" s="14"/>
      <c r="I298" s="14"/>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4"/>
      <c r="G299" s="14"/>
      <c r="H299" s="14"/>
      <c r="I299" s="14"/>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4"/>
      <c r="G300" s="14"/>
      <c r="H300" s="14"/>
      <c r="I300" s="14"/>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4"/>
      <c r="G301" s="14"/>
      <c r="H301" s="14"/>
      <c r="I301" s="14"/>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4"/>
      <c r="G302" s="14"/>
      <c r="H302" s="14"/>
      <c r="I302" s="14"/>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4"/>
      <c r="G303" s="14"/>
      <c r="H303" s="14"/>
      <c r="I303" s="14"/>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4"/>
      <c r="G304" s="14"/>
      <c r="H304" s="14"/>
      <c r="I304" s="14"/>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4"/>
      <c r="G305" s="14"/>
      <c r="H305" s="14"/>
      <c r="I305" s="14"/>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4"/>
      <c r="G306" s="14"/>
      <c r="H306" s="14"/>
      <c r="I306" s="14"/>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4"/>
      <c r="G307" s="14"/>
      <c r="H307" s="14"/>
      <c r="I307" s="14"/>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4"/>
      <c r="G308" s="14"/>
      <c r="H308" s="14"/>
      <c r="I308" s="14"/>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4"/>
      <c r="G309" s="14"/>
      <c r="H309" s="14"/>
      <c r="I309" s="14"/>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4"/>
      <c r="G310" s="14"/>
      <c r="H310" s="14"/>
      <c r="I310" s="14"/>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4"/>
      <c r="G311" s="14"/>
      <c r="H311" s="14"/>
      <c r="I311" s="14"/>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4"/>
      <c r="G312" s="14"/>
      <c r="H312" s="14"/>
      <c r="I312" s="14"/>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4"/>
      <c r="G313" s="14"/>
      <c r="H313" s="14"/>
      <c r="I313" s="14"/>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4"/>
      <c r="G314" s="14"/>
      <c r="H314" s="14"/>
      <c r="I314" s="14"/>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4"/>
      <c r="G315" s="14"/>
      <c r="H315" s="14"/>
      <c r="I315" s="14"/>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4"/>
      <c r="G316" s="14"/>
      <c r="H316" s="14"/>
      <c r="I316" s="14"/>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4"/>
      <c r="G317" s="14"/>
      <c r="H317" s="14"/>
      <c r="I317" s="14"/>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4"/>
      <c r="G318" s="14"/>
      <c r="H318" s="14"/>
      <c r="I318" s="14"/>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4"/>
      <c r="G319" s="14"/>
      <c r="H319" s="14"/>
      <c r="I319" s="14"/>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4"/>
      <c r="G320" s="14"/>
      <c r="H320" s="14"/>
      <c r="I320" s="14"/>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4"/>
      <c r="G321" s="14"/>
      <c r="H321" s="14"/>
      <c r="I321" s="14"/>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4"/>
      <c r="G322" s="14"/>
      <c r="H322" s="14"/>
      <c r="I322" s="14"/>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4"/>
      <c r="G323" s="14"/>
      <c r="H323" s="14"/>
      <c r="I323" s="14"/>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4"/>
      <c r="G324" s="14"/>
      <c r="H324" s="14"/>
      <c r="I324" s="14"/>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4"/>
      <c r="G325" s="14"/>
      <c r="H325" s="14"/>
      <c r="I325" s="14"/>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4"/>
      <c r="G326" s="14"/>
      <c r="H326" s="14"/>
      <c r="I326" s="14"/>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4"/>
      <c r="G327" s="14"/>
      <c r="H327" s="14"/>
      <c r="I327" s="14"/>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4"/>
      <c r="G328" s="14"/>
      <c r="H328" s="14"/>
      <c r="I328" s="14"/>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4"/>
      <c r="G329" s="14"/>
      <c r="H329" s="14"/>
      <c r="I329" s="14"/>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4"/>
      <c r="G330" s="14"/>
      <c r="H330" s="14"/>
      <c r="I330" s="14"/>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4"/>
      <c r="G331" s="14"/>
      <c r="H331" s="14"/>
      <c r="I331" s="14"/>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4"/>
      <c r="G332" s="14"/>
      <c r="H332" s="14"/>
      <c r="I332" s="14"/>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4"/>
      <c r="G333" s="14"/>
      <c r="H333" s="14"/>
      <c r="I333" s="14"/>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4"/>
      <c r="G334" s="14"/>
      <c r="H334" s="14"/>
      <c r="I334" s="14"/>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4"/>
      <c r="G335" s="14"/>
      <c r="H335" s="14"/>
      <c r="I335" s="14"/>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4"/>
      <c r="G336" s="14"/>
      <c r="H336" s="14"/>
      <c r="I336" s="14"/>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4"/>
      <c r="G337" s="14"/>
      <c r="H337" s="14"/>
      <c r="I337" s="14"/>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4"/>
      <c r="G338" s="14"/>
      <c r="H338" s="14"/>
      <c r="I338" s="14"/>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4"/>
      <c r="G339" s="14"/>
      <c r="H339" s="14"/>
      <c r="I339" s="14"/>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4"/>
      <c r="G340" s="14"/>
      <c r="H340" s="14"/>
      <c r="I340" s="14"/>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4"/>
      <c r="G341" s="14"/>
      <c r="H341" s="14"/>
      <c r="I341" s="14"/>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4"/>
      <c r="G342" s="14"/>
      <c r="H342" s="14"/>
      <c r="I342" s="14"/>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4"/>
      <c r="G343" s="14"/>
      <c r="H343" s="14"/>
      <c r="I343" s="14"/>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4"/>
      <c r="G344" s="14"/>
      <c r="H344" s="14"/>
      <c r="I344" s="14"/>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4"/>
      <c r="G345" s="14"/>
      <c r="H345" s="14"/>
      <c r="I345" s="14"/>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4"/>
      <c r="G346" s="14"/>
      <c r="H346" s="14"/>
      <c r="I346" s="14"/>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4"/>
      <c r="G347" s="14"/>
      <c r="H347" s="14"/>
      <c r="I347" s="14"/>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4"/>
      <c r="G348" s="14"/>
      <c r="H348" s="14"/>
      <c r="I348" s="14"/>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4"/>
      <c r="G349" s="14"/>
      <c r="H349" s="14"/>
      <c r="I349" s="14"/>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4"/>
      <c r="G350" s="14"/>
      <c r="H350" s="14"/>
      <c r="I350" s="14"/>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4"/>
      <c r="G351" s="14"/>
      <c r="H351" s="14"/>
      <c r="I351" s="14"/>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4"/>
      <c r="G352" s="14"/>
      <c r="H352" s="14"/>
      <c r="I352" s="14"/>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4"/>
      <c r="G353" s="14"/>
      <c r="H353" s="14"/>
      <c r="I353" s="14"/>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4"/>
      <c r="G354" s="14"/>
      <c r="H354" s="14"/>
      <c r="I354" s="14"/>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4"/>
      <c r="G355" s="14"/>
      <c r="H355" s="14"/>
      <c r="I355" s="14"/>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4"/>
      <c r="G356" s="14"/>
      <c r="H356" s="14"/>
      <c r="I356" s="14"/>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4"/>
      <c r="G357" s="14"/>
      <c r="H357" s="14"/>
      <c r="I357" s="14"/>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4"/>
      <c r="G358" s="14"/>
      <c r="H358" s="14"/>
      <c r="I358" s="14"/>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4"/>
      <c r="G359" s="14"/>
      <c r="H359" s="14"/>
      <c r="I359" s="14"/>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4"/>
      <c r="G360" s="14"/>
      <c r="H360" s="14"/>
      <c r="I360" s="14"/>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4"/>
      <c r="G361" s="14"/>
      <c r="H361" s="14"/>
      <c r="I361" s="14"/>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4"/>
      <c r="G362" s="14"/>
      <c r="H362" s="14"/>
      <c r="I362" s="14"/>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4"/>
      <c r="G363" s="14"/>
      <c r="H363" s="14"/>
      <c r="I363" s="14"/>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4"/>
      <c r="G364" s="14"/>
      <c r="H364" s="14"/>
      <c r="I364" s="14"/>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4"/>
      <c r="G365" s="14"/>
      <c r="H365" s="14"/>
      <c r="I365" s="14"/>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4"/>
      <c r="G366" s="14"/>
      <c r="H366" s="14"/>
      <c r="I366" s="14"/>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4"/>
      <c r="G367" s="14"/>
      <c r="H367" s="14"/>
      <c r="I367" s="14"/>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4"/>
      <c r="G368" s="14"/>
      <c r="H368" s="14"/>
      <c r="I368" s="14"/>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4"/>
      <c r="G369" s="14"/>
      <c r="H369" s="14"/>
      <c r="I369" s="14"/>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4"/>
      <c r="G370" s="14"/>
      <c r="H370" s="14"/>
      <c r="I370" s="14"/>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4"/>
      <c r="G371" s="14"/>
      <c r="H371" s="14"/>
      <c r="I371" s="14"/>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4"/>
      <c r="G372" s="14"/>
      <c r="H372" s="14"/>
      <c r="I372" s="14"/>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4"/>
      <c r="G373" s="14"/>
      <c r="H373" s="14"/>
      <c r="I373" s="14"/>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4"/>
      <c r="G374" s="14"/>
      <c r="H374" s="14"/>
      <c r="I374" s="14"/>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4"/>
      <c r="G375" s="14"/>
      <c r="H375" s="14"/>
      <c r="I375" s="14"/>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4"/>
      <c r="G376" s="14"/>
      <c r="H376" s="14"/>
      <c r="I376" s="14"/>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4"/>
      <c r="G377" s="14"/>
      <c r="H377" s="14"/>
      <c r="I377" s="14"/>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4"/>
      <c r="G378" s="14"/>
      <c r="H378" s="14"/>
      <c r="I378" s="14"/>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4"/>
      <c r="G379" s="14"/>
      <c r="H379" s="14"/>
      <c r="I379" s="14"/>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4"/>
      <c r="G380" s="14"/>
      <c r="H380" s="14"/>
      <c r="I380" s="14"/>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4"/>
      <c r="G381" s="14"/>
      <c r="H381" s="14"/>
      <c r="I381" s="14"/>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4"/>
      <c r="G382" s="14"/>
      <c r="H382" s="14"/>
      <c r="I382" s="14"/>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4"/>
      <c r="G383" s="14"/>
      <c r="H383" s="14"/>
      <c r="I383" s="14"/>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4"/>
      <c r="G384" s="14"/>
      <c r="H384" s="14"/>
      <c r="I384" s="14"/>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4"/>
      <c r="G385" s="14"/>
      <c r="H385" s="14"/>
      <c r="I385" s="14"/>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4"/>
      <c r="G386" s="14"/>
      <c r="H386" s="14"/>
      <c r="I386" s="14"/>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4"/>
      <c r="G387" s="14"/>
      <c r="H387" s="14"/>
      <c r="I387" s="14"/>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4"/>
      <c r="G388" s="14"/>
      <c r="H388" s="14"/>
      <c r="I388" s="14"/>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4"/>
      <c r="G389" s="14"/>
      <c r="H389" s="14"/>
      <c r="I389" s="14"/>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4"/>
      <c r="G390" s="14"/>
      <c r="H390" s="14"/>
      <c r="I390" s="14"/>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4"/>
      <c r="G391" s="14"/>
      <c r="H391" s="14"/>
      <c r="I391" s="14"/>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4"/>
      <c r="G392" s="14"/>
      <c r="H392" s="14"/>
      <c r="I392" s="14"/>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4"/>
      <c r="G393" s="14"/>
      <c r="H393" s="14"/>
      <c r="I393" s="14"/>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4"/>
      <c r="G394" s="14"/>
      <c r="H394" s="14"/>
      <c r="I394" s="14"/>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4"/>
      <c r="G395" s="14"/>
      <c r="H395" s="14"/>
      <c r="I395" s="14"/>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4"/>
      <c r="G396" s="14"/>
      <c r="H396" s="14"/>
      <c r="I396" s="14"/>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4"/>
      <c r="G397" s="14"/>
      <c r="H397" s="14"/>
      <c r="I397" s="14"/>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4"/>
      <c r="G398" s="14"/>
      <c r="H398" s="14"/>
      <c r="I398" s="14"/>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4"/>
      <c r="G399" s="14"/>
      <c r="H399" s="14"/>
      <c r="I399" s="14"/>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4"/>
      <c r="G400" s="14"/>
      <c r="H400" s="14"/>
      <c r="I400" s="14"/>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4"/>
      <c r="G401" s="14"/>
      <c r="H401" s="14"/>
      <c r="I401" s="14"/>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4"/>
      <c r="G402" s="14"/>
      <c r="H402" s="14"/>
      <c r="I402" s="14"/>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4"/>
      <c r="G403" s="14"/>
      <c r="H403" s="14"/>
      <c r="I403" s="14"/>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4"/>
      <c r="G404" s="14"/>
      <c r="H404" s="14"/>
      <c r="I404" s="14"/>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4"/>
      <c r="G405" s="14"/>
      <c r="H405" s="14"/>
      <c r="I405" s="14"/>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4"/>
      <c r="G406" s="14"/>
      <c r="H406" s="14"/>
      <c r="I406" s="14"/>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4"/>
      <c r="G407" s="14"/>
      <c r="H407" s="14"/>
      <c r="I407" s="14"/>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4"/>
      <c r="G408" s="14"/>
      <c r="H408" s="14"/>
      <c r="I408" s="14"/>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4"/>
      <c r="G409" s="14"/>
      <c r="H409" s="14"/>
      <c r="I409" s="14"/>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4"/>
      <c r="G410" s="14"/>
      <c r="H410" s="14"/>
      <c r="I410" s="14"/>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4"/>
      <c r="G411" s="14"/>
      <c r="H411" s="14"/>
      <c r="I411" s="14"/>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4"/>
      <c r="G412" s="14"/>
      <c r="H412" s="14"/>
      <c r="I412" s="14"/>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4"/>
      <c r="G413" s="14"/>
      <c r="H413" s="14"/>
      <c r="I413" s="14"/>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4"/>
      <c r="G414" s="14"/>
      <c r="H414" s="14"/>
      <c r="I414" s="14"/>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4"/>
      <c r="G415" s="14"/>
      <c r="H415" s="14"/>
      <c r="I415" s="14"/>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4"/>
      <c r="G416" s="14"/>
      <c r="H416" s="14"/>
      <c r="I416" s="14"/>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4"/>
      <c r="G417" s="14"/>
      <c r="H417" s="14"/>
      <c r="I417" s="14"/>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4"/>
      <c r="G418" s="14"/>
      <c r="H418" s="14"/>
      <c r="I418" s="14"/>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4"/>
      <c r="G419" s="14"/>
      <c r="H419" s="14"/>
      <c r="I419" s="14"/>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4"/>
      <c r="G420" s="14"/>
      <c r="H420" s="14"/>
      <c r="I420" s="14"/>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4"/>
      <c r="G421" s="14"/>
      <c r="H421" s="14"/>
      <c r="I421" s="14"/>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4"/>
      <c r="G422" s="14"/>
      <c r="H422" s="14"/>
      <c r="I422" s="14"/>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4"/>
      <c r="G423" s="14"/>
      <c r="H423" s="14"/>
      <c r="I423" s="14"/>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4"/>
      <c r="G424" s="14"/>
      <c r="H424" s="14"/>
      <c r="I424" s="14"/>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4"/>
      <c r="G425" s="14"/>
      <c r="H425" s="14"/>
      <c r="I425" s="14"/>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4"/>
      <c r="G426" s="14"/>
      <c r="H426" s="14"/>
      <c r="I426" s="14"/>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4"/>
      <c r="G427" s="14"/>
      <c r="H427" s="14"/>
      <c r="I427" s="14"/>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4"/>
      <c r="G428" s="14"/>
      <c r="H428" s="14"/>
      <c r="I428" s="14"/>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4"/>
      <c r="G429" s="14"/>
      <c r="H429" s="14"/>
      <c r="I429" s="14"/>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4"/>
      <c r="G430" s="14"/>
      <c r="H430" s="14"/>
      <c r="I430" s="14"/>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4"/>
      <c r="G431" s="14"/>
      <c r="H431" s="14"/>
      <c r="I431" s="14"/>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4"/>
      <c r="G432" s="14"/>
      <c r="H432" s="14"/>
      <c r="I432" s="14"/>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4"/>
      <c r="G433" s="14"/>
      <c r="H433" s="14"/>
      <c r="I433" s="14"/>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4"/>
      <c r="G434" s="14"/>
      <c r="H434" s="14"/>
      <c r="I434" s="14"/>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4"/>
      <c r="G435" s="14"/>
      <c r="H435" s="14"/>
      <c r="I435" s="14"/>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4"/>
      <c r="G436" s="14"/>
      <c r="H436" s="14"/>
      <c r="I436" s="14"/>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4"/>
      <c r="G437" s="14"/>
      <c r="H437" s="14"/>
      <c r="I437" s="14"/>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4"/>
      <c r="G438" s="14"/>
      <c r="H438" s="14"/>
      <c r="I438" s="14"/>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4"/>
      <c r="G439" s="14"/>
      <c r="H439" s="14"/>
      <c r="I439" s="14"/>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4"/>
      <c r="G440" s="14"/>
      <c r="H440" s="14"/>
      <c r="I440" s="14"/>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4"/>
      <c r="G441" s="14"/>
      <c r="H441" s="14"/>
      <c r="I441" s="14"/>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4"/>
      <c r="G442" s="14"/>
      <c r="H442" s="14"/>
      <c r="I442" s="14"/>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4"/>
      <c r="G443" s="14"/>
      <c r="H443" s="14"/>
      <c r="I443" s="14"/>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4"/>
      <c r="G444" s="14"/>
      <c r="H444" s="14"/>
      <c r="I444" s="14"/>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4"/>
      <c r="G445" s="14"/>
      <c r="H445" s="14"/>
      <c r="I445" s="14"/>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4"/>
      <c r="G446" s="14"/>
      <c r="H446" s="14"/>
      <c r="I446" s="14"/>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4"/>
      <c r="G447" s="14"/>
      <c r="H447" s="14"/>
      <c r="I447" s="14"/>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4"/>
      <c r="G448" s="14"/>
      <c r="H448" s="14"/>
      <c r="I448" s="14"/>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4"/>
      <c r="G449" s="14"/>
      <c r="H449" s="14"/>
      <c r="I449" s="14"/>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4"/>
      <c r="G450" s="14"/>
      <c r="H450" s="14"/>
      <c r="I450" s="14"/>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4"/>
      <c r="G451" s="14"/>
      <c r="H451" s="14"/>
      <c r="I451" s="14"/>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4"/>
      <c r="G452" s="14"/>
      <c r="H452" s="14"/>
      <c r="I452" s="14"/>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4"/>
      <c r="G453" s="14"/>
      <c r="H453" s="14"/>
      <c r="I453" s="14"/>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4"/>
      <c r="G454" s="14"/>
      <c r="H454" s="14"/>
      <c r="I454" s="14"/>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4"/>
      <c r="G455" s="14"/>
      <c r="H455" s="14"/>
      <c r="I455" s="14"/>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4"/>
      <c r="G456" s="14"/>
      <c r="H456" s="14"/>
      <c r="I456" s="14"/>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4"/>
      <c r="G457" s="14"/>
      <c r="H457" s="14"/>
      <c r="I457" s="14"/>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4"/>
      <c r="G458" s="14"/>
      <c r="H458" s="14"/>
      <c r="I458" s="14"/>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4"/>
      <c r="G459" s="14"/>
      <c r="H459" s="14"/>
      <c r="I459" s="14"/>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4"/>
      <c r="G460" s="14"/>
      <c r="H460" s="14"/>
      <c r="I460" s="14"/>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4"/>
      <c r="G461" s="14"/>
      <c r="H461" s="14"/>
      <c r="I461" s="14"/>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4"/>
      <c r="G462" s="14"/>
      <c r="H462" s="14"/>
      <c r="I462" s="14"/>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4"/>
      <c r="G463" s="14"/>
      <c r="H463" s="14"/>
      <c r="I463" s="14"/>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4"/>
      <c r="G464" s="14"/>
      <c r="H464" s="14"/>
      <c r="I464" s="14"/>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4"/>
      <c r="G465" s="14"/>
      <c r="H465" s="14"/>
      <c r="I465" s="14"/>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4"/>
      <c r="G466" s="14"/>
      <c r="H466" s="14"/>
      <c r="I466" s="14"/>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4"/>
      <c r="G467" s="14"/>
      <c r="H467" s="14"/>
      <c r="I467" s="14"/>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4"/>
      <c r="G468" s="14"/>
      <c r="H468" s="14"/>
      <c r="I468" s="14"/>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4"/>
      <c r="G469" s="14"/>
      <c r="H469" s="14"/>
      <c r="I469" s="14"/>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4"/>
      <c r="G470" s="14"/>
      <c r="H470" s="14"/>
      <c r="I470" s="14"/>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4"/>
      <c r="G471" s="14"/>
      <c r="H471" s="14"/>
      <c r="I471" s="14"/>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4"/>
      <c r="G472" s="14"/>
      <c r="H472" s="14"/>
      <c r="I472" s="14"/>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4"/>
      <c r="G473" s="14"/>
      <c r="H473" s="14"/>
      <c r="I473" s="14"/>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4"/>
      <c r="G474" s="14"/>
      <c r="H474" s="14"/>
      <c r="I474" s="14"/>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4"/>
      <c r="G475" s="14"/>
      <c r="H475" s="14"/>
      <c r="I475" s="14"/>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4"/>
      <c r="G476" s="14"/>
      <c r="H476" s="14"/>
      <c r="I476" s="14"/>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4"/>
      <c r="G477" s="14"/>
      <c r="H477" s="14"/>
      <c r="I477" s="14"/>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4"/>
      <c r="G478" s="14"/>
      <c r="H478" s="14"/>
      <c r="I478" s="14"/>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4"/>
      <c r="G479" s="14"/>
      <c r="H479" s="14"/>
      <c r="I479" s="14"/>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4"/>
      <c r="G480" s="14"/>
      <c r="H480" s="14"/>
      <c r="I480" s="14"/>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4"/>
      <c r="G481" s="14"/>
      <c r="H481" s="14"/>
      <c r="I481" s="14"/>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4"/>
      <c r="G482" s="14"/>
      <c r="H482" s="14"/>
      <c r="I482" s="14"/>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4"/>
      <c r="G483" s="14"/>
      <c r="H483" s="14"/>
      <c r="I483" s="14"/>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4"/>
      <c r="G484" s="14"/>
      <c r="H484" s="14"/>
      <c r="I484" s="14"/>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4"/>
      <c r="G485" s="14"/>
      <c r="H485" s="14"/>
      <c r="I485" s="14"/>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4"/>
      <c r="G486" s="14"/>
      <c r="H486" s="14"/>
      <c r="I486" s="14"/>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4"/>
      <c r="G487" s="14"/>
      <c r="H487" s="14"/>
      <c r="I487" s="14"/>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4"/>
      <c r="G488" s="14"/>
      <c r="H488" s="14"/>
      <c r="I488" s="14"/>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4"/>
      <c r="G489" s="14"/>
      <c r="H489" s="14"/>
      <c r="I489" s="14"/>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4"/>
      <c r="G490" s="14"/>
      <c r="H490" s="14"/>
      <c r="I490" s="14"/>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4"/>
      <c r="G491" s="14"/>
      <c r="H491" s="14"/>
      <c r="I491" s="14"/>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4"/>
      <c r="G492" s="14"/>
      <c r="H492" s="14"/>
      <c r="I492" s="14"/>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4"/>
      <c r="G493" s="14"/>
      <c r="H493" s="14"/>
      <c r="I493" s="14"/>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4"/>
      <c r="G494" s="14"/>
      <c r="H494" s="14"/>
      <c r="I494" s="14"/>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4"/>
      <c r="G495" s="14"/>
      <c r="H495" s="14"/>
      <c r="I495" s="14"/>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4"/>
      <c r="G496" s="14"/>
      <c r="H496" s="14"/>
      <c r="I496" s="14"/>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4"/>
      <c r="G497" s="14"/>
      <c r="H497" s="14"/>
      <c r="I497" s="14"/>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4"/>
      <c r="G498" s="14"/>
      <c r="H498" s="14"/>
      <c r="I498" s="14"/>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4"/>
      <c r="G499" s="14"/>
      <c r="H499" s="14"/>
      <c r="I499" s="14"/>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4"/>
      <c r="G500" s="14"/>
      <c r="H500" s="14"/>
      <c r="I500" s="14"/>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4"/>
      <c r="G501" s="14"/>
      <c r="H501" s="14"/>
      <c r="I501" s="14"/>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4"/>
      <c r="G502" s="14"/>
      <c r="H502" s="14"/>
      <c r="I502" s="14"/>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4"/>
      <c r="G503" s="14"/>
      <c r="H503" s="14"/>
      <c r="I503" s="14"/>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4"/>
      <c r="G504" s="14"/>
      <c r="H504" s="14"/>
      <c r="I504" s="14"/>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4"/>
      <c r="G505" s="14"/>
      <c r="H505" s="14"/>
      <c r="I505" s="14"/>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4"/>
      <c r="G506" s="14"/>
      <c r="H506" s="14"/>
      <c r="I506" s="14"/>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4"/>
      <c r="G507" s="14"/>
      <c r="H507" s="14"/>
      <c r="I507" s="14"/>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4"/>
      <c r="G508" s="14"/>
      <c r="H508" s="14"/>
      <c r="I508" s="14"/>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4"/>
      <c r="G509" s="14"/>
      <c r="H509" s="14"/>
      <c r="I509" s="14"/>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4"/>
      <c r="G510" s="14"/>
      <c r="H510" s="14"/>
      <c r="I510" s="14"/>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4"/>
      <c r="G511" s="14"/>
      <c r="H511" s="14"/>
      <c r="I511" s="14"/>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4"/>
      <c r="G512" s="14"/>
      <c r="H512" s="14"/>
      <c r="I512" s="14"/>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4"/>
      <c r="G513" s="14"/>
      <c r="H513" s="14"/>
      <c r="I513" s="14"/>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4"/>
      <c r="G514" s="14"/>
      <c r="H514" s="14"/>
      <c r="I514" s="14"/>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4"/>
      <c r="G515" s="14"/>
      <c r="H515" s="14"/>
      <c r="I515" s="14"/>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4"/>
      <c r="G516" s="14"/>
      <c r="H516" s="14"/>
      <c r="I516" s="14"/>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4"/>
      <c r="G517" s="14"/>
      <c r="H517" s="14"/>
      <c r="I517" s="14"/>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4"/>
      <c r="G518" s="14"/>
      <c r="H518" s="14"/>
      <c r="I518" s="14"/>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4"/>
      <c r="G519" s="14"/>
      <c r="H519" s="14"/>
      <c r="I519" s="14"/>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4"/>
      <c r="G520" s="14"/>
      <c r="H520" s="14"/>
      <c r="I520" s="14"/>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4"/>
      <c r="G521" s="14"/>
      <c r="H521" s="14"/>
      <c r="I521" s="14"/>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4"/>
      <c r="G522" s="14"/>
      <c r="H522" s="14"/>
      <c r="I522" s="14"/>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4"/>
      <c r="G523" s="14"/>
      <c r="H523" s="14"/>
      <c r="I523" s="14"/>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4"/>
      <c r="G524" s="14"/>
      <c r="H524" s="14"/>
      <c r="I524" s="14"/>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4"/>
      <c r="G525" s="14"/>
      <c r="H525" s="14"/>
      <c r="I525" s="14"/>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4"/>
      <c r="G526" s="14"/>
      <c r="H526" s="14"/>
      <c r="I526" s="14"/>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4"/>
      <c r="G527" s="14"/>
      <c r="H527" s="14"/>
      <c r="I527" s="14"/>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4"/>
      <c r="G528" s="14"/>
      <c r="H528" s="14"/>
      <c r="I528" s="14"/>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4"/>
      <c r="G529" s="14"/>
      <c r="H529" s="14"/>
      <c r="I529" s="14"/>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4"/>
      <c r="G530" s="14"/>
      <c r="H530" s="14"/>
      <c r="I530" s="14"/>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4"/>
      <c r="G531" s="14"/>
      <c r="H531" s="14"/>
      <c r="I531" s="14"/>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4"/>
      <c r="G532" s="14"/>
      <c r="H532" s="14"/>
      <c r="I532" s="14"/>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4"/>
      <c r="G533" s="14"/>
      <c r="H533" s="14"/>
      <c r="I533" s="14"/>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4"/>
      <c r="G534" s="14"/>
      <c r="H534" s="14"/>
      <c r="I534" s="14"/>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4"/>
      <c r="G535" s="14"/>
      <c r="H535" s="14"/>
      <c r="I535" s="14"/>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4"/>
      <c r="G536" s="14"/>
      <c r="H536" s="14"/>
      <c r="I536" s="14"/>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4"/>
      <c r="G537" s="14"/>
      <c r="H537" s="14"/>
      <c r="I537" s="14"/>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4"/>
      <c r="G538" s="14"/>
      <c r="H538" s="14"/>
      <c r="I538" s="14"/>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4"/>
      <c r="G539" s="14"/>
      <c r="H539" s="14"/>
      <c r="I539" s="14"/>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4"/>
      <c r="G540" s="14"/>
      <c r="H540" s="14"/>
      <c r="I540" s="14"/>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4"/>
      <c r="G541" s="14"/>
      <c r="H541" s="14"/>
      <c r="I541" s="14"/>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4"/>
      <c r="G542" s="14"/>
      <c r="H542" s="14"/>
      <c r="I542" s="14"/>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4"/>
      <c r="G543" s="14"/>
      <c r="H543" s="14"/>
      <c r="I543" s="14"/>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4"/>
      <c r="G544" s="14"/>
      <c r="H544" s="14"/>
      <c r="I544" s="14"/>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4"/>
      <c r="G545" s="14"/>
      <c r="H545" s="14"/>
      <c r="I545" s="14"/>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4"/>
      <c r="G546" s="14"/>
      <c r="H546" s="14"/>
      <c r="I546" s="14"/>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4"/>
      <c r="G547" s="14"/>
      <c r="H547" s="14"/>
      <c r="I547" s="14"/>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4"/>
      <c r="G548" s="14"/>
      <c r="H548" s="14"/>
      <c r="I548" s="14"/>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4"/>
      <c r="G549" s="14"/>
      <c r="H549" s="14"/>
      <c r="I549" s="14"/>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4"/>
      <c r="G550" s="14"/>
      <c r="H550" s="14"/>
      <c r="I550" s="14"/>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4"/>
      <c r="G551" s="14"/>
      <c r="H551" s="14"/>
      <c r="I551" s="14"/>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4"/>
      <c r="G552" s="14"/>
      <c r="H552" s="14"/>
      <c r="I552" s="14"/>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4"/>
      <c r="G553" s="14"/>
      <c r="H553" s="14"/>
      <c r="I553" s="14"/>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4"/>
      <c r="G554" s="14"/>
      <c r="H554" s="14"/>
      <c r="I554" s="14"/>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4"/>
      <c r="G555" s="14"/>
      <c r="H555" s="14"/>
      <c r="I555" s="14"/>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4"/>
      <c r="G556" s="14"/>
      <c r="H556" s="14"/>
      <c r="I556" s="14"/>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4"/>
      <c r="G557" s="14"/>
      <c r="H557" s="14"/>
      <c r="I557" s="14"/>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4"/>
      <c r="G558" s="14"/>
      <c r="H558" s="14"/>
      <c r="I558" s="14"/>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4"/>
      <c r="G559" s="14"/>
      <c r="H559" s="14"/>
      <c r="I559" s="14"/>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4"/>
      <c r="G560" s="14"/>
      <c r="H560" s="14"/>
      <c r="I560" s="14"/>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4"/>
      <c r="G561" s="14"/>
      <c r="H561" s="14"/>
      <c r="I561" s="14"/>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4"/>
      <c r="G562" s="14"/>
      <c r="H562" s="14"/>
      <c r="I562" s="14"/>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4"/>
      <c r="G563" s="14"/>
      <c r="H563" s="14"/>
      <c r="I563" s="14"/>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4"/>
      <c r="G564" s="14"/>
      <c r="H564" s="14"/>
      <c r="I564" s="14"/>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4"/>
      <c r="G565" s="14"/>
      <c r="H565" s="14"/>
      <c r="I565" s="14"/>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4"/>
      <c r="G566" s="14"/>
      <c r="H566" s="14"/>
      <c r="I566" s="14"/>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4"/>
      <c r="G567" s="14"/>
      <c r="H567" s="14"/>
      <c r="I567" s="14"/>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4"/>
      <c r="G568" s="14"/>
      <c r="H568" s="14"/>
      <c r="I568" s="14"/>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4"/>
      <c r="G569" s="14"/>
      <c r="H569" s="14"/>
      <c r="I569" s="14"/>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4"/>
      <c r="G570" s="14"/>
      <c r="H570" s="14"/>
      <c r="I570" s="14"/>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4"/>
      <c r="G571" s="14"/>
      <c r="H571" s="14"/>
      <c r="I571" s="14"/>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4"/>
      <c r="G572" s="14"/>
      <c r="H572" s="14"/>
      <c r="I572" s="14"/>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4"/>
      <c r="G573" s="14"/>
      <c r="H573" s="14"/>
      <c r="I573" s="14"/>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4"/>
      <c r="G574" s="14"/>
      <c r="H574" s="14"/>
      <c r="I574" s="14"/>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4"/>
      <c r="G575" s="14"/>
      <c r="H575" s="14"/>
      <c r="I575" s="14"/>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4"/>
      <c r="G576" s="14"/>
      <c r="H576" s="14"/>
      <c r="I576" s="14"/>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4"/>
      <c r="G577" s="14"/>
      <c r="H577" s="14"/>
      <c r="I577" s="14"/>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4"/>
      <c r="G578" s="14"/>
      <c r="H578" s="14"/>
      <c r="I578" s="14"/>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4"/>
      <c r="G579" s="14"/>
      <c r="H579" s="14"/>
      <c r="I579" s="14"/>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4"/>
      <c r="G580" s="14"/>
      <c r="H580" s="14"/>
      <c r="I580" s="14"/>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4"/>
      <c r="G581" s="14"/>
      <c r="H581" s="14"/>
      <c r="I581" s="14"/>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4"/>
      <c r="G582" s="14"/>
      <c r="H582" s="14"/>
      <c r="I582" s="14"/>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4"/>
      <c r="G583" s="14"/>
      <c r="H583" s="14"/>
      <c r="I583" s="14"/>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4"/>
      <c r="G584" s="14"/>
      <c r="H584" s="14"/>
      <c r="I584" s="14"/>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4"/>
      <c r="G585" s="14"/>
      <c r="H585" s="14"/>
      <c r="I585" s="14"/>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4"/>
      <c r="G586" s="14"/>
      <c r="H586" s="14"/>
      <c r="I586" s="14"/>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4"/>
      <c r="G587" s="14"/>
      <c r="H587" s="14"/>
      <c r="I587" s="14"/>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4"/>
      <c r="G588" s="14"/>
      <c r="H588" s="14"/>
      <c r="I588" s="14"/>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4"/>
      <c r="G589" s="14"/>
      <c r="H589" s="14"/>
      <c r="I589" s="14"/>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4"/>
      <c r="G590" s="14"/>
      <c r="H590" s="14"/>
      <c r="I590" s="14"/>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4"/>
      <c r="G591" s="14"/>
      <c r="H591" s="14"/>
      <c r="I591" s="14"/>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4"/>
      <c r="G592" s="14"/>
      <c r="H592" s="14"/>
      <c r="I592" s="14"/>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4"/>
      <c r="G593" s="14"/>
      <c r="H593" s="14"/>
      <c r="I593" s="14"/>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4"/>
      <c r="G594" s="14"/>
      <c r="H594" s="14"/>
      <c r="I594" s="14"/>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4"/>
      <c r="G595" s="14"/>
      <c r="H595" s="14"/>
      <c r="I595" s="14"/>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4"/>
      <c r="G596" s="14"/>
      <c r="H596" s="14"/>
      <c r="I596" s="14"/>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4"/>
      <c r="G597" s="14"/>
      <c r="H597" s="14"/>
      <c r="I597" s="14"/>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4"/>
      <c r="G598" s="14"/>
      <c r="H598" s="14"/>
      <c r="I598" s="14"/>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4"/>
      <c r="G599" s="14"/>
      <c r="H599" s="14"/>
      <c r="I599" s="14"/>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4"/>
      <c r="G600" s="14"/>
      <c r="H600" s="14"/>
      <c r="I600" s="14"/>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4"/>
      <c r="G601" s="14"/>
      <c r="H601" s="14"/>
      <c r="I601" s="14"/>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4"/>
      <c r="G602" s="14"/>
      <c r="H602" s="14"/>
      <c r="I602" s="14"/>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4"/>
      <c r="G603" s="14"/>
      <c r="H603" s="14"/>
      <c r="I603" s="14"/>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4"/>
      <c r="G604" s="14"/>
      <c r="H604" s="14"/>
      <c r="I604" s="14"/>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4"/>
      <c r="G605" s="14"/>
      <c r="H605" s="14"/>
      <c r="I605" s="14"/>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4"/>
      <c r="G606" s="14"/>
      <c r="H606" s="14"/>
      <c r="I606" s="14"/>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4"/>
      <c r="G607" s="14"/>
      <c r="H607" s="14"/>
      <c r="I607" s="14"/>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4"/>
      <c r="G608" s="14"/>
      <c r="H608" s="14"/>
      <c r="I608" s="14"/>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4"/>
      <c r="G609" s="14"/>
      <c r="H609" s="14"/>
      <c r="I609" s="14"/>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4"/>
      <c r="G610" s="14"/>
      <c r="H610" s="14"/>
      <c r="I610" s="14"/>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4"/>
      <c r="G611" s="14"/>
      <c r="H611" s="14"/>
      <c r="I611" s="14"/>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4"/>
      <c r="G612" s="14"/>
      <c r="H612" s="14"/>
      <c r="I612" s="14"/>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4"/>
      <c r="G613" s="14"/>
      <c r="H613" s="14"/>
      <c r="I613" s="14"/>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4"/>
      <c r="G614" s="14"/>
      <c r="H614" s="14"/>
      <c r="I614" s="14"/>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4"/>
      <c r="G615" s="14"/>
      <c r="H615" s="14"/>
      <c r="I615" s="14"/>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4"/>
      <c r="G616" s="14"/>
      <c r="H616" s="14"/>
      <c r="I616" s="14"/>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4"/>
      <c r="G617" s="14"/>
      <c r="H617" s="14"/>
      <c r="I617" s="14"/>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4"/>
      <c r="G618" s="14"/>
      <c r="H618" s="14"/>
      <c r="I618" s="14"/>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4"/>
      <c r="G619" s="14"/>
      <c r="H619" s="14"/>
      <c r="I619" s="14"/>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4"/>
      <c r="G620" s="14"/>
      <c r="H620" s="14"/>
      <c r="I620" s="14"/>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4"/>
      <c r="G621" s="14"/>
      <c r="H621" s="14"/>
      <c r="I621" s="14"/>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4"/>
      <c r="G622" s="14"/>
      <c r="H622" s="14"/>
      <c r="I622" s="14"/>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4"/>
      <c r="G623" s="14"/>
      <c r="H623" s="14"/>
      <c r="I623" s="14"/>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4"/>
      <c r="G624" s="14"/>
      <c r="H624" s="14"/>
      <c r="I624" s="14"/>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4"/>
      <c r="G625" s="14"/>
      <c r="H625" s="14"/>
      <c r="I625" s="14"/>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4"/>
      <c r="G626" s="14"/>
      <c r="H626" s="14"/>
      <c r="I626" s="14"/>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4"/>
      <c r="G627" s="14"/>
      <c r="H627" s="14"/>
      <c r="I627" s="14"/>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4"/>
      <c r="G628" s="14"/>
      <c r="H628" s="14"/>
      <c r="I628" s="14"/>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4"/>
      <c r="G629" s="14"/>
      <c r="H629" s="14"/>
      <c r="I629" s="14"/>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4"/>
      <c r="G630" s="14"/>
      <c r="H630" s="14"/>
      <c r="I630" s="14"/>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4"/>
      <c r="G631" s="14"/>
      <c r="H631" s="14"/>
      <c r="I631" s="14"/>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4"/>
      <c r="G632" s="14"/>
      <c r="H632" s="14"/>
      <c r="I632" s="14"/>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4"/>
      <c r="G633" s="14"/>
      <c r="H633" s="14"/>
      <c r="I633" s="14"/>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4"/>
      <c r="G634" s="14"/>
      <c r="H634" s="14"/>
      <c r="I634" s="14"/>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4"/>
      <c r="G635" s="14"/>
      <c r="H635" s="14"/>
      <c r="I635" s="14"/>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4"/>
      <c r="G636" s="14"/>
      <c r="H636" s="14"/>
      <c r="I636" s="14"/>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4"/>
      <c r="G637" s="14"/>
      <c r="H637" s="14"/>
      <c r="I637" s="14"/>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4"/>
      <c r="G638" s="14"/>
      <c r="H638" s="14"/>
      <c r="I638" s="14"/>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4"/>
      <c r="G639" s="14"/>
      <c r="H639" s="14"/>
      <c r="I639" s="14"/>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4"/>
      <c r="G640" s="14"/>
      <c r="H640" s="14"/>
      <c r="I640" s="14"/>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4"/>
      <c r="G641" s="14"/>
      <c r="H641" s="14"/>
      <c r="I641" s="14"/>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4"/>
      <c r="G642" s="14"/>
      <c r="H642" s="14"/>
      <c r="I642" s="14"/>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4"/>
      <c r="G643" s="14"/>
      <c r="H643" s="14"/>
      <c r="I643" s="14"/>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4"/>
      <c r="G644" s="14"/>
      <c r="H644" s="14"/>
      <c r="I644" s="14"/>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4"/>
      <c r="G645" s="14"/>
      <c r="H645" s="14"/>
      <c r="I645" s="14"/>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4"/>
      <c r="G646" s="14"/>
      <c r="H646" s="14"/>
      <c r="I646" s="14"/>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4"/>
      <c r="G647" s="14"/>
      <c r="H647" s="14"/>
      <c r="I647" s="14"/>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4"/>
      <c r="G648" s="14"/>
      <c r="H648" s="14"/>
      <c r="I648" s="14"/>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4"/>
      <c r="G649" s="14"/>
      <c r="H649" s="14"/>
      <c r="I649" s="14"/>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4"/>
      <c r="G650" s="14"/>
      <c r="H650" s="14"/>
      <c r="I650" s="14"/>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4"/>
      <c r="G651" s="14"/>
      <c r="H651" s="14"/>
      <c r="I651" s="14"/>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4"/>
      <c r="G652" s="14"/>
      <c r="H652" s="14"/>
      <c r="I652" s="14"/>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4"/>
      <c r="G653" s="14"/>
      <c r="H653" s="14"/>
      <c r="I653" s="14"/>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4"/>
      <c r="G654" s="14"/>
      <c r="H654" s="14"/>
      <c r="I654" s="14"/>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4"/>
      <c r="G655" s="14"/>
      <c r="H655" s="14"/>
      <c r="I655" s="14"/>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4"/>
      <c r="G656" s="14"/>
      <c r="H656" s="14"/>
      <c r="I656" s="14"/>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4"/>
      <c r="G657" s="14"/>
      <c r="H657" s="14"/>
      <c r="I657" s="14"/>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4"/>
      <c r="G658" s="14"/>
      <c r="H658" s="14"/>
      <c r="I658" s="14"/>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4"/>
      <c r="G659" s="14"/>
      <c r="H659" s="14"/>
      <c r="I659" s="14"/>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4"/>
      <c r="G660" s="14"/>
      <c r="H660" s="14"/>
      <c r="I660" s="14"/>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4"/>
      <c r="G661" s="14"/>
      <c r="H661" s="14"/>
      <c r="I661" s="14"/>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4"/>
      <c r="G662" s="14"/>
      <c r="H662" s="14"/>
      <c r="I662" s="14"/>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4"/>
      <c r="G663" s="14"/>
      <c r="H663" s="14"/>
      <c r="I663" s="14"/>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4"/>
      <c r="G664" s="14"/>
      <c r="H664" s="14"/>
      <c r="I664" s="14"/>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4"/>
      <c r="G665" s="14"/>
      <c r="H665" s="14"/>
      <c r="I665" s="14"/>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4"/>
      <c r="G666" s="14"/>
      <c r="H666" s="14"/>
      <c r="I666" s="14"/>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4"/>
      <c r="G667" s="14"/>
      <c r="H667" s="14"/>
      <c r="I667" s="14"/>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4"/>
      <c r="G668" s="14"/>
      <c r="H668" s="14"/>
      <c r="I668" s="14"/>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4"/>
      <c r="G669" s="14"/>
      <c r="H669" s="14"/>
      <c r="I669" s="14"/>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4"/>
      <c r="G670" s="14"/>
      <c r="H670" s="14"/>
      <c r="I670" s="14"/>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4"/>
      <c r="G671" s="14"/>
      <c r="H671" s="14"/>
      <c r="I671" s="14"/>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4"/>
      <c r="G672" s="14"/>
      <c r="H672" s="14"/>
      <c r="I672" s="14"/>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4"/>
      <c r="G673" s="14"/>
      <c r="H673" s="14"/>
      <c r="I673" s="14"/>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4"/>
      <c r="G674" s="14"/>
      <c r="H674" s="14"/>
      <c r="I674" s="14"/>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4"/>
      <c r="G675" s="14"/>
      <c r="H675" s="14"/>
      <c r="I675" s="14"/>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4"/>
      <c r="G676" s="14"/>
      <c r="H676" s="14"/>
      <c r="I676" s="14"/>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4"/>
      <c r="G677" s="14"/>
      <c r="H677" s="14"/>
      <c r="I677" s="14"/>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4"/>
      <c r="G678" s="14"/>
      <c r="H678" s="14"/>
      <c r="I678" s="14"/>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4"/>
      <c r="G679" s="14"/>
      <c r="H679" s="14"/>
      <c r="I679" s="14"/>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4"/>
      <c r="G680" s="14"/>
      <c r="H680" s="14"/>
      <c r="I680" s="14"/>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4"/>
      <c r="G681" s="14"/>
      <c r="H681" s="14"/>
      <c r="I681" s="14"/>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4"/>
      <c r="G682" s="14"/>
      <c r="H682" s="14"/>
      <c r="I682" s="14"/>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4"/>
      <c r="G683" s="14"/>
      <c r="H683" s="14"/>
      <c r="I683" s="14"/>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4"/>
      <c r="G684" s="14"/>
      <c r="H684" s="14"/>
      <c r="I684" s="14"/>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4"/>
      <c r="G685" s="14"/>
      <c r="H685" s="14"/>
      <c r="I685" s="14"/>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4"/>
      <c r="G686" s="14"/>
      <c r="H686" s="14"/>
      <c r="I686" s="14"/>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4"/>
      <c r="G687" s="14"/>
      <c r="H687" s="14"/>
      <c r="I687" s="14"/>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4"/>
      <c r="G688" s="14"/>
      <c r="H688" s="14"/>
      <c r="I688" s="14"/>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4"/>
      <c r="G689" s="14"/>
      <c r="H689" s="14"/>
      <c r="I689" s="14"/>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4"/>
      <c r="G690" s="14"/>
      <c r="H690" s="14"/>
      <c r="I690" s="14"/>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4"/>
      <c r="G691" s="14"/>
      <c r="H691" s="14"/>
      <c r="I691" s="14"/>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4"/>
      <c r="G692" s="14"/>
      <c r="H692" s="14"/>
      <c r="I692" s="14"/>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4"/>
      <c r="G693" s="14"/>
      <c r="H693" s="14"/>
      <c r="I693" s="14"/>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4"/>
      <c r="G694" s="14"/>
      <c r="H694" s="14"/>
      <c r="I694" s="14"/>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4"/>
      <c r="G695" s="14"/>
      <c r="H695" s="14"/>
      <c r="I695" s="14"/>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4"/>
      <c r="G696" s="14"/>
      <c r="H696" s="14"/>
      <c r="I696" s="14"/>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4"/>
      <c r="G697" s="14"/>
      <c r="H697" s="14"/>
      <c r="I697" s="14"/>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4"/>
      <c r="G698" s="14"/>
      <c r="H698" s="14"/>
      <c r="I698" s="14"/>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4"/>
      <c r="G699" s="14"/>
      <c r="H699" s="14"/>
      <c r="I699" s="14"/>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4"/>
      <c r="G700" s="14"/>
      <c r="H700" s="14"/>
      <c r="I700" s="14"/>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4"/>
      <c r="G701" s="14"/>
      <c r="H701" s="14"/>
      <c r="I701" s="14"/>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4"/>
      <c r="G702" s="14"/>
      <c r="H702" s="14"/>
      <c r="I702" s="14"/>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4"/>
      <c r="G703" s="14"/>
      <c r="H703" s="14"/>
      <c r="I703" s="14"/>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4"/>
      <c r="G704" s="14"/>
      <c r="H704" s="14"/>
      <c r="I704" s="14"/>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4"/>
      <c r="G705" s="14"/>
      <c r="H705" s="14"/>
      <c r="I705" s="14"/>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4"/>
      <c r="G706" s="14"/>
      <c r="H706" s="14"/>
      <c r="I706" s="14"/>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4"/>
      <c r="G707" s="14"/>
      <c r="H707" s="14"/>
      <c r="I707" s="14"/>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4"/>
      <c r="G708" s="14"/>
      <c r="H708" s="14"/>
      <c r="I708" s="14"/>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4"/>
      <c r="G709" s="14"/>
      <c r="H709" s="14"/>
      <c r="I709" s="14"/>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4"/>
      <c r="G710" s="14"/>
      <c r="H710" s="14"/>
      <c r="I710" s="14"/>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4"/>
      <c r="G711" s="14"/>
      <c r="H711" s="14"/>
      <c r="I711" s="14"/>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4"/>
      <c r="G712" s="14"/>
      <c r="H712" s="14"/>
      <c r="I712" s="14"/>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4"/>
      <c r="G713" s="14"/>
      <c r="H713" s="14"/>
      <c r="I713" s="14"/>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4"/>
      <c r="G714" s="14"/>
      <c r="H714" s="14"/>
      <c r="I714" s="14"/>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4"/>
      <c r="G715" s="14"/>
      <c r="H715" s="14"/>
      <c r="I715" s="14"/>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4"/>
      <c r="G716" s="14"/>
      <c r="H716" s="14"/>
      <c r="I716" s="14"/>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4"/>
      <c r="G717" s="14"/>
      <c r="H717" s="14"/>
      <c r="I717" s="14"/>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4"/>
      <c r="G718" s="14"/>
      <c r="H718" s="14"/>
      <c r="I718" s="14"/>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4"/>
      <c r="G719" s="14"/>
      <c r="H719" s="14"/>
      <c r="I719" s="14"/>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4"/>
      <c r="G720" s="14"/>
      <c r="H720" s="14"/>
      <c r="I720" s="14"/>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4"/>
      <c r="G721" s="14"/>
      <c r="H721" s="14"/>
      <c r="I721" s="14"/>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4"/>
      <c r="G722" s="14"/>
      <c r="H722" s="14"/>
      <c r="I722" s="14"/>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4"/>
      <c r="G723" s="14"/>
      <c r="H723" s="14"/>
      <c r="I723" s="14"/>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4"/>
      <c r="G724" s="14"/>
      <c r="H724" s="14"/>
      <c r="I724" s="14"/>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4"/>
      <c r="G725" s="14"/>
      <c r="H725" s="14"/>
      <c r="I725" s="14"/>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4"/>
      <c r="G726" s="14"/>
      <c r="H726" s="14"/>
      <c r="I726" s="14"/>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4"/>
      <c r="G727" s="14"/>
      <c r="H727" s="14"/>
      <c r="I727" s="14"/>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4"/>
      <c r="G728" s="14"/>
      <c r="H728" s="14"/>
      <c r="I728" s="14"/>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4"/>
      <c r="G729" s="14"/>
      <c r="H729" s="14"/>
      <c r="I729" s="14"/>
      <c r="J729" s="13"/>
      <c r="K729" s="13"/>
      <c r="L729" s="13"/>
      <c r="M729" s="13"/>
      <c r="N729" s="13"/>
      <c r="O729" s="13"/>
      <c r="P729" s="13"/>
      <c r="Q729" s="13"/>
      <c r="R729" s="13"/>
      <c r="S729" s="13"/>
      <c r="T729" s="13"/>
      <c r="U729" s="13"/>
      <c r="V729" s="13"/>
      <c r="W729" s="13"/>
      <c r="X729" s="13"/>
      <c r="Y729" s="13"/>
      <c r="Z729" s="13"/>
      <c r="AA729" s="13"/>
      <c r="AB729" s="13"/>
    </row>
  </sheetData>
  <drawing r:id="rId1"/>
</worksheet>
</file>