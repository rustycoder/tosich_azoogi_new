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R Neon" sheetId="1" r:id="rId5"/>
  </sheets>
  <definedNames/>
  <calcPr/>
</workbook>
</file>

<file path=xl/sharedStrings.xml><?xml version="1.0" encoding="utf-8"?>
<sst xmlns="http://schemas.openxmlformats.org/spreadsheetml/2006/main" count="1280" uniqueCount="624">
  <si>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</si>
  <si>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</si>
  <si>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</si>
  <si>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</si>
  <si>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</si>
  <si>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</si>
  <si>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</si>
  <si>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</si>
  <si>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</si>
  <si>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</si>
  <si>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</si>
  <si>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</si>
  <si>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</si>
  <si>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</si>
  <si>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</si>
  <si>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</si>
  <si>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</si>
  <si>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</si>
  <si>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</si>
  <si>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</si>
  <si>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</si>
  <si>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</si>
  <si>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</si>
  <si>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</si>
  <si>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</si>
  <si>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</si>
  <si>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</si>
  <si>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</si>
  <si>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</si>
  <si>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</si>
  <si>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TV1617-10W-2.2K-IP69</t>
  </si>
  <si>
    <t>Neon Top View</t>
  </si>
  <si>
    <t>simple</t>
  </si>
  <si>
    <t>IP69 Neon</t>
  </si>
  <si>
    <t>draft</t>
  </si>
  <si>
    <t>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t>
  </si>
  <si>
    <t>Bring seamless radiance to any space with Top Bend IP69, a premium linear light designed to accentuate contours with a flawless uniform glow and ultimate style.</t>
  </si>
  <si>
    <t>10W/m | 2200K | 24V | IP69 | 16mm (W) x 17mm (H) | IK10 with Neon-AluProfile-1617</t>
  </si>
  <si>
    <t>Power Consumption Rate | Color Temperature | Voltage | IP Rating | Dimension | Impact Strength</t>
  </si>
  <si>
    <t>{"SKU": "TV1617-10W-2.2K-IP69", "Power Consumption Rate": "10W/m", "Color Temperature": "2200K", "Voltage": "24V", "IP Rating": "IP69", "Dimension": "16mm (W) x 17mm (H)", "Impact Strength": "IK10 with Neon-AluProfile-1617"}</t>
  </si>
  <si>
    <t>{"SKU": ["TV1617-10W-2.2K-IP69", "TV1617-10W-2.7K-IP69", "TV1617-10W-3K-IP69", "TV1617-10W-4K-IP69", "TV1617-10W-5.3K-IP69", "TV1617-13W-RGB-IP69", "TV1617-17W-RGBW-IP69", "TV1617-13W-TW-IP69"], "Power Consumption Rate": ["10W/m", "13W/m", "17W/m"], "Color Temperature": ["2200K", "2700K", "3000K", "4000K", "5300K", "RGB", "RGBW (3000K)", "TW (2700K-5300K)"], "Voltage": "24V", "IP Rating": "IP69", "Dimension": "16mm (W) x 17mm (H)", "Impact Strength": "IK10 with Neon-AluProfile-1617"}</t>
  </si>
  <si>
    <t>{ "Options": {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 "Constraints": { "101": ["109", "110", "111"], "102": ["104", "105", "106", "107", "108", "110"], "103": ["104", "105", "106", "107", "108", "109", "111"] }, "sku_mappings": [ { "sku": "TV1617-10W-2.2K-IP69", "combination": ["101", "104", "112", "113", "114", "115"] }, { "sku": "TV1617-10W-2.7K-IP69", "combination": ["101", "105", "112", "113", "114", "115"] }, { "sku": "TV1617-10W-3K-IP69", "combination": ["101", "106", "112", "113", "114", "115"] }, { "sku": "TV1617-10W-4K-IP69", "combination": ["101", "107", "112", "113", "114", "115"] }, { "sku": "TV1617-10W-5.3K-IP69", "combination": ["101", "108", "112", "113", "114", "115"] }, { "sku": "TV1617-13W-RGB-IP69", "combination": ["102", "109", "112", "113", "114", "115"] }, { "sku": "TV1617-17W-RGBW-IP69", "combination": ["103", "110", "112", "113", "114", "115"] }, { "sku": "TV1617-13W-TW-IP69", "combination": ["102", "111", "112", "113", "114", "115"] } ] }</t>
  </si>
  <si>
    <t>CHINA - JR Lite</t>
  </si>
  <si>
    <t>WAVE 1617T WHT</t>
  </si>
  <si>
    <t>No</t>
  </si>
  <si>
    <t>Architectural lighting, Linear LED, Top View neon, Waterproof light ribbon, Flexible contour illumination, Premium commercial light</t>
  </si>
  <si>
    <t>TV1617-10W-2.7K-IP69</t>
  </si>
  <si>
    <t>10W/m | 2700K | 24V | IP69 | 16mm (W) x 17mm (H) | IK10 with Neon-AluProfile-1617</t>
  </si>
  <si>
    <t>{"SKU": "TV1617-10W-2.7K-IP69", "Power Consumption Rate": "10W/m", "Color Temperature": "2700K", "Voltage": "24V", "IP Rating": "IP69", "Dimension": "16mm (W) x 17mm (H)", "Impact Strength": "IK10 with Neon-AluProfile-1617"}</t>
  </si>
  <si>
    <t>TV1617-10W-3K-IP69</t>
  </si>
  <si>
    <t>10W/m | 3000K | 24V | IP69 | 16mm (W) x 17mm (H) | IK10 with Neon-AluProfile-1617</t>
  </si>
  <si>
    <t>{"SKU": "TV1617-10W-3K-IP69", "Power Consumption Rate": "10W/m", "Color Temperature": "3000K", "Voltage": "24V", "IP Rating": "IP69", "Dimension": "16mm (W) x 17mm (H)", "Impact Strength": "IK10 with Neon-AluProfile-1617"}</t>
  </si>
  <si>
    <t>TV1617-10W-4K-IP69</t>
  </si>
  <si>
    <t>10W/m | 4000K | 24V | IP69 | 16mm (W) x 17mm (H) | IK10 with Neon-AluProfile-1617</t>
  </si>
  <si>
    <t>{"SKU": "TV1617-10W-4K-IP69", "Power Consumption Rate": "10W/m", "Color Temperature": "4000K", "Voltage": "24V", "IP Rating": "IP69", "Dimension": "16mm (W) x 17mm (H)", "Impact Strength": "IK10 with Neon-AluProfile-1617"}</t>
  </si>
  <si>
    <t>TV1617-10W-5.3K-IP69</t>
  </si>
  <si>
    <t>10W/m | 5300K | 24V | IP69 | 16mm (W) x 17mm (H) | IK10 with Neon-AluProfile-1617</t>
  </si>
  <si>
    <t>{"SKU": "TV1617-10W-5.3K-IP69", "Power Consumption Rate": "10W/m", "Color Temperature": "5300K", "Voltage": "24V", "IP Rating": "IP69", "Dimension": "16mm (W) x 17mm (H)", "Impact Strength": "IK10 with Neon-AluProfile-1617"}</t>
  </si>
  <si>
    <t>TV1617-13W-RGB-IP69</t>
  </si>
  <si>
    <t>13W/m | RGB | 24V | IP69 | 16mm (W) x 17mm (H) | IK10 with Neon-AluProfile-1617</t>
  </si>
  <si>
    <t>{"SKU": "TV1617-13W-RGB-IP69", "Power Consumption Rate": "13W/m", "Color Temperature": "RGB", "Voltage": "24V", "IP Rating": "IP69", "Dimension": "16mm (W) x 17mm (H)", "Impact Strength": "IK10 with Neon-AluProfile-1617"}</t>
  </si>
  <si>
    <t>WAVE 1617T RGB</t>
  </si>
  <si>
    <t>TV1617-17W-RGBW-IP69</t>
  </si>
  <si>
    <t>17W/m | RGBW (3000K) | 24V | IP69 | 16mm (W) x 17mm (H) | IK10 with Neon-AluProfile-1617</t>
  </si>
  <si>
    <t>{"SKU": "TV1617-17W-RGBW-IP69", "Power Consumption Rate": "17W/m", "Color Temperature": "RGBW (3000K)", "Voltage": "24V", "IP Rating": "IP69", "Dimension": "16mm (W) x 17mm (H)", "Impact Strength": "IK10 with Neon-AluProfile-1617"}</t>
  </si>
  <si>
    <t>WAVE 1617T RGBW</t>
  </si>
  <si>
    <t>TV1617-13W-TW-IP69</t>
  </si>
  <si>
    <t>13W/m | TW (2700K-5300K) | 24V | IP69 | 16mm (W) x 17mm (H) | IK10 with Neon-AluProfile-1617</t>
  </si>
  <si>
    <t>{"SKU": "TV1617-13W-TW-IP69", "Power Consumption Rate": "13W/m", "Color Temperature": "TW (2700K-5300K)", "Voltage": "24V", "IP Rating": "IP69", "Dimension": "16mm (W) x 17mm (H)", "Impact Strength": "IK10 with Neon-AluProfile-1617"}</t>
  </si>
  <si>
    <t>WAVE 1617T TW</t>
  </si>
  <si>
    <t>TV1617-15W-RGB-IP69-DMX</t>
  </si>
  <si>
    <t>15W/m | RGB | 24V | IP69 | 16mm (W) x 17mm (H) | DMX | 12 Pixels/m | IK10 with Neon-AluProfile-1617</t>
  </si>
  <si>
    <t>Power Consumption Rate | Color Temperature | Voltage | IP Rating | Dimension | Control Protocol | Pixel | Impact Strength</t>
  </si>
  <si>
    <t>{"Power Consumption Rate": "15W/m", "Color Temperature": "RGB", "Voltage": "24V", "IP Rating": "IP69", "Dimension": "16mm (W) x 17mm (H)", "Control Protocol": "DMX", "Pixel": "12 Pixels/m", "Impact Strength": "IK10 with Neon-AluProfile-1617", "SKU": "TV1617-15W-RGB-IP69-DMX"}</t>
  </si>
  <si>
    <t>{"Power Consumption Rate": ["15W/m", "16W/m", "22W/m"], "Color Temperature": ["RGB", "RGBW (3000K)"], "Voltage": "24V", "IP Rating": "IP69", "Dimension": "16mm (W) x 17mm (H)", "Control Protocol": ["DMX", "SPI"], "Pixel": "12 Pixels/m", "Impact Strength": "IK10 with Neon-AluProfile-1617", "SKU": ["TV1617-15W-RGB-IP69-DMX", "TV1617-16W-RGB-IP69-SPI", "TV1617-15W-RGBW-IP69-DMX", "TV1617-22W-RGBW-IP69-SPI"]}</t>
  </si>
  <si>
    <t>{
"Options": {
"Power Consumption Rate": [
{"name": "15W/m", "id": "101"},
{"name": "16W/m", "id": "102"},
{"name": "22W/m", "id": "103"}
],
"Color Temperature": [
{"name": "RGB", "id": "104"},
{"name": "RGBW (3000K)", "id": "105"}
],
"Voltage": [
{"name": "24V", "id": "106"}
],
"IP Rating": [
{"name": "IP69", "id": "107"}
],
"Dimension": [
{"name": "16mm (W) x 17mm (H)", "id": "108"}
],
"Control Protocol": [
{"name": "DMX", "id": "109"},
{"name": "SPI", "id": "110"}
],
"Pixel": [
{"name": "12 Pixels/m", "id": "111"}
],
"Impact Strength": [
{"name": "IK10 with Neon-AluProfile-1617", "id": "112"}
]
},
"Constraints": {
"101": ["110"],
"102": ["105", "109"],
"103": ["104", "109"],
"104": ["103"],
"105": ["102"],
"109": ["102", "103"],
"110": ["101"]
},
"sku_mappings": [
{ "sku": "TV1617-15W-RGB-IP69-DMX", "combination": ["101", "104", "106", "107", "108", "109", "111", "112"] },
{ "sku": "TV1617-16W-RGB-IP69-SPI", "combination": ["102", "104", "106", "107", "108", "110", "111", "112"] },
{ "sku": "TV1617-15W-RGBW-IP69-DMX", "combination": ["101", "105", "106", "107", "108", "109", "111", "112"] },
{ "sku": "TV1617-22W-RGBW-IP69-SPI", "combination": ["103", "105", "106", "107", "108", "110", "111", "112"] }
]
}</t>
  </si>
  <si>
    <t>WAVE 1617T DMX RGB</t>
  </si>
  <si>
    <t>TV1617-16W-RGB-IP69-SPI</t>
  </si>
  <si>
    <t>16W/m | RGB | 24V | IP69 | 16mm (W) x 17mm (H) | SPI | 12 Pixels/m | IK10 with Neon-AluProfile-1617</t>
  </si>
  <si>
    <t>{"Power Consumption Rate": "16W/m", "Color Temperature": "RGB", "Voltage": "24V", "IP Rating": "IP69", "Dimension": "16mm (W) x 17mm (H)", "Control Protocol": "SPI", "Pixel": "12 Pixels/m", "Impact Strength": "IK10 with Neon-AluProfile-1617", "SKU": "TV1617-16W-RGB-IP69-SPI"}</t>
  </si>
  <si>
    <t>WAVE 1617T SPI RGB</t>
  </si>
  <si>
    <t>TV1617-15W-RGBW-IP69-DMX</t>
  </si>
  <si>
    <t>15W/m | RGBW (3000K) | 24V | IP69 | 16mm (W) x 17mm (H) | DMX | 12 Pixels/m | IK10 with Neon-AluProfile-1617</t>
  </si>
  <si>
    <t>{"Power Consumption Rate": "15W/m", "Color Temperature": "RGBW (3000K)", "Voltage": "24V", "IP Rating": "IP69", "Dimension": "16mm (W) x 17mm (H)", "Control Protocol": "DMX", "Pixel": "12 Pixels/m", "Impact Strength": "IK10 with Neon-AluProfile-1617", "SKU": "TV1617-15W-RGBW-IP69-DMX"}</t>
  </si>
  <si>
    <t>WAVE 1617T DMX RGBW</t>
  </si>
  <si>
    <t>TV1617-22W-RGBW-IP69-SPI</t>
  </si>
  <si>
    <t>22W/m | RGBW (3000K) | 24V | IP69 | 16mm (W) x 17mm (H) | SPI | 12 Pixels/m | IK10 with Neon-AluProfile-1617</t>
  </si>
  <si>
    <t>{"Power Consumption Rate": "22W/m", "Color Temperature": "RGBW (3000K)", "Voltage": "24V", "IP Rating": "IP69", "Dimension": "16mm (W) x 17mm (H)", "Control Protocol": "SPI", "Pixel": "12 Pixels/m", "Impact Strength": "IK10 with Neon-AluProfile-1617", "SKU": "TV1617-22W-RGBW-IP69-SPI"}</t>
  </si>
  <si>
    <t>WAVE 1617T SPI RGBW</t>
  </si>
  <si>
    <t>SV1617-10W-2.2K-IP69</t>
  </si>
  <si>
    <t>Neon Side View</t>
  </si>
  <si>
    <t>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creating an inviting outdoor oasis, or adding a sophisticated glow to modern spaces, its seamless, uniform illumination delivers an unmatched upscale aesthetic. Combining ultimate durability with timeless style, it is the ultimate choice for visionary designers looking to push the boundaries of creative lighting expression.</t>
  </si>
  <si>
    <t>Bring fluid brilliance to any space with Side Bend IP69, curving effortlessly to deliver a seamless, uniform glow that elevates your architectural vision.</t>
  </si>
  <si>
    <t>{"Power Consumption Rate": "10W/m", "Color Temperature": "2200K", "Voltage": "24V", "IP Rating": "IP69", "Dimension": "16mm (W) x 17mm (H)", "Impact Strength": "IK10 with Neon-AluProfile-1617", "SKU": "SV1617-10W-2.2K-IP69"}</t>
  </si>
  <si>
    <t>{"SKU": ["SV1617-10W-2.2K-IP69", "SV1617-10W-2.7K-IP69", "SV1617-10W-3K-IP69", "SV1617-10W-4K-IP69", "SV1617-10W-5.3K-IP69", "SV1617-13W-RGB-IP69", "SV1617-17W-RGBW-IP69", "SV1617-13W-TW-IP69"], "Power Consumption Rate": ["10W/m", "13W/m", "17W/m"], "Color Temperature": ["2200K", "2700K", "3000K", "4000K", "5300K", "RGB", "RGBW (3000K)", "TW (2700K-5300K)"], "Voltage": "24V", "IP Rating": "IP69", "Dimension": "16mm (W) x 17mm (H)", "Impact Strength": "IK10 with Neon-AluProfile-1617"}</t>
  </si>
  <si>
    <t>{ "Options": {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 "Constraints": { "101": ["109", "110", "111"], "102": ["104", "105", "106", "107", "108", "110"], "103": ["104", "105", "106", "107", "108", "109", "111"] }, "sku_mappings": [ { "sku": "SV1617-10W-2.2K-IP69", "combination": ["101", "104", "112", "113", "114", "115"] }, { "sku": "SV1617-10W-2.7K-IP69", "combination": ["101", "105", "112", "113", "114", "115"] }, { "sku": "SV1617-10W-3K-IP69", "combination": ["101", "106", "112", "113", "114", "115"] }, { "sku": "SV1617-10W-4K-IP69", "combination": ["101", "107", "112", "113", "114", "115"] }, { "sku": "SV1617-10W-5.3K-IP69", "combination": ["101", "108", "112", "113", "114", "115"] }, { "sku": "SV1617-13W-RGB-IP69", "combination": ["102", "109", "112", "113", "114", "115"] }, { "sku": "SV1617-17W-RGBW-IP69", "combination": ["103", "110", "112", "113", "114", "115"] }, { "sku": "SV1617-13W-TW-IP69", "combination": ["102", "111", "112", "113", "114", "115"] } ] }</t>
  </si>
  <si>
    <t>WAVE 1617S WHT</t>
  </si>
  <si>
    <t>Side bend neon, Flexible linear LED, Architectural accent lighting, Landscape contour light, Waterproof light ribbon, Premium commercial lighting</t>
  </si>
  <si>
    <t>SV1617-10W-2.7K-IP69</t>
  </si>
  <si>
    <t>{"SKU": "SV1617-10W-2.7K-IP69", "Power Consumption Rate": "10W/m", "Color Temperature": "2700K", "Voltage": "24V", "IP Rating": "IP69", "Dimension": "16mm (W) x 17mm (H)", "Impact Strength": "IK10 with Neon-AluProfile-1617"}</t>
  </si>
  <si>
    <t>SV1617-10W-3K-IP69</t>
  </si>
  <si>
    <t>{"SKU": "SV1617-10W-3K-IP69", "Power Consumption Rate": "10W/m", "Color Temperature": "3000K", "Voltage": "24V", "IP Rating": "IP69", "Dimension": "16mm (W) x 17mm (H)", "Impact Strength": "IK10 with Neon-AluProfile-1617"}</t>
  </si>
  <si>
    <t>SV1617-10W-4K-IP69</t>
  </si>
  <si>
    <t>{"SKU": "SV1617-10W-4K-IP69", "Power Consumption Rate": "10W/m", "Color Temperature": "4000K", "Voltage": "24V", "IP Rating": "IP69", "Dimension": "16mm (W) x 17mm (H)", "Impact Strength": "IK10 with Neon-AluProfile-1617"}</t>
  </si>
  <si>
    <t>SV1617-10W-5.3K-IP69</t>
  </si>
  <si>
    <t>{"SKU": "SV1617-10W-5.3K-IP69", "Power Consumption Rate": "10W/m", "Color Temperature": "5300K", "Voltage": "24V", "IP Rating": "IP69", "Dimension": "16mm (W) x 17mm (H)", "Impact Strength": "IK10 with Neon-AluProfile-1617"}</t>
  </si>
  <si>
    <t>SV1617-13W-RGB-IP69</t>
  </si>
  <si>
    <t>{"Power Consumption Rate": "13W/m", "Color Temperature": "RGB", "Voltage": "24V", "IP Rating": "IP69", "Dimension": "16mm (W) x 17mm (H)", "Impact Strength": "IK10 with Neon-AluProfile-1617", "SKU": "SV1617-13W-RGB-IP69"}</t>
  </si>
  <si>
    <t>WAVE 1617S RGB</t>
  </si>
  <si>
    <t>SV1617-17W-RGBW-IP69</t>
  </si>
  <si>
    <t>{"Power Consumption Rate": "17W/m", "Color Temperature": "RGBW (3000K)", "Voltage": "24V", "IP Rating": "IP69", "Dimension": "16mm (W) x 17mm (H)", "Impact Strength": "IK10 with Neon-AluProfile-1617", "SKU": "SV1617-17W-RGBW-IP69"}</t>
  </si>
  <si>
    <t>WAVE 1617S RGBW</t>
  </si>
  <si>
    <t>SV1617-13W-TW-IP69</t>
  </si>
  <si>
    <t>{"SKU": "SV1617-13W-TW-IP69", "Power Consumption Rate": "13W/m", "Color Temperature": "TW (2700K-5300K)", "Voltage": "24V", "IP Rating": "IP69", "Dimension": "16mm (W) x 17mm (H)", "Impact Strength": "IK10 with Neon-AluProfile-1617"}</t>
  </si>
  <si>
    <t>WAVE 1617S TW</t>
  </si>
  <si>
    <t>SV1617-15W-RGBW-IP69-DMX</t>
  </si>
  <si>
    <t>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or adding a sophisticated atmosphere to outdoor spaces, its pristine, uniform glow delivers an unmatched aesthetic elegance. Built to withstand the elements while maintaining its flawless brilliance, it is the ultimate choice for designers who refuse to compromise on beauty, adaptability, and style.</t>
  </si>
  <si>
    <t>Transform any space with fluid brilliance and a seamless, vibrant glow that effortlessly elevates your architectural designs.</t>
  </si>
  <si>
    <t>{"Power Consumption Rate": "15W/m", "Color Temperature": "RGBW (3000K)", "Voltage": "24V", "IP Rating": "IP69", "Dimension": "16mm (W) x 17mm (H)", "Control Protocol": "DMX", "Pixel": "12 Pixels/m", "Impact Strength": "IK10 with Neon-AluProfile-1617", "SKU": "SV1617-15W-RGBW-IP69-DMX"}</t>
  </si>
  <si>
    <t>{"Power Consumption Rate": ["15W/m", "16W/m", "22W/m"], "Color Temperature": ["RGBW (3000K)", "RGB"], "Voltage": "24V", "IP Rating": "IP69", "Dimension": "16mm (W) x 17mm (H)", "Control Protocol": ["DMX", "SPI"], "Pixel": "12 Pixels/m", "Impact Strength": "IK10 with Neon-AluProfile-1617", "SKU": ["SV1617-15W-RGBW-IP69-DMX", "SV1617-16W-RGB-IP69-SPI", "SV1617-15W-RGB-IP69-DMX", "SV1617-22W-RGBW-IP69-SPI"]}</t>
  </si>
  <si>
    <t>{
"Options": {
"Power Consumption Rate": [
{"name": "15W/m", "id": "101"},
{"name": "16W/m", "id": "102"},
{"name": "22W/m", "id": "103"}
],
"Color Temperature": [
{"name": "RGBW (3000K)", "id": "104"},
{"name": "RGB", "id": "105"}
],
"Voltage": [
{"name": "24V", "id": "106"}
],
"IP Rating": [
{"name": "IP69", "id": "107"}
],
"Dimension": [
{"name": "16mm (W) x 17mm (H)", "id": "108"}
],
"Control Protocol": [
{"name": "DMX", "id": "109"},
{"name": "SPI", "id": "110"}
],
"Pixel": [
{"name": "12 Pixels/m", "id": "111"}
],
"Impact Strength": [
{"name": "IK10 with Neon-AluProfile-1617", "id": "112"}
]
},
"Constraints": {
"101": ["110"],
"102": ["104", "109"],
"103": ["105", "109"]
},
"sku_mappings": [
{
"sku": "SV1617-15W-RGBW-IP69-DMX",
"combination": ["101", "104", "106", "107", "108", "109", "111", "112"]
},
{
"sku": "SV1617-16W-RGB-IP69-SPI",
"combination": ["102", "105", "106", "107", "108", "110", "111", "112"]
},
{
"sku": "SV1617-15W-RGB-IP69-DMX",
"combination": ["101", "105", "106", "107", "108", "109", "111", "112"]
},
{
"sku": "SV1617-22W-RGBW-IP69-SPI",
"combination": ["103", "104", "106", "107", "108", "110", "111", "112"]
}
]
}</t>
  </si>
  <si>
    <t>WAVE 1617S DMX RGBW</t>
  </si>
  <si>
    <t>SV1617-16W-RGB-IP69-SPI</t>
  </si>
  <si>
    <t>{"Power Consumption Rate": "16W/m", "Color Temperature": "RGB", "Voltage": "24V", "IP Rating": "IP69", "Dimension": "16mm (W) x 17mm (H)", "Control Protocol": "SPI", "Pixel": "12 Pixels/m", "Impact Strength": "IK10 with Neon-AluProfile-1617", "SKU": "SV1617-16W-RGB-IP69-SPI"}</t>
  </si>
  <si>
    <t>WAVE 1617S SPI RGB</t>
  </si>
  <si>
    <t>SV1617-15W-RGB-IP69-DMX</t>
  </si>
  <si>
    <t>{"Power Consumption Rate": "15W/m", "Color Temperature": "RGB", "Voltage": "24V", "IP Rating": "IP69", "Dimension": "16mm (W) x 17mm (H)", "Control Protocol": "DMX", "Pixel": "12 Pixels/m", "Impact Strength": "IK10 with Neon-AluProfile-1617", "SKU": "SV1617-15W-RGB-IP69-DMX"}</t>
  </si>
  <si>
    <t>WAVE 1617S DMX RGB</t>
  </si>
  <si>
    <t>SV1617-22W-RGBW-IP69-SPI</t>
  </si>
  <si>
    <t>{"Power Consumption Rate": "22W/m", "Color Temperature": "RGBW (3000K)", "Voltage": "24V", "IP Rating": "IP69", "Dimension": "16mm (W) x 17mm (H)", "Control Protocol": "SPI", "Pixel": "12 Pixels/m", "Impact Strength": "IK10 with Neon-AluProfile-1617", "SKU": "SV1617-22W-RGBW-IP69-SPI"}</t>
  </si>
  <si>
    <t>WAVE 1617S SPI RGBW</t>
  </si>
  <si>
    <t>TV1615-10W-2.7K-IP67-Black</t>
  </si>
  <si>
    <t>Black Neon</t>
  </si>
  <si>
    <t>Embrace the allure of mystery and sophistication with Black Neon, a captivating linear lighting choice designed to make a bold design statement. Featuring a sleek, dramatic black finish, this neon-style light blends seamlessly into dark aesthetics or acts as a striking contrast against minimalist backgrounds. It delivers a smooth, uniform glow that completely transforms the atmosphere of high-end lounges, modern retail spaces, or intimate outdoor patios. Engineered for incredible flexibility and built to withstand the elements, it allows designers to effortlessly map out artistic contours, adding an undeniable touch of luxury and architectural refinement wherever it is placed.</t>
  </si>
  <si>
    <t>Embrace mystery and sophistication with Black Neon, a sleek linear light designed to bring a dramatic, uniform glow and touch of pure luxury to any modern space.</t>
  </si>
  <si>
    <t>10W/m | 2700K | 24V | IP67 | 16mm (W) x 15mm (H) | Black</t>
  </si>
  <si>
    <t>Power Consumption Rate | Color Temperature | Voltage | IP Rating | Dimension | Finish</t>
  </si>
  <si>
    <t>{"SKU": "TV1615-10W-2.7K-IP67-Black", "Power Consumption Rate": "10W/m", "Color Temperature": "2700K", "Voltage": "24V", "IP Rating": "IP67", "Dimension": "16mm (W) x 15mm (H)", "Finish": "Black"}</t>
  </si>
  <si>
    <t>{"SKU": ["TV1615-10W-2.7K-IP67-Black", "TV1615-10W-3K-IP67-Black", "TV1615-10W-4K-IP67-Black", "TV1615-15W-2.7K-IP67-Black", "TV1615-15W-3K-IP67-Black", "TV1615-15W-4K-IP67-Black", "TV1615-15W-RGB-IP67-Black", "TV1615-15W-TW-IP67-Black"], "Power Consumption Rate": ["10W/m", "15W/m"], "Color Temperature": ["2700K", "3000K", "4000K", "RGB", "TW (2700K-6500K)"], "Voltage": "24V", "IP Rating": "IP67", "Dimension": "16mm (W) x 15mm (H)", "Finish": "Black"}</t>
  </si>
  <si>
    <t>{
"Options": {
"Power Consumption Rate": [
{"name": "10W/m", "id": "101"},
{"name": "15W/m", "id": "102"}
],
"Color Temperature": [
{"name": "2700K", "id": "103"},
{"name": "3000K", "id": "104"},
{"name": "4000K", "id": "105"},
{"name": "RGB", "id": "106"},
{"name": "TW (2700K-6500K)", "id": "107"}
],
"Voltage": [
{"name": "24V", "id": "108"}
],
"IP Rating": [
{"name": "IP67", "id": "109"}
],
"Dimension": [
{"name": "16mm (W) x 15mm (H)", "id": "110"}
],
"Finish": [
{"name": "Black", "id": "111"}
]
},
"Constraints": {
"101": ["106", "107"],
"102": ["103", "104", "105"]
},
"sku_mappings": [
{ "sku": "TV1615-10W-2.7K-IP67-Black", "combination": ["101", "103", "108", "109", "110", "111"] },
{ "sku": "TV1615-10W-3K-IP67-Black", "combination": ["101", "104", "108", "109", "110", "111"] },
{ "sku": "TV1615-10W-4K-IP67-Black", "combination": ["101", "105", "108", "109", "110", "111"] },
{ "sku": "TV1615-15W-2.7K-IP67-Black", "combination": ["102", "103", "108", "109", "110", "111"] },
{ "sku": "TV1615-15W-3K-IP67-Black", "combination": ["102", "104", "108", "109", "110", "111"] },
{ "sku": "TV1615-15W-4K-IP67-Black", "combination": ["102", "105", "108", "109", "110", "111"] },
{ "sku": "TV1615-15W-RGB-IP67-Black", "combination": ["101", "106", "108", "109", "110", "111"] },
{ "sku": "TV1615-15W-TW-IP67-Black", "combination": ["101", "107", "108", "109", "110", "111"] }
]
}</t>
  </si>
  <si>
    <t>LEDLINE ASTON 1615T BLACK</t>
  </si>
  <si>
    <t>Black neon, Sleek linear light, Dramatic lighting finish, Luxury architectural contour, Top View neon, Waterproof black light ribbon</t>
  </si>
  <si>
    <t>TV1615-10W-3K-IP67-Black</t>
  </si>
  <si>
    <t>10W/m | 3000K | 24V | IP67 | 16mm (W) x 15mm (H) | Black</t>
  </si>
  <si>
    <t>{"Power Consumption Rate": "10W/m", "Color Temperature": "3000K", "Voltage": "24V", "IP Rating": "IP67", "Dimension": "16mm (W) x 15mm (H)", "Finish": "Black", "SKU": "TV1615-10W-3K-IP67-Black"}</t>
  </si>
  <si>
    <t>TV1615-10W-4K-IP67-Black</t>
  </si>
  <si>
    <t>10W/m | 4000K | 24V | IP67 | 16mm (W) x 15mm (H) | Black</t>
  </si>
  <si>
    <t>{"Power Consumption Rate": "10W/m", "Color Temperature": "4000K", "Voltage": "24V", "IP Rating": "IP67", "Dimension": "16mm (W) x 15mm (H)", "Finish": "Black", "SKU": "TV1615-10W-4K-IP67-Black"}</t>
  </si>
  <si>
    <t>TV1615-15W-2.7K-IP67-Black</t>
  </si>
  <si>
    <t>15W/m | 2700K | 24V | IP67 | 16mm (W) x 15mm (H) | Black</t>
  </si>
  <si>
    <t>{"Power Consumption Rate": "15W/m", "Color Temperature": "2700K", "Voltage": "24V", "IP Rating": "IP67", "Dimension": "16mm (W) x 15mm (H)", "Finish": "Black", "SKU": "TV1615-15W-2.7K-IP67-Black"}</t>
  </si>
  <si>
    <t>TV1615-15W-3K-IP67-Black</t>
  </si>
  <si>
    <t>15W/m | 3000K | 24V | IP67 | 16mm (W) x 15mm (H) | Black</t>
  </si>
  <si>
    <t>{"Power Consumption Rate": "15W/m", "Color Temperature": "3000K", "Voltage": "24V", "IP Rating": "IP67", "Dimension": "16mm (W) x 15mm (H)", "Finish": "Black", "SKU": "TV1615-15W-3K-IP67-Black"}</t>
  </si>
  <si>
    <t>TV1615-15W-4K-IP67-Black</t>
  </si>
  <si>
    <t>15W/m | 4000K | 24V | IP67 | 16mm (W) x 15mm (H) | Black</t>
  </si>
  <si>
    <t>{"Power Consumption Rate": "15W/m", "Color Temperature": "4000K", "Voltage": "24V", "IP Rating": "IP67", "Dimension": "16mm (W) x 15mm (H)", "Finish": "Black", "SKU": "TV1615-15W-4K-IP67-Black"}</t>
  </si>
  <si>
    <t>TV1615-15W-RGB-IP67-Black</t>
  </si>
  <si>
    <t>10W/m | RGB | 24V | IP67 | 16mm (W) x 15mm (H) | Black</t>
  </si>
  <si>
    <t>{"Power Consumption Rate": "10W/m", "Color Temperature": "RGB", "Voltage": "24V", "IP Rating": "IP67", "Dimension": "16mm (W) x 15mm (H)", "Finish": "Black", "SKU": "TV1615-15W-RGB-IP67-Black"}</t>
  </si>
  <si>
    <t>TV1615-15W-TW-IP67-Black</t>
  </si>
  <si>
    <t>10W/m | TW (2700K-6500K) | 24V | IP67 | 16mm (W) x 15mm (H) | Black</t>
  </si>
  <si>
    <t>{"Power Consumption Rate": "10W/m", "Color Temperature": "TW (2700K-6500K)", "Voltage": "24V", "IP Rating": "IP67", "Dimension": "16mm (W) x 15mm (H)", "Finish": "Black", "SKU": "TV1615-15W-TW-IP67-Black"}</t>
  </si>
  <si>
    <t>TV1004-10W-2.2K-IP65-FC</t>
  </si>
  <si>
    <t>Slice</t>
  </si>
  <si>
    <t>Slice Neon</t>
  </si>
  <si>
    <t>Introducing the Slice (10mm x 4mm), an ultra-slim linear lighting solution crafted to redefine modern illumination. Designed with incredible flexibility and a minimal profile, this top-bending masterpiece seamlessly integrates into any architectural vision, effortlessly tracing elegant curves and contours. Its smooth, uniform glow creates a stunning visual statement that elevates the ambiance of sophisticated residential interiors, commercial venues, and luxury landscapes alike. Built to offer ultimate precision and artistic adaptability, the Slice brings a touch of sleek, contemporary elegance to any environment, proving that breathtaking design and exceptional style truly know no boundaries.</t>
  </si>
  <si>
    <t>Redefine your space with the ultra-slim Slice, blending flexibility and contemporary elegance to create a sleek, breathtaking visual statement anywhere.</t>
  </si>
  <si>
    <t>10W/m | 2200K | 24V | IP65 | 10mm (W) x 4.2mm (H) | Free Cut</t>
  </si>
  <si>
    <t>Power Consumption Rate | Color Temperature | Voltage | IP Rating | Dimension | Cut Interval</t>
  </si>
  <si>
    <t>{"SKU": "TV1004-10W-2.2K-IP65-FC", "Power Consumption Rate": "10W/m", "Color Temperature": "2200K", "Voltage": "24V", "IP Rating": "IP65", "Dimension": "10mm (W) x 4.2mm (H)", "Cut Interval": "Free Cut"}</t>
  </si>
  <si>
    <t>{"SKU": ["TV1004-10W-2.2K-IP65-FC", "TV1004-10W-2.7K-IP65-FC", "TV1004-10W-3K-IP65-FC", "TV1004-10W-4K-IP65-FC", "TV1004-10W-5.7K-IP65-FC", "TV1004-14W-TW-IP65", "TV1004-10W-2.2K-IP65-XL", "TV1004-10W-2.7K-IP65-XL", "TV1004-10W-3K-IP65-XL", "TV1004-10W-4K-IP65-XL", "TV1004-15W-2.2K-IP65-XL", "TV1004-15W-2.7K-IP65-XL", "TV1004-15W-3K-IP65-XL", "TV1004-15W-4K-IP65-XL"], "Power Consumption Rate": ["10W/m", "14W/m", "15W/m"], "Color Temperature": ["2200K", "2700K", "3000K", "4000K", "5700K", "TW (2700K-6500K)"], "Voltage": "24V", "IP Rating": "IP65", "Dimension": "10mm (W) x 4.2mm (H)", "Cut Interval": "Free Cut"}</t>
  </si>
  <si>
    <t>{
"Options": {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"Cut Interval": [
{"name": "Free Cut", "id": "113"}
]
},
"Constraints": {
"101": ["109"],
"102": ["104", "105", "106", "107", "108", "113"],
"103": ["108", "109", "113"]
},
"sku_mappings": [
{ "sku": "TV1004-10W-2.2K-IP65-FC", "combination": ["101", "104", "110", "111", "112", "113"] },
{ "sku": "TV1004-10W-2.7K-IP65-FC", "combination": ["101", "105", "110", "111", "112", "113"] },
{ "sku": "TV1004-10W-3K-IP65-FC", "combination": ["101", "106", "110", "111", "112", "113"] },
{ "sku": "TV1004-10W-4K-IP65-FC", "combination": ["101", "107", "110", "111", "112", "113"] },
{ "sku": "TV1004-10W-5.7K-IP65-FC", "combination": ["101", "108", "110", "111", "112", "113"] },
{ "sku": "TV1004-14W-TW-IP65", "combination": ["102", "109", "110", "111", "112"] },
{ "sku": "TV1004-10W-2.2K-IP65-XL", "combination": ["101", "104", "110", "111", "112"] },
{ "sku": "TV1004-10W-2.7K-IP65-XL", "combination": ["101", "105", "110", "111", "112"] },
{ "sku": "TV1004-10W-3K-IP65-XL", "combination": ["101", "106", "110", "111", "112"] },
{ "sku": "TV1004-10W-4K-IP65-XL", "combination": ["101", "107", "110", "111", "112"] },
{ "sku": "TV1004-15W-2.2K-IP65-XL", "combination": ["103", "104", "110", "111", "112"] },
{ "sku": "TV1004-15W-2.7K-IP65-XL", "combination": ["103", "105", "110", "111", "112"] },
{ "sku": "TV1004-15W-3K-IP65-XL", "combination": ["103", "106", "110", "111", "112"] },
{ "sku": "TV1004-15W-4K-IP65-XL", "combination": ["103", "107", "110", "111", "112"] }
]
}</t>
  </si>
  <si>
    <t>APO 10 FC</t>
  </si>
  <si>
    <t>Ultra-slim linear LED, Minimal profile neon, Top view bendable light, Free cut flexible ribbon, Sleek architectural lighting, Contemporary interior illumination</t>
  </si>
  <si>
    <t>TV1004-10W-2.7K-IP65-FC</t>
  </si>
  <si>
    <t>10W/m | 2700K | 24V | IP65 | 10mm (W) x 4.2mm (H) | Free Cut</t>
  </si>
  <si>
    <t>{"Power Consumption Rate": "10W/m", "Color Temperature": "2700K", "Voltage": "24V", "IP Rating": "IP65", "Dimension": "10mm (W) x 4.2mm (H)", "Cut Interval": "Free Cut", "SKU": "TV1004-10W-2.7K-IP65-FC"}</t>
  </si>
  <si>
    <t>TV1004-10W-3K-IP65-FC</t>
  </si>
  <si>
    <t>10W/m | 3000K | 24V | IP65 | 10mm (W) x 4.2mm (H) | Free Cut</t>
  </si>
  <si>
    <t>{"Power Consumption Rate": "10W/m", "Color Temperature": "3000K", "Voltage": "24V", "IP Rating": "IP65", "Dimension": "10mm (W) x 4.2mm (H)", "Cut Interval": "Free Cut", "SKU": "TV1004-10W-3K-IP65-FC"}</t>
  </si>
  <si>
    <t>TV1004-10W-4K-IP65-FC</t>
  </si>
  <si>
    <t>10W/m | 4000K | 24V | IP65 | 10mm (W) x 4.2mm (H) | Free Cut</t>
  </si>
  <si>
    <t>{"Power Consumption Rate": "10W/m", "Color Temperature": "4000K", "Voltage": "24V", "IP Rating": "IP65", "Dimension": "10mm (W) x 4.2mm (H)", "Cut Interval": "Free Cut", "SKU": "TV1004-10W-4K-IP65-FC"}</t>
  </si>
  <si>
    <t>TV1004-10W-5.7K-IP65-FC</t>
  </si>
  <si>
    <t>10W/m | 5700K | 24V | IP65 | 10mm (W) x 4.2mm (H) | Free Cut</t>
  </si>
  <si>
    <t>{"Power Consumption Rate": "10W/m", "Color Temperature": "5700K", "Voltage": "24V", "IP Rating": "IP65", "Dimension": "10mm (W) x 4.2mm (H)", "Cut Interval": "Free Cut", "SKU": "TV1004-10W-5.7K-IP65-FC"}</t>
  </si>
  <si>
    <t>TV1004-14W-TW-IP65</t>
  </si>
  <si>
    <t>14W/m | TW (2700K-6500K) | 24V | IP65 | 10mm (W) x 4.2mm (H)</t>
  </si>
  <si>
    <t>Power Consumption Rate | Color Temperature | Voltage | IP Rating | Dimension</t>
  </si>
  <si>
    <t>{"Power Consumption Rate": "14W/m", "Color Temperature": "TW (2700K-6500K)", "Voltage": "24V", "IP Rating": "IP65", "Dimension": "10mm (W) x 4.2mm (H)", "SKU": "TV1004-14W-TW-IP65"}</t>
  </si>
  <si>
    <t>APO 10 HE TW</t>
  </si>
  <si>
    <t>TV1004-10W-2.2K-IP65-XL</t>
  </si>
  <si>
    <t>10W/m | 2200K | 24V | IP65 | 10mm (W) x 4.2mm (H)</t>
  </si>
  <si>
    <t>{"Power Consumption Rate": "10W/m", "Color Temperature": "2200K", "Voltage": "24V", "IP Rating": "IP65", "Dimension": "10mm (W) x 4.2mm (H)", "SKU": "TV1004-10W-2.2K-IP65-XL"}</t>
  </si>
  <si>
    <t>APO 10 HE</t>
  </si>
  <si>
    <t>TV1004-10W-2.7K-IP65-XL</t>
  </si>
  <si>
    <t>10W/m | 2700K | 24V | IP65 | 10mm (W) x 4.2mm (H)</t>
  </si>
  <si>
    <t>{"SKU": "TV1004-10W-2.7K-IP65-XL", "Power Consumption Rate": "10W/m", "Color Temperature": "2700K", "Voltage": "24V", "IP Rating": "IP65", "Dimension": "10mm (W) x 4.2mm (H)"}</t>
  </si>
  <si>
    <t>TV1004-10W-3K-IP65-XL</t>
  </si>
  <si>
    <t>10W/m | 3000K | 24V | IP65 | 10mm (W) x 4.2mm (H)</t>
  </si>
  <si>
    <t>{"Power Consumption Rate": "10W/m", "Color Temperature": "3000K", "Voltage": "24V", "IP Rating": "IP65", "Dimension": "10mm (W) x 4.2mm (H)", "SKU": "TV1004-10W-3K-IP65-XL"}</t>
  </si>
  <si>
    <t>TV1004-10W-4K-IP65-XL</t>
  </si>
  <si>
    <t>10W/m | 4000K | 24V | IP65 | 10mm (W) x 4.2mm (H)</t>
  </si>
  <si>
    <t>{"Power Consumption Rate": "10W/m", "Color Temperature": "4000K", "Voltage": "24V", "IP Rating": "IP65", "Dimension": "10mm (W) x 4.2mm (H)", "SKU": "TV1004-10W-4K-IP65-XL"}</t>
  </si>
  <si>
    <t>TV1004-15W-2.2K-IP65-XL</t>
  </si>
  <si>
    <t>15W/m | 2200K | 24V | IP65 | 10mm (W) x 4.2mm (H)</t>
  </si>
  <si>
    <t>{"Power Consumption Rate": "15W/m", "Color Temperature": "2200K", "Voltage": "24V", "IP Rating": "IP65", "Dimension": "10mm (W) x 4.2mm (H)", "SKU": "TV1004-15W-2.2K-IP65-XL"}</t>
  </si>
  <si>
    <t>TV1004-15W-2.7K-IP65-XL</t>
  </si>
  <si>
    <t>15W/m | 2700K | 24V | IP65 | 10mm (W) x 4.2mm (H)</t>
  </si>
  <si>
    <t>{"Power Consumption Rate": "15W/m", "Color Temperature": "2700K", "Voltage": "24V", "IP Rating": "IP65", "Dimension": "10mm (W) x 4.2mm (H)", "SKU": "TV1004-15W-2.7K-IP65-XL"}</t>
  </si>
  <si>
    <t>TV1004-15W-3K-IP65-XL</t>
  </si>
  <si>
    <t>15W/m | 3000K | 24V | IP65 | 10mm (W) x 4.2mm (H)</t>
  </si>
  <si>
    <t>{"Power Consumption Rate": "15W/m", "Color Temperature": "3000K", "Voltage": "24V", "IP Rating": "IP65", "Dimension": "10mm (W) x 4.2mm (H)", "SKU": "TV1004-15W-3K-IP65-XL"}</t>
  </si>
  <si>
    <t>TV1004-15W-4K-IP65-XL</t>
  </si>
  <si>
    <t>15W/m | 4000K | 24V | IP65 | 10mm (W) x 4.2mm (H)</t>
  </si>
  <si>
    <t>{"Power Consumption Rate": "15W/m", "Color Temperature": "4000K", "Voltage": "24V", "IP Rating": "IP65", "Dimension": "10mm (W) x 4.2mm (H)", "SKU": "TV1004-15W-4K-IP65-XL"}</t>
  </si>
  <si>
    <t>SV0408-6W-2.4K-IP65-FC</t>
  </si>
  <si>
    <t>Mini Neon Side View</t>
  </si>
  <si>
    <t>Mini Neon</t>
  </si>
  <si>
    <t>Discover the ultimate in design freedom with the Mini Side Bend neon-style light, crafted to bring a sleek, captivating elegance to any environment. Engineered for exceptional side-bending flexibility, this premium linear lighting solution curves seamlessly around intricate architectural contours, allowing you to create fluid, breathtaking visual statements. Its uniform, flawless glow adds a sophisticated ambiance to both interior and exterior spaces, transforming the ordinary into a showcase of luxurious light. Built to deliver reliable radiance and unmatched aesthetic beauty, it is the perfect choice for designers looking to elevate their projects with seamless style and effortless adaptability.</t>
  </si>
  <si>
    <t>Experience ultimate design freedom with the Mini Side Bend. This ultra-flexible linear light curves effortlessly to bring a flawless, captivating glow to any environment.</t>
  </si>
  <si>
    <t>6W/m | 2400K | 24V | IP65 | 4mm (W) x 8mm (H) | Free Cut</t>
  </si>
  <si>
    <t>{"Power Consumption Rate": "6W/m", "Color Temperature": "2400K", "Voltage": "24V", "IP Rating": "IP65", "Dimension": "4mm (W) x 8mm (H)", "Cut Interval": "Free Cut", "SKU": "SV0408-6W-2.4K-IP65-FC"}</t>
  </si>
  <si>
    <t>{
"Power Consumption Rate": "6W/m",
"Color Temperature": [
"2400K",
"2700K",
"3000K",
"4000K"
],
"Voltage": "24V",
"IP Rating": "IP65",
"Dimension": "4mm (W) x 8mm (H)",
"Length": "Max 7000mm (L)",
"Cut Interval": "Free Cut",
"SKU": [
"SV0408-6W-2.4K-IP65-FC",
"SV0408-6W-2.7K-IP65-FC",
"SV0408-6W-3K-IP65-FC",
"SV0408-6W-4K-IP65-FC"
]
}</t>
  </si>
  <si>
    <t>{ "Options": { "Power Consumption Rate": [ {"name": "6W/m", "id": "101"} ], "Color Temperature": [ {"name": "2400K", "id": "102"}, {"name": "2700K", "id": "103"}, {"name": "3000K", "id": "104"}, {"name": "4000K", "id": "105"} ], "Voltage": [ {"name": "24V", "id": "106"} ], "IP Rating": [ {"name": "IP65", "id": "107"} ], "Dimension": [ {"name": "4mm (W) x 8mm (H)", "id": "108"} ], "Cut Interval": [ {"name": "Free Cut", "id": "109"} ] }, "Constraints": {}, "sku_mappings": [ { "sku": "SV0408-6W-2.4K-IP65-FC", "combination": ["101", "102", "106", "107", "108", "109"] }, { "sku": "SV0408-6W-2.7K-IP65-FC", "combination": ["101", "103", "106", "107", "108", "109"] }, { "sku": "SV0408-6W-3K-IP65-FC", "combination": ["101", "104", "106", "107", "108", "109"] }, { "sku": "SV0408-6W-4K-IP65-FC", "combination": ["101", "105", "106", "107", "108", "109"] } ] }</t>
  </si>
  <si>
    <t>ACE 0408S FC WHT</t>
  </si>
  <si>
    <t>Mini Side Bend, Ultra-flexible linear light, Side View neon, Slim architectural lighting, Waterproof LED ribbon, Fluid contour illumination</t>
  </si>
  <si>
    <t>SV0408-6W-2.7K-IP65-FC</t>
  </si>
  <si>
    <t>6W/m | 2700K | 24V | IP65 | 4mm (W) x 8mm (H) | Free Cut</t>
  </si>
  <si>
    <t>{"SKU": "SV0408-6W-2.7K-IP65-FC", "Power Consumption Rate": "6W/m", "Color Temperature": "2700K", "Voltage": "24V", "IP Rating": "IP65", "Dimension": "4mm (W) x 8mm (H)", "Cut Interval": "Free Cut"}</t>
  </si>
  <si>
    <t>SV0408-6W-3K-IP65-FC</t>
  </si>
  <si>
    <t>6W/m | 3000K | 24V | IP65 | 4mm (W) x 8mm (H) | Free Cut</t>
  </si>
  <si>
    <t>{"SKU": "SV0408-6W-3K-IP65-FC", "Power Consumption Rate": "6W/m", "Color Temperature": "3000K", "Voltage": "24V", "IP Rating": "IP65", "Dimension": "4mm (W) x 8mm (H)", "Cut Interval": "Free Cut"}</t>
  </si>
  <si>
    <t>SV0408-6W-4K-IP65-FC</t>
  </si>
  <si>
    <t>6W/m | 4000K | 24V | IP65 | 4mm (W) x 8mm (H) | Free Cut</t>
  </si>
  <si>
    <t>{"SKU": "SV0408-6W-4K-IP65-FC", "Power Consumption Rate": "6W/m", "Color Temperature": "4000K", "Voltage": "24V", "IP Rating": "IP65", "Dimension": "4mm (W) x 8mm (H)", "Cut Interval": "Free Cut"}</t>
  </si>
  <si>
    <t>SV0606-6W-2.7K-IP65-FC</t>
  </si>
  <si>
    <t>Discover the ultimate in discreet elegance with the Mini (6mm x 6mm), a remarkably compact linear lighting solution designed to bring subtle sophistication and seamless radiance to any space. Crafted for extraordinary flexibility and an ultra-minimal profile, this sleek neon-style light curves effortlessly to accent intricate design details and create captivating visual effects. Perfect for adding a luxurious atmosphere to modern retail interiors, high-end lounges, or intimate architectural spaces, its smooth, uniform glow transforms the ordinary into the extraordinary. Embrace a new standard of design freedom with a flawless illumination that blends perfectly into your vision while delivering an unmatched aesthetic impact.</t>
  </si>
  <si>
    <t>Bring subtle sophistication to any space with the Mini, an ultra-compact linear light designed to deliver a flawless, uniform glow and timeless style.</t>
  </si>
  <si>
    <t>6W/m | 2700K | 24V | IP65 | 6mm (W) x 6mm (H) | Free Cut</t>
  </si>
  <si>
    <t>{"SKU": "SV0606-6W-2.7K-IP65-FC", "Power Consumption Rate": "6W/m", "Color Temperature": "2700K", "Voltage": "24V", "IP Rating": "IP65", "Dimension": "6mm (W) x 6mm (H)", "Cut Interval": "Free Cut"}</t>
  </si>
  <si>
    <t>{
"SKU": [
"SV0606-6W-2.7K-IP65-FC",
"SV0606-6W-3K-IP65-FC",
"SV0606-6W-4K-IP65-FC",
"TV0606-6W-2.7K-IP65-FC",
"TV0606-6W-3K-IP65-FC",
"TV0606-6W-4K-IP65-FC"
],
"Power Consumption Rate": "6W/m",
"Color Temperature": [
"2700K",
"3000K",
"4000K"
],
"Voltage": "24V",
"IP Rating": "IP65",
"Dimension": "6mm (W) x 6mm (H)",
"Length": "Max 5,000mm (L)",
"Cut Interval": "Free Cut",
"View": [
"Side View",
"Top View"
]
}</t>
  </si>
  <si>
    <t>{ "Options": { "Power Consumption Rate": [ {"name": "6W/m", "id": "101"} ], "Color Temperature": [ {"name": "2700K", "id": "102"}, {"name": "3000K", "id": "103"}, {"name": "4000K", "id": "104"} ], "Voltage": [ {"name": "24V", "id": "105"} ], "IP Rating": [ {"name": "IP65", "id": "106"} ], "Dimension": [ {"name": "6mm (W) x 6mm (H)", "id": "107"} ], "Cut Interval": [ {"name": "Free Cut", "id": "108"} ] }, "Constraints": {}, "sku_mappings": [ { "sku": "SV0606-6W-2.7K-IP65-FC", "combination": ["101", "102", "105", "106", "107", "108"] }, { "sku": "SV0606-6W-3K-IP65-FC", "combination": ["101", "103", "105", "106", "107", "108"] }, { "sku": "SV0606-6W-4K-IP65-FC", "combination": ["101", "104", "105", "106", "107", "108"] } ] }</t>
  </si>
  <si>
    <t>0606S FC WHT</t>
  </si>
  <si>
    <t>Discreet elegance, Ultra-compact neon, Subtle sophistication, Minimal lighting profile, Flexible contour accent, Architectural detail illumination</t>
  </si>
  <si>
    <t>SV0606-6W-3K-IP65-FC</t>
  </si>
  <si>
    <t>6W/m | 3000K | 24V | IP65 | 6mm (W) x 6mm (H) | Free Cut</t>
  </si>
  <si>
    <t>{"Power Consumption Rate": "6W/m", "Color Temperature": "3000K", "Voltage": "24V", "IP Rating": "IP65", "Dimension": "6mm (W) x 6mm (H)", "Cut Interval": "Free Cut", "SKU": "SV0606-6W-3K-IP65-FC"}</t>
  </si>
  <si>
    <t>SV0606-6W-4K-IP65-FC</t>
  </si>
  <si>
    <t>6W/m | 4000K | 24V | IP65 | 6mm (W) x 6mm (H) | Free Cut</t>
  </si>
  <si>
    <t>{"Power Consumption Rate": "6W/m", "Color Temperature": "4000K", "Voltage": "24V", "IP Rating": "IP65", "Dimension": "6mm (W) x 6mm (H)", "Cut Interval": "Free Cut", "SKU": "SV0606-6W-4K-IP65-FC"}</t>
  </si>
  <si>
    <t>TV0606-6W-2.7K-IP65-FC</t>
  </si>
  <si>
    <t>{"Power Consumption Rate": "6W/m", "Color Temperature": "2700K", "Voltage": "24V", "IP Rating": "IP65", "Dimension": "6mm (W) x 6mm (H)", "Cut Interval": "Free Cut", "SKU": "TV0606-6W-2.7K-IP65-FC"}</t>
  </si>
  <si>
    <t>{
"Options": {
"Power Consumption Rate": [
{"name": "6W/m", "id": "101"}
],
"Color Temperature": [
{"name": "2700K", "id": "102"},
{"name": "3000K", "id": "103"},
{"name": "4000K", "id": "104"}
],
"Voltage": [
{"name": "24V", "id": "105"}
],
"IP Rating": [
{"name": "IP65", "id": "106"}
],
"Dimension": [
{"name": "6mm (W) x 6mm (H)", "id": "107"}
],
"Cut Interval": [
{"name": "Free Cut", "id": "108"}
]
},
"Constraints": {},
"sku_mappings": [
{
"sku": "TV0606-6W-2.7K-IP65-FC",
"combination": ["101", "102", "105", "106", "107", "108"]
},
{
"sku": "TV0606-6W-3K-IP65-FC",
"combination": ["101", "103", "105", "106", "107", "108"]
},
{
"sku": "TV0606-6W-4K-IP65-FC",
"combination": ["101", "104", "105", "106", "107", "108"]
}
]
}</t>
  </si>
  <si>
    <t>0606T FC WHT</t>
  </si>
  <si>
    <t>TV0606-6W-3K-IP65-FC</t>
  </si>
  <si>
    <t>{"Power Consumption Rate": "6W/m", "Color Temperature": "3000K", "Voltage": "24V", "IP Rating": "IP65", "Dimension": "6mm (W) x 6mm (H)", "Cut Interval": "Free Cut", "SKU": "TV0606-6W-3K-IP65-FC"}</t>
  </si>
  <si>
    <t>TV0606-6W-4K-IP65-FC</t>
  </si>
  <si>
    <t>{"Power Consumption Rate": "6W/m", "Color Temperature": "4000K", "Voltage": "24V", "IP Rating": "IP65", "Dimension": "6mm (W) x 6mm (H)", "Cut Interval": "Free Cut", "SKU": "TV0606-6W-4K-IP65-FC"}</t>
  </si>
  <si>
    <t>SV0612-10W-2.2K-IP67-FC</t>
  </si>
  <si>
    <t>Discover the perfect blend of subtle elegance and dynamic versatility with the Mini (6mm x 12mm) Side Bend linear lighting solution. Crafted for designers who refuse to compromise on style, this ultra-sleek, flexible masterpiece effortlessly curves around architectural features to deliver a seamless, captivating glow. Ideal for adding sophisticated ambiance to modern interiors or transforming commercial spaces, its refined, uniform illumination provides an upscale aesthetic that elevates any environment into a work of art.</t>
  </si>
  <si>
    <t>Elevate your space with the ultra-sleek Mini Side Bend, a flexible masterpiece delivering a seamless, captivating glow that turns any environment into a work of art.</t>
  </si>
  <si>
    <t>10W/m | 2200K | 24V | IP67 | 6mm (W) x 12mm (H) | Free Cut</t>
  </si>
  <si>
    <t>{"Power Consumption Rate": "10W/m", "Color Temperature": "2200K", "Voltage": "24V", "IP Rating": "IP67", "Dimension": "6mm (W) x 12mm (H)", "Cut Interval": "Free Cut", "SKU": "SV0612-10W-2.2K-IP67-FC"}</t>
  </si>
  <si>
    <t>{"Power Consumption Rate": ["10W/m", "13W/m"], "Color Temperature": ["2200K", "2700K", "3000K", "4000K", "TW (2700K-5300K)"], "Voltage": "24V", "IP Rating": "IP67", "Dimension": ["6mm (W) x 12mm (H)", "6.8mm (W) x 12mm (H)"], "Cut Interval": "Free Cut", "SKU": ["SV0612-10W-2.2K-IP67-FC", "SV0612-10W-2.7K-IP67-FC", "SV0612-10W-3K-IP67-FC", "SV0612-10W-4K-IP67-FC", "SV0612-13W-TW-IP67"]}</t>
  </si>
  <si>
    <t>{
"Options": {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"Cut Interval": [
{"name": "Free Cut", "id": "112"}
]
},
"Constraints": {
"101": ["107", "111"],
"102": ["103", "104", "105", "106", "110", "112"]
},
"sku_mappings": [
{ "sku": "SV0612-10W-2.2K-IP67-FC", "combination": ["101", "103", "108", "109", "110", "112"] },
{ "sku": "SV0612-10W-2.7K-IP67-FC", "combination": ["101", "104", "108", "109", "110", "112"] },
{ "sku": "SV0612-10W-3K-IP67-FC", "combination": ["101", "105", "108", "109", "110", "112"] },
{ "sku": "SV0612-10W-4K-IP67-FC", "combination": ["101", "106", "108", "109", "110", "112"] },
{ "sku": "SV0612-13W-TW-IP67", "combination": ["102", "107", "108", "109", "111"] }
]
}</t>
  </si>
  <si>
    <t>0612S FC WHT</t>
  </si>
  <si>
    <t>Mini side bend, Ultra-sleek neon, Seamless flexible glow, Free cut linear LED, Precise length lighting, Architectural ambiance neon</t>
  </si>
  <si>
    <t>SV0612-10W-2.7K-IP67-FC</t>
  </si>
  <si>
    <t>10W/m | 2700K | 24V | IP67 | 6mm (W) x 12mm (H) | Free Cut</t>
  </si>
  <si>
    <t>{"Power Consumption Rate": "10W/m", "Color Temperature": "2700K", "Voltage": "24V", "IP Rating": "IP67", "Dimension": "6mm (W) x 12mm (H)", "Cut Interval": "Free Cut", "SKU": "SV0612-10W-2.7K-IP67-FC"}</t>
  </si>
  <si>
    <t>SV0612-10W-3K-IP67-FC</t>
  </si>
  <si>
    <t>10W/m | 3000K | 24V | IP67 | 6mm (W) x 12mm (H) | Free Cut</t>
  </si>
  <si>
    <t>{"Power Consumption Rate": "10W/m", "Color Temperature": "3000K", "Voltage": "24V", "IP Rating": "IP67", "Dimension": "6mm (W) x 12mm (H)", "Cut Interval": "Free Cut", "SKU": "SV0612-10W-3K-IP67-FC"}</t>
  </si>
  <si>
    <t>SV0612-10W-4K-IP67-FC</t>
  </si>
  <si>
    <t>10W/m | 4000K | 24V | IP67 | 6mm (W) x 12mm (H) | Free Cut</t>
  </si>
  <si>
    <t>{"Power Consumption Rate": "10W/m", "Color Temperature": "4000K", "Voltage": "24V", "IP Rating": "IP67", "Dimension": "6mm (W) x 12mm (H)", "Cut Interval": "Free Cut", "SKU": "SV0612-10W-4K-IP67-FC"}</t>
  </si>
  <si>
    <t>SV0612-13W-TW-IP67</t>
  </si>
  <si>
    <t>13W/m | TW (2700K-5300K) | 24V | IP67 | 6.8mm (W) x 12mm (H)</t>
  </si>
  <si>
    <t>{"Power Consumption Rate": "13W/m", "Color Temperature": "TW (2700K-5300K)", "Voltage": "24V", "IP Rating": "IP67", "Dimension": "6.8mm (W) x 12mm (H)", "SKU": "SV0612-13W-TW-IP67"}</t>
  </si>
  <si>
    <t>ACE 0612S TW</t>
  </si>
  <si>
    <t>SV1220-10W-2.7K-IP68</t>
  </si>
  <si>
    <t>Standard Neon</t>
  </si>
  <si>
    <t>Elevate your architectural and landscape designs with the Side View IP68, a premium linear lighting solution crafted to bring captivating elegance and fluid brilliance to any environment. Engineered for extraordinary side-bending flexibility, this luxurious neon-style light curves effortlessly around contours to create stunning visual features and dramatic accents. Perfect for transforming upscale commercial venues, creating sophisticated outdoor atmospheres, or adding a touch of modern luxury to residential spaces, its uniform, flawless glow delivers an unmatched aesthetic impact. Built to withstand the elements while maintaining its pristine radiance, it is the ultimate choice for designers who demand seamless elegance, adaptability, and style.</t>
  </si>
  <si>
    <t>Bring fluid brilliance to any environment with Side View IP68, a premium linear light designed to deliver a flawless, uniform glow that elevates your architectural vision.</t>
  </si>
  <si>
    <t>10W/m | 2700K | 24V | IP68 | 12mm (W) x 20mm (H)</t>
  </si>
  <si>
    <t>{"Power Consumption Rate": "10W/m", "Color Temperature": "2700K", "Voltage": "24V", "IP Rating": "IP68", "Dimension": "12mm (W) x 20mm (H)", "SKU": "SV1220-10W-2.7K-IP68"}</t>
  </si>
  <si>
    <t>{"SKU": ["SV1220-10W-2.7K-IP68", "SV1220-10W-3K-IP68", "SV1220-10W-4K-IP68", "SV1220-10W-5.3K-IP68", "SV1220-17W-RGBW-IP68", "SV1220-13W-RGB-IP68", "SV1220-13W-TW-IP68"], "Power Consumption Rate": ["10W/m", "17W/m", "13W/m"], "Color Temperature": ["2700K", "3000K", "4000K", "5300K", "RGBW (3000K)", "RGB", "TW (2700K-5300K)"], "Voltage": "24V", "IP Rating": "IP68", "Dimension": "12mm (W) x 20mm (H)"}</t>
  </si>
  <si>
    <t>{ "Options": { "Power Consumption Rate": [ {"name": "10W/m", "id": "101"}, {"name": "17W/m", "id": "102"}, {"name": "13W/m", "id": "103"} ], "Color Temperature": [ {"name": "2700K", "id": "104"}, {"name": "3000K", "id": "105"}, {"name": "4000K", "id": "106"}, {"name": "5300K", "id": "107"}, {"name": "RGBW (3000K)", "id": "108"}, {"name": "RGB", "id": "109"}, {"name": "TW (2700K-5300K)", "id": "110"} ], "Voltage": [ {"name": "24V", "id": "111"} ], "IP Rating": [ {"name": "IP68", "id": "112"} ], "Dimension": [ {"name": "12mm (W) x 20mm (H)", "id": "113"} ] }, "Constraints": { "101": ["108", "109", "110"], "102": ["104", "105", "106", "107", "109", "110"], "103": ["104", "105", "106", "107", "108"] }, "sku_mappings": [ { "sku": "SV1220-10W-2.7K-IP68", "combination": ["101", "104", "111", "112", "113"] }, { "sku": "SV1220-10W-3K-IP68", "combination": ["101", "105", "111", "112", "113"] }, { "sku": "SV1220-10W-4K-IP68", "combination": ["101", "106", "111", "112", "113"] }, { "sku": "SV1220-10W-5.3K-IP68", "combination": ["101", "107", "111", "112", "113"] }, { "sku": "SV1220-17W-RGBW-IP68", "combination": ["102", "108", "111", "112", "113"] }, { "sku": "SV1220-13W-RGB-IP68", "combination": ["103", "109", "111", "112", "113"] }, { "sku": "SV1220-13W-TW-IP68", "combination": ["103", "110", "111", "112", "113"] } ] }</t>
  </si>
  <si>
    <t>ACE 1220S WHT</t>
  </si>
  <si>
    <t>Side view neon, Flexible linear LED, Architectural accent lighting, Landscape contour light, Waterproof light ribbon, Premium commercial lighting</t>
  </si>
  <si>
    <t>SV1220-10W-3K-IP68</t>
  </si>
  <si>
    <t>10W/m | 3000K | 24V | IP68 | 12mm (W) x 20mm (H)</t>
  </si>
  <si>
    <t>{"SKU": "SV1220-10W-3K-IP68", "Power Consumption Rate": "10W/m", "Color Temperature": "3000K", "Voltage": "24V", "IP Rating": "IP68", "Dimension": "12mm (W) x 20mm (H)"}</t>
  </si>
  <si>
    <t>SV1220-10W-4K-IP68</t>
  </si>
  <si>
    <t>10W/m | 4000K | 24V | IP68 | 12mm (W) x 20mm (H)</t>
  </si>
  <si>
    <t>{"SKU": "SV1220-10W-4K-IP68", "Power Consumption Rate": "10W/m", "Color Temperature": "4000K", "Voltage": "24V", "IP Rating": "IP68", "Dimension": "12mm (W) x 20mm (H)"}</t>
  </si>
  <si>
    <t>SV1220-10W-5.3K-IP68</t>
  </si>
  <si>
    <t>10W/m | 5300K | 24V | IP68 | 12mm (W) x 20mm (H)</t>
  </si>
  <si>
    <t>{"Power Consumption Rate": "10W/m", "Color Temperature": "5300K", "Voltage": "24V", "IP Rating": "IP68", "Dimension": "12mm (W) x 20mm (H)", "SKU": "SV1220-10W-5.3K-IP68"}</t>
  </si>
  <si>
    <t>SV1220-17W-RGBW-IP68</t>
  </si>
  <si>
    <t>17W/m | RGBW (3000K) | 24V | IP68 | 12mm (W) x 20mm (H)</t>
  </si>
  <si>
    <t>{"Power Consumption Rate": "17W/m", "Color Temperature": "RGBW (3000K)", "Voltage": "24V", "IP Rating": "IP68", "Dimension": "12mm (W) x 20mm (H)", "SKU": "SV1220-17W-RGBW-IP68"}</t>
  </si>
  <si>
    <t>ACE 1220S RGBW</t>
  </si>
  <si>
    <t>SV1220-13W-RGB-IP68</t>
  </si>
  <si>
    <t>13W/m | RGB | 24V | IP68 | 12mm (W) x 20mm (H)</t>
  </si>
  <si>
    <t>{"SKU": "SV1220-13W-RGB-IP68", "Power Consumption Rate": "13W/m", "Color Temperature": "RGB", "Voltage": "24V", "IP Rating": "IP68", "Dimension": "12mm (W) x 20mm (H)"}</t>
  </si>
  <si>
    <t>ACE 1220S RGB</t>
  </si>
  <si>
    <t>SV1220-13W-TW-IP68</t>
  </si>
  <si>
    <t>13W/m | TW (2700K-5300K) | 24V | IP68 | 12mm (W) x 20mm (H)</t>
  </si>
  <si>
    <t>{"Power Consumption Rate": "13W/m", "Color Temperature": "TW (2700K-5300K)", "Voltage": "24V", "IP Rating": "IP68", "Dimension": "12mm (W) x 20mm (H)", "SKU": "SV1220-13W-TW-IP68"}</t>
  </si>
  <si>
    <t>ACE 1220S TW</t>
  </si>
  <si>
    <t>SV1220-15W-RGBW-IP68-DMX</t>
  </si>
  <si>
    <t>Elevate your architectural and landscape designs with the Side Bend,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Whether you are transforming a high-end commercial venue or adding a sophisticated atmosphere to an outdoor landscape, its pristine, uniform glow delivers unmatched aesthetic elegance. Built to withstand demanding environments while maintaining its flawless brilliance, it is the ultimate choice for designers who refuse to compromise on beauty, adaptability, and style.</t>
  </si>
  <si>
    <t>Bring fluid brilliance to any space with Side Bend, curving effortlessly to deliver a flawless, uniform glow that elevates your architectural vision.</t>
  </si>
  <si>
    <t>15W/m | RGBW (3000K) | 24V | IP68 | 12mm (W) x 20mm (H) | DMX | 12 Pixels/m</t>
  </si>
  <si>
    <t>Power Consumption Rate | Color Temperature | Voltage | IP Rating | Dimension | Control Protocol | Pixel</t>
  </si>
  <si>
    <t>{"Power Consumption Rate": "15W/m", "Color Temperature": "RGBW (3000K)", "Voltage": "24V", "IP Rating": "IP68", "Dimension": "12mm (W) x 20mm (H)", "Control Protocol": "DMX", "Pixel": "12 Pixels/m", "SKU": "SV1220-15W-RGBW-IP68-DMX"}</t>
  </si>
  <si>
    <t>{"Power Consumption Rate": ["15W/m", "22W/m", "16W/m"], "Color Temperature": ["RGBW (3000K)", "RGB"], "Voltage": "24V", "IP Rating": "IP68", "Dimension": "12mm (W) x 20mm (H)", "Control Protocol": ["DMX", "SPI"], "Pixel": "12 Pixels/m", "SKU": ["SV1220-15W-RGBW-IP68-DMX", "SV1220-15W-RGB-IP68-DMX", "SV1220-22W-RGBW-IP68-SPI", "SV1220-16W-RGB-IP68-SPI"]}</t>
  </si>
  <si>
    <t>{ "Options": { "Power Consumption Rate": [ {"name": "15W/m", "id": "101"}, {"name": "22W/m", "id": "102"}, {"name": "16W/m", "id": "103"} ], "Color Temperature": [ {"name": "RGBW (3000K)", "id": "104"}, {"name": "RGB", "id": "105"} ], "Voltage": [ {"name": "24V", "id": "106"} ], "IP Rating": [ {"name": "IP68", "id": "107"} ], "Dimension": [ {"name": "12mm (W) x 20mm (H)", "id": "108"} ], "Control Protocol": [ {"name": "DMX", "id": "109"}, {"name": "SPI", "id": "110"} ], "Pixel": [ {"name": "12 Pixels/m", "id": "111"} ] }, "Constraints": { "101": ["110"], "102": ["105", "109"], "103": ["104", "109"], "109": ["102", "103"], "110": ["101"] }, "sku_mappings": [ { "sku": "SV1220-15W-RGBW-IP68-DMX", "combination": ["101", "104", "106", "107", "108", "109", "111"] }, { "sku": "SV1220-15W-RGB-IP68-DMX", "combination": ["101", "105", "106", "107", "108", "109", "111"] }, { "sku": "SV1220-22W-RGBW-IP68-SPI", "combination": ["102", "104", "106", "107", "108", "110", "111"] }, { "sku": "SV1220-16W-RGB-IP68-SPI", "combination": ["103", "105", "106", "107", "108", "110", "111"] } ] }</t>
  </si>
  <si>
    <t>ACE 1220S DMX RGBW</t>
  </si>
  <si>
    <t>SV1220-15W-RGB-IP68-DMX</t>
  </si>
  <si>
    <t>15W/m | RGB | 24V | IP68 | 12mm (W) x 20mm (H) | DMX | 12 Pixels/m</t>
  </si>
  <si>
    <t>{"Power Consumption Rate": "15W/m", "Color Temperature": "RGB", "Voltage": "24V", "IP Rating": "IP68", "Dimension": "12mm (W) x 20mm (H)", "Control Protocol": "DMX", "Pixel": "12 Pixels/m", "SKU": "SV1220-15W-RGB-IP68-DMX"}</t>
  </si>
  <si>
    <t>ACE 1220S DMX RGB</t>
  </si>
  <si>
    <t>SV1220-22W-RGBW-IP68-SPI</t>
  </si>
  <si>
    <t>22W/m | RGBW (3000K) | 24V | IP68 | 12mm (W) x 20mm (H) | SPI | 12 Pixels/m</t>
  </si>
  <si>
    <t>{"Power Consumption Rate": "22W/m", "Color Temperature": "RGBW (3000K)", "Voltage": "24V", "IP Rating": "IP68", "Dimension": "12mm (W) x 20mm (H)", "Control Protocol": "SPI", "Pixel": "12 Pixels/m", "SKU": "SV1220-22W-RGBW-IP68-SPI"}</t>
  </si>
  <si>
    <t>ACE 1220S SPI RGBW</t>
  </si>
  <si>
    <t>SV1220-16W-RGB-IP68-SPI</t>
  </si>
  <si>
    <t>16W/m | RGB | 24V | IP68 | 12mm (W) x 20mm (H) | SPI | 12 Pixels/m</t>
  </si>
  <si>
    <t>{"Power Consumption Rate": "16W/m", "Color Temperature": "RGB", "Voltage": "24V", "IP Rating": "IP68", "Dimension": "12mm (W) x 20mm (H)", "Control Protocol": "SPI", "Pixel": "12 Pixels/m", "SKU": "SV1220-16W-RGB-IP68-SPI"}</t>
  </si>
  <si>
    <t>ACE 1220S SPI RGB</t>
  </si>
  <si>
    <t>TV1010-12W-TW-IP68-270</t>
  </si>
  <si>
    <t>Three-sided Emitting Mini Neon Top View</t>
  </si>
  <si>
    <t>Three Sided Emitting Neon</t>
  </si>
  <si>
    <t>Experience the ultimate in design versatility with the Three-sided Emitting Mini Neon, a revolutionary linear lighting choice crafted to redefine modern luxury. Engineered to radiate a brilliant, uniform glow from three distinct sides, this remarkable neon-style masterpiece wraps any environment in a seamless blanket of sophisticated light. Its highly flexible profile effortlessly contours around architectural features, making it the perfect choice for designers looking to elevate spaces with dramatic ambiance and striking visual impact. Elevate your next project with an unmatched aesthetic elegance that blends artistic freedom with flawless illumination.</t>
  </si>
  <si>
    <t>Wrap your space in pure luxury with the Three-sided Emitting Mini Neon, radiating a stunning, uniform glow from three sides for ultimate design freedom.</t>
  </si>
  <si>
    <t>12W/m | TW (2700K-5300K) | 24V | IP68 | 10mm (W) x 10mm (H)</t>
  </si>
  <si>
    <t>{"Power Consumption Rate": "12W/m", "Color Temperature": "TW (2700K-5300K)", "Voltage": "24V", "IP Rating": "IP68", "Dimension": "10mm (W) x 10mm (H)", "SKU": "TV1010-12W-TW-IP68-270"}</t>
  </si>
  <si>
    <t>{"Power Consumption Rate": ["12W/m", "11W/m"], "Color Temperature": ["TW (2700K-5300K)", "2200K", "2700K", "3000K", "4000K"], "Voltage": "24V", "IP Rating": "IP68", "Dimension": "10mm (W) x 10mm (H)", "SKU": ["TV1010-12W-TW-IP68-270", "TV1010-11W-2.2K-IP68-270", "TV1010-11W-2.7K-IP68-270", "TV1010-11W-3K-IP68-270", "TV1010-11W-4K-IP68-270"]}</t>
  </si>
  <si>
    <t>{ "Options": { "Power Consumption Rate": [ {"name": "12W/m", "id": "101"}, {"name": "11W/m", "id": "102"} ], "Color Temperature": [ {"name": "TW (2700K-5300K)", "id": "103"}, {"name": "2200K", "id": "104"}, {"name": "2700K", "id": "105"}, {"name": "3000K", "id": "106"}, {"name": "4000K", "id": "107"} ], "Voltage": [ {"name": "24V", "id": "108"} ], "IP Rating": [ {"name": "IP68", "id": "109"} ], "Dimension": [ {"name": "10mm (W) x 10mm (H)", "id": "110"} ] }, "Constraints": { "101": ["104", "105", "106", "107"], "102": ["103"] }, "sku_mappings": [ { "sku": "TV1010-12W-TW-IP68-270", "combination": ["101", "103", "108", "109", "110"] }, { "sku": "TV1010-11W-2.2K-IP68-270", "combination": ["102", "104", "108", "109", "110"] }, { "sku": "TV1010-11W-2.7K-IP68-270", "combination": ["102", "105", "108", "109", "110"] }, { "sku": "TV1010-11W-3K-IP68-270", "combination": ["102", "106", "108", "109", "110"] }, { "sku": "TV1010-11W-4K-IP68-270", "combination": ["102", "107", "108", "109", "110"] } ] }</t>
  </si>
  <si>
    <t>ACE 1010YT TW</t>
  </si>
  <si>
    <t>Three-sided emitting neon, Mini neon strip, Flexible contour light, Top View LED, Uniform glow ribbon, Luxury linear illumination</t>
  </si>
  <si>
    <t>TV1010-11W-2.2K-IP68-270</t>
  </si>
  <si>
    <t>11W/m | 2200K | 24V | IP68 | 10mm (W) x 10mm (H)</t>
  </si>
  <si>
    <t>{"Power Consumption Rate": "11W/m", "Color Temperature": "2200K", "Voltage": "24V", "IP Rating": "IP68", "Dimension": "10mm (W) x 10mm (H)", "SKU": "TV1010-11W-2.2K-IP68-270"}</t>
  </si>
  <si>
    <t>ACE 1010YT WHT</t>
  </si>
  <si>
    <t>TV1010-11W-2.7K-IP68-270</t>
  </si>
  <si>
    <t>11W/m | 2700K | 24V | IP68 | 10mm (W) x 10mm (H)</t>
  </si>
  <si>
    <t>{"Power Consumption Rate": "11W/m", "Color Temperature": "2700K", "Voltage": "24V", "IP Rating": "IP68", "Dimension": "10mm (W) x 10mm (H)", "SKU": "TV1010-11W-2.7K-IP68-270"}</t>
  </si>
  <si>
    <t>TV1010-11W-3K-IP68-270</t>
  </si>
  <si>
    <t>11W/m | 3000K | 24V | IP68 | 10mm (W) x 10mm (H)</t>
  </si>
  <si>
    <t>{"Power Consumption Rate": "11W/m", "Color Temperature": "3000K", "Voltage": "24V", "IP Rating": "IP68", "Dimension": "10mm (W) x 10mm (H)", "SKU": "TV1010-11W-3K-IP68-270"}</t>
  </si>
  <si>
    <t>TV1010-11W-4K-IP68-270</t>
  </si>
  <si>
    <t>11W/m | 4000K | 24V | IP68 | 10mm (W) x 10mm (H)</t>
  </si>
  <si>
    <t>{"Power Consumption Rate": "11W/m", "Color Temperature": "4000K", "Voltage": "24V", "IP Rating": "IP68", "Dimension": "10mm (W) x 10mm (H)", "SKU": "TV1010-11W-4K-IP68-270"}</t>
  </si>
  <si>
    <t>SV1617-6W-1.6K-IP68-Sauna</t>
  </si>
  <si>
    <t>Neon Side View Sauna</t>
  </si>
  <si>
    <t>Sauna Neon</t>
  </si>
  <si>
    <t>Step into a sanctuary of pure relaxation and elevated luxury with the Side View IP68 Sauna, a premium linear lighting solution crafted to transform wellness spaces into serene havens. Designed to wrap seamlessly around structural curves, this elegant accent light bathes your environment in a smooth, uniform glow that enhances tranquility and soothes the senses. Perfect for creating a high-end spa atmosphere, it brings a touch of sophisticated radiance and comforting warmth, inviting you to completely unwind and escape from the everyday world.</t>
  </si>
  <si>
    <t>Transform your wellness space into a luxurious haven with Side View Sauna, offering a comforting, uniform glow that invites pure relaxation and elegant tranquility.</t>
  </si>
  <si>
    <t>6W/m | 1600K | 24V | IP68 | 16mm (W) x 17mm (H)</t>
  </si>
  <si>
    <t>{"Power Consumption Rate": "6W/m", "Color Temperature": "1600K", "Voltage": "24V", "IP Rating": "IP68", "Dimension": "16mm (W) x 17mm (H)", "SKU": "SV1617-6W-1.6K-IP68-Sauna"}</t>
  </si>
  <si>
    <t>{"Power Consumption Rate": "6W/m", "Color Temperature": ["1600K", "2200K", "2700K", "3000K", "4000K", "5300K", "TW (2700K-5300K)"], "Voltage": "24V", "IP Rating": "IP68", "Dimension": "16mm (W) x 17mm (H)", "SKU": ["SV1617-6W-1.6K-IP68-Sauna", "SV1617-6W-2.2K-IP68-Sauna", "SV1617-6W-2.7K-IP68-Sauna", "SV1617-6W-3K-IP68-Sauna", "SV1617-6W-4K-IP68-Sauna", "SV1617-6W-5.3K-IP68-Sauna", "SV1617-6W-TW-IP68-Sauna"]}</t>
  </si>
  <si>
    <t>{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 "Constraints": {}, "sku_mappings": [ { "sku": "SV1617-6W-1.6K-IP68-Sauna", "combination": ["101", "102", "109", "110", "111"] }, { "sku": "SV1617-6W-2.2K-IP68-Sauna", "combination": ["101", "103", "109", "110", "111"] }, { "sku": "SV1617-6W-2.7K-IP68-Sauna", "combination": ["101", "104", "109", "110", "111"] }, { "sku": "SV1617-6W-3K-IP68-Sauna", "combination": ["101", "105", "109", "110", "111"] }, { "sku": "SV1617-6W-4K-IP68-Sauna", "combination": ["101", "106", "109", "110", "111"] }, { "sku": "SV1617-6W-5.3K-IP68-Sauna", "combination": ["101", "107", "109", "110", "111"] }, { "sku": "SV1617-6W-TW-IP68-Sauna", "combination": ["101", "108", "109", "110", "111"] } ] }</t>
  </si>
  <si>
    <t>SAUNA 1617S</t>
  </si>
  <si>
    <t>Sauna lighting, Spa linear LED, Side View neon, Waterproof light ribbon, Wellness space accent, Flexible contour illumination</t>
  </si>
  <si>
    <t>SV1617-6W-2.2K-IP68-Sauna</t>
  </si>
  <si>
    <t>6W/m | 2200K | 24V | IP68 | 16mm (W) x 17mm (H)</t>
  </si>
  <si>
    <t>{"Power Consumption Rate": "6W/m", "Color Temperature": "2200K", "Voltage": "24V", "IP Rating": "IP68", "Dimension": "16mm (W) x 17mm (H)", "SKU": "SV1617-6W-2.2K-IP68-Sauna"}</t>
  </si>
  <si>
    <t>SV1617-6W-2.7K-IP68-Sauna</t>
  </si>
  <si>
    <t>6W/m | 2700K | 24V | IP68 | 16mm (W) x 17mm (H)</t>
  </si>
  <si>
    <t>{"Power Consumption Rate": "6W/m", "Color Temperature": "2700K", "Voltage": "24V", "IP Rating": "IP68", "Dimension": "16mm (W) x 17mm (H)", "SKU": "SV1617-6W-2.7K-IP68-Sauna"}</t>
  </si>
  <si>
    <t>SV1617-6W-3K-IP68-Sauna</t>
  </si>
  <si>
    <t>6W/m | 3000K | 24V | IP68 | 16mm (W) x 17mm (H)</t>
  </si>
  <si>
    <t>{"Power Consumption Rate": "6W/m", "Color Temperature": "3000K", "Voltage": "24V", "IP Rating": "IP68", "Dimension": "16mm (W) x 17mm (H)", "SKU": "SV1617-6W-3K-IP68-Sauna"}</t>
  </si>
  <si>
    <t>SV1617-6W-4K-IP68-Sauna</t>
  </si>
  <si>
    <t>6W/m | 4000K | 24V | IP68 | 16mm (W) x 17mm (H)</t>
  </si>
  <si>
    <t>{"Power Consumption Rate": "6W/m", "Color Temperature": "4000K", "Voltage": "24V", "IP Rating": "IP68", "Dimension": "16mm (W) x 17mm (H)", "SKU": "SV1617-6W-4K-IP68-Sauna"}</t>
  </si>
  <si>
    <t>SV1617-6W-5.3K-IP68-Sauna</t>
  </si>
  <si>
    <t>6W/m | 5300K | 24V | IP68 | 16mm (W) x 17mm (H)</t>
  </si>
  <si>
    <t>{"Power Consumption Rate": "6W/m", "Color Temperature": "5300K", "Voltage": "24V", "IP Rating": "IP68", "Dimension": "16mm (W) x 17mm (H)", "SKU": "SV1617-6W-5.3K-IP68-Sauna"}</t>
  </si>
  <si>
    <t>SV1617-6W-TW-IP68-Sauna</t>
  </si>
  <si>
    <t>6W/m | TW (2700K-5300K) | 24V | IP68 | 16mm (W) x 17mm (H)</t>
  </si>
  <si>
    <t>{"SKU": "SV1617-6W-TW-IP68-Sauna", "Power Consumption Rate": "6W/m", "Color Temperature": "TW (2700K-5300K)", "Voltage": "24V", "IP Rating": "IP68", "Dimension": "16mm (W) x 17mm (H)"}</t>
  </si>
  <si>
    <t>TV1617-10W-2.2K-IP68-HC-BLK</t>
  </si>
  <si>
    <t>Honeycomb Neon</t>
  </si>
  <si>
    <t>Elevate your architectural designs with the Top View IP68 Honeycomb, a sophisticated linear lighting solution crafted to deliver seamless radiance and ultimate visual comfort. Featuring a dramatic black finish that blends beautifully with modern aesthetics, this top-bending masterpiece gracefully follows elegant contours while its innovative anti-glare technology ensures a soft, flawless glow. Perfect for luxury commercial venues, minimalist interiors, or high-end landscape designs, it brings an atmosphere of pure mystery and contemporary elegance to any environment, making it the ultimate selection for designers who demand breathtaking impact without compromising on comfort.</t>
  </si>
  <si>
    <t>Elevate your designs with Top View Honeycomb, blending seamless radiance and sleek contemporary elegance to bring ultimate visual luxury and mystery to any modern space.</t>
  </si>
  <si>
    <t>10W/m | 2200K | 24V | IP68 | 16mm (W) x 17mm (H) | Honeycomb Anti Glare Louvre | Black</t>
  </si>
  <si>
    <t>Power Consumption Rate | Color Temperature | Voltage | IP Rating | Dimension | Glare Control | Finish</t>
  </si>
  <si>
    <t>{"SKU": "TV1617-10W-2.2K-IP68-HC-BLK", "Power Consumption Rate": "10W/m", "Color Temperature": "2200K", "Voltage": "24V", "IP Rating": "IP68", "Dimension": "16mm (W) x 17mm (H)", "Glare Control": "Honeycomb Anti Glare Louvre", "Finish": "Black"}</t>
  </si>
  <si>
    <t>{"SKU": ["TV1617-10W-2.2K-IP68-HC-BLK", "TV1617-10W-2.7K-IP68-HC-BLK", "TV1617-10W-3K-IP68-HC-BLK", "TV1617-10W-4K-IP68-HC-BLK", "TV1617-15W-2.2K-IP68-HC-BLK", "TV1617-15W-2.7K-IP68-HC-BLK", "TV1617-15W-3K-IP68-HC-BLK", "TV1617-15W-4K-IP68-HC-BLK", "TV1617-13W-TW-IP68-HC-BLK", "TV1617-10W-2.2K-IP68-HC", "TV1617-10W-2.7K-IP68-HC", "TV1617-10W-3K-IP68-HC", "TV1617-10W-4K-IP68-HC", "TV1617-15W-2.2K-IP68-HC", "TV1617-15W-2.7K-IP68-HC", "TV1617-15W-3K-IP68-HC", "TV1617-15W-4K-IP68-HC", "TV1617-13W-TW-IP68-HC"], "Power Consumption Rate": ["10W/m", "15W/m", "13W/m"], "Color Temperature": ["2200K", "2700K", "3000K", "4000K", "TW (2700K-5300K)"], "Voltage": "24V", "IP Rating": "IP68", "Dimension": "16mm (W) x 17mm (H)", "Glare Control": "Honeycomb Anti Glare Louvre", "Finish": "Black"}</t>
  </si>
  <si>
    <t>{
"Options": {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"Glare Control": [
{"name": "Honeycomb Anti Glare Louvre", "id": "112"}
],
"Finish": [
{"name": "Black", "id": "113"}
]
},
"Constraints": {
"101": ["108"],
"102": ["108"],
"103": ["104", "105", "106", "107"]
},
"sku_mappings": [
{"sku": "TV1617-10W-2.2K-IP68-HC-BLK", "combination": ["101", "104", "109", "110", "111", "112", "113"]},
{"sku": "TV1617-10W-2.7K-IP68-HC-BLK", "combination": ["101", "105", "109", "110", "111", "112", "113"]},
{"sku": "TV1617-10W-3K-IP68-HC-BLK", "combination": ["101", "106", "109", "110", "111", "112", "113"]},
{"sku": "TV1617-10W-4K-IP68-HC-BLK", "combination": ["101", "107", "109", "110", "111", "112", "113"]},
{"sku": "TV1617-15W-2.2K-IP68-HC-BLK", "combination": ["102", "104", "109", "110", "111", "112", "113"]},
{"sku": "TV1617-15W-2.7K-IP68-HC-BLK", "combination": ["102", "105", "109", "110", "111", "112", "113"]},
{"sku": "TV1617-15W-3K-IP68-HC-BLK", "combination": ["102", "106", "109", "110", "111", "112", "113"]},
{"sku": "TV1617-15W-4K-IP68-HC-BLK", "combination": ["102", "107", "109", "110", "111", "112", "113"]},
{"sku": "TV1617-13W-TW-IP68-HC-BLK", "combination": ["103", "108", "109", "110", "111", "112", "113"]},
{"sku": "TV1617-10W-2.2K-IP68-HC", "combination": ["101", "104", "109", "110", "111", "112"]},
{"sku": "TV1617-10W-2.7K-IP68-HC", "combination": ["101", "105", "109", "110", "111", "112"]},
{"sku": "TV1617-10W-3K-IP68-HC", "combination": ["101", "106", "109", "110", "111", "112"]},
{"sku": "TV1617-10W-4K-IP68-HC", "combination": ["101", "107", "109", "110", "111", "112"]},
{"sku": "TV1617-15W-2.2K-IP68-HC", "combination": ["102", "104", "109", "110", "111", "112"]},
{"sku": "TV1617-15W-2.7K-IP68-HC", "combination": ["102", "105", "109", "110", "111", "112"]},
{"sku": "TV1617-15W-3K-IP68-HC", "combination": ["102", "106", "109", "110", "111", "112"]},
{"sku": "TV1617-15W-4K-IP68-HC", "combination": ["102", "107", "109", "110", "111", "112"]},
{"sku": "TV1617-13W-TW-IP68-HC", "combination": ["103", "108", "109", "110", "111", "112"]}
]
}</t>
  </si>
  <si>
    <t>AG 1617T BLACK</t>
  </si>
  <si>
    <t>Top View Honeycomb, Anti-glare linear lighting, Waterproof light ribbon, Flexible black contour illumination, Luxury architectural LED, Premium commercial light</t>
  </si>
  <si>
    <t>TV1617-10W-2.7K-IP68-HC-BLK</t>
  </si>
  <si>
    <t>10W/m | 2700K | 24V | IP68 | 16mm (W) x 17mm (H) | Honeycomb Anti Glare Louvre | Black</t>
  </si>
  <si>
    <t>{"Power Consumption Rate": "10W/m", "Color Temperature": "2700K", "Voltage": "24V", "IP Rating": "IP68", "Dimension": "16mm (W) x 17mm (H)", "Glare Control": "Honeycomb Anti Glare Louvre", "Finish": "Black", "SKU": "TV1617-10W-2.7K-IP68-HC-BLK"}</t>
  </si>
  <si>
    <t>TV1617-10W-3K-IP68-HC-BLK</t>
  </si>
  <si>
    <t>10W/m | 3000K | 24V | IP68 | 16mm (W) x 17mm (H) | Honeycomb Anti Glare Louvre | Black</t>
  </si>
  <si>
    <t>{"Power Consumption Rate": "10W/m", "Color Temperature": "3000K", "Voltage": "24V", "IP Rating": "IP68", "Dimension": "16mm (W) x 17mm (H)", "Glare Control": "Honeycomb Anti Glare Louvre", "Finish": "Black", "SKU": "TV1617-10W-3K-IP68-HC-BLK"}</t>
  </si>
  <si>
    <t>TV1617-10W-4K-IP68-HC-BLK</t>
  </si>
  <si>
    <t>10W/m | 4000K | 24V | IP68 | 16mm (W) x 17mm (H) | Honeycomb Anti Glare Louvre | Black</t>
  </si>
  <si>
    <t>{"Power Consumption Rate": "10W/m", "Color Temperature": "4000K", "Voltage": "24V", "IP Rating": "IP68", "Dimension": "16mm (W) x 17mm (H)", "Glare Control": "Honeycomb Anti Glare Louvre", "Finish": "Black", "SKU": "TV1617-10W-4K-IP68-HC-BLK"}</t>
  </si>
  <si>
    <t>TV1617-15W-2.2K-IP68-HC-BLK</t>
  </si>
  <si>
    <t>15W/m | 2200K | 24V | IP68 | 16mm (W) x 17mm (H) | Honeycomb Anti Glare Louvre | Black</t>
  </si>
  <si>
    <t>{"Power Consumption Rate": "15W/m", "Color Temperature": "2200K", "Voltage": "24V", "IP Rating": "IP68", "Dimension": "16mm (W) x 17mm (H)", "Glare Control": "Honeycomb Anti Glare Louvre", "Finish": "Black", "SKU": "TV1617-15W-2.2K-IP68-HC-BLK"}</t>
  </si>
  <si>
    <t>TV1617-15W-2.7K-IP68-HC-BLK</t>
  </si>
  <si>
    <t>15W/m | 2700K | 24V | IP68 | 16mm (W) x 17mm (H) | Honeycomb Anti Glare Louvre | Black</t>
  </si>
  <si>
    <t>{"Power Consumption Rate": "15W/m", "Color Temperature": "2700K", "Voltage": "24V", "IP Rating": "IP68", "Dimension": "16mm (W) x 17mm (H)", "Glare Control": "Honeycomb Anti Glare Louvre", "Finish": "Black", "SKU": "TV1617-15W-2.7K-IP68-HC-BLK"}</t>
  </si>
  <si>
    <t>TV1617-15W-3K-IP68-HC-BLK</t>
  </si>
  <si>
    <t>15W/m | 3000K | 24V | IP68 | 16mm (W) x 17mm (H) | Honeycomb Anti Glare Louvre | Black</t>
  </si>
  <si>
    <t>{"Power Consumption Rate": "15W/m", "Color Temperature": "3000K", "Voltage": "24V", "IP Rating": "IP68", "Dimension": "16mm (W) x 17mm (H)", "Glare Control": "Honeycomb Anti Glare Louvre", "Finish": "Black", "SKU": "TV1617-15W-3K-IP68-HC-BLK"}</t>
  </si>
  <si>
    <t>TV1617-15W-4K-IP68-HC-BLK</t>
  </si>
  <si>
    <t>15W/m | 4000K | 24V | IP68 | 16mm (W) x 17mm (H) | Honeycomb Anti Glare Louvre | Black</t>
  </si>
  <si>
    <t>{"SKU": "TV1617-15W-4K-IP68-HC-BLK", "Power Consumption Rate": "15W/m", "Color Temperature": "4000K", "Voltage": "24V", "IP Rating": "IP68", "Dimension": "16mm (W) x 17mm (H)", "Glare Control": "Honeycomb Anti Glare Louvre", "Finish": "Black"}</t>
  </si>
  <si>
    <t>TV1617-13W-TW-IP68-HC-BLK</t>
  </si>
  <si>
    <t>13W/m | TW (2700K-5300K) | 24V | IP68 | 16mm (W) x 17mm (H) | Honeycomb Anti Glare Louvre | Black</t>
  </si>
  <si>
    <t>{"Power Consumption Rate": "13W/m", "Color Temperature": "TW (2700K-5300K)", "Voltage": "24V", "IP Rating": "IP68", "Dimension": "16mm (W) x 17mm (H)", "Glare Control": "Honeycomb Anti Glare Louvre", "Finish": "Black", "SKU": "TV1617-13W-TW-IP68-HC-BLK"}</t>
  </si>
  <si>
    <t>TV1617-10W-2.2K-IP68-HC</t>
  </si>
  <si>
    <t>10W/m | 2200K | 24V | IP68 | 16mm (W) x 17mm (H) | Honeycomb Anti Glare Louvre</t>
  </si>
  <si>
    <t>Power Consumption Rate | Color Temperature | Voltage | IP Rating | Dimension | Glare Control</t>
  </si>
  <si>
    <t>{"Power Consumption Rate": "10W/m", "Color Temperature": "2200K", "Voltage": "24V", "IP Rating": "IP68", "Dimension": "16mm (W) x 17mm (H)", "Glare Control": "Honeycomb Anti Glare Louvre", "SKU": "TV1617-10W-2.2K-IP68-HC"}</t>
  </si>
  <si>
    <t>AG 1617T</t>
  </si>
  <si>
    <t>TV1617-10W-2.7K-IP68-HC</t>
  </si>
  <si>
    <t>10W/m | 2700K | 24V | IP68 | 16mm (W) x 17mm (H) | Honeycomb Anti Glare Louvre</t>
  </si>
  <si>
    <t>{"SKU": "TV1617-10W-2.7K-IP68-HC", "Power Consumption Rate": "10W/m", "Color Temperature": "2700K", "Voltage": "24V", "IP Rating": "IP68", "Dimension": "16mm (W) x 17mm (H)", "Glare Control": "Honeycomb Anti Glare Louvre"}</t>
  </si>
  <si>
    <t>TV1617-10W-3K-IP68-HC</t>
  </si>
  <si>
    <t>10W/m | 3000K | 24V | IP68 | 16mm (W) x 17mm (H) | Honeycomb Anti Glare Louvre</t>
  </si>
  <si>
    <t>{"Power Consumption Rate": "10W/m", "Color Temperature": "3000K", "Voltage": "24V", "IP Rating": "IP68", "Dimension": "16mm (W) x 17mm (H)", "Glare Control": "Honeycomb Anti Glare Louvre", "SKU": "TV1617-10W-3K-IP68-HC"}</t>
  </si>
  <si>
    <t>TV1617-10W-4K-IP68-HC</t>
  </si>
  <si>
    <t>10W/m | 4000K | 24V | IP68 | 16mm (W) x 17mm (H) | Honeycomb Anti Glare Louvre</t>
  </si>
  <si>
    <t>{"Power Consumption Rate": "10W/m", "Color Temperature": "4000K", "Voltage": "24V", "IP Rating": "IP68", "Dimension": "16mm (W) x 17mm (H)", "Glare Control": "Honeycomb Anti Glare Louvre", "SKU": "TV1617-10W-4K-IP68-HC"}</t>
  </si>
  <si>
    <t>TV1617-15W-2.2K-IP68-HC</t>
  </si>
  <si>
    <t>15W/m | 2200K | 24V | IP68 | 16mm (W) x 17mm (H) | Honeycomb Anti Glare Louvre</t>
  </si>
  <si>
    <t>{"Power Consumption Rate": "15W/m", "Color Temperature": "2200K", "Voltage": "24V", "IP Rating": "IP68", "Dimension": "16mm (W) x 17mm (H)", "Glare Control": "Honeycomb Anti Glare Louvre", "SKU": "TV1617-15W-2.2K-IP68-HC"}</t>
  </si>
  <si>
    <t>TV1617-15W-2.7K-IP68-HC</t>
  </si>
  <si>
    <t>15W/m | 2700K | 24V | IP68 | 16mm (W) x 17mm (H) | Honeycomb Anti Glare Louvre</t>
  </si>
  <si>
    <t>{"Power Consumption Rate": "15W/m", "Color Temperature": "2700K", "Voltage": "24V", "IP Rating": "IP68", "Dimension": "16mm (W) x 17mm (H)", "Glare Control": "Honeycomb Anti Glare Louvre", "SKU": "TV1617-15W-2.7K-IP68-HC"}</t>
  </si>
  <si>
    <t>TV1617-15W-3K-IP68-HC</t>
  </si>
  <si>
    <t>15W/m | 3000K | 24V | IP68 | 16mm (W) x 17mm (H) | Honeycomb Anti Glare Louvre</t>
  </si>
  <si>
    <t>{"Power Consumption Rate": "15W/m", "Color Temperature": "3000K", "Voltage": "24V", "IP Rating": "IP68", "Dimension": "16mm (W) x 17mm (H)", "Glare Control": "Honeycomb Anti Glare Louvre", "SKU": "TV1617-15W-3K-IP68-HC"}</t>
  </si>
  <si>
    <t>TV1617-15W-4K-IP68-HC</t>
  </si>
  <si>
    <t>15W/m | 4000K | 24V | IP68 | 16mm (W) x 17mm (H) | Honeycomb Anti Glare Louvre</t>
  </si>
  <si>
    <t>{"Power Consumption Rate": "15W/m", "Color Temperature": "4000K", "Voltage": "24V", "IP Rating": "IP68", "Dimension": "16mm (W) x 17mm (H)", "Glare Control": "Honeycomb Anti Glare Louvre", "SKU": "TV1617-15W-4K-IP68-HC"}</t>
  </si>
  <si>
    <t>TV1617-13W-TW-IP68-HC</t>
  </si>
  <si>
    <t>13W/m | TW (2700K-5300K) | 24V | IP68 | 16mm (W) x 17mm (H) | Honeycomb Anti Glare Louvre</t>
  </si>
  <si>
    <t>{"SKU": "TV1617-13W-TW-IP68-HC", "Power Consumption Rate": "13W/m", "Color Temperature": "TW (2700K-5300K)", "Voltage": "24V", "IP Rating": "IP68", "Dimension": "16mm (W) x 17mm (H)", "Glare Control": "Honeycomb Anti Glare Louvre"}</t>
  </si>
  <si>
    <t>SV1617-10W-2.2K-IP68-HC</t>
  </si>
  <si>
    <t>Elevate your architectural designs with the Side View IP68 Honeycomb, a premium linear lighting solution crafted to bring captivating elegance and fluid brilliance to any environment. Engineered with advanced honeycomb anti-glare technology, this luxurious neon-style light delivers a beautifully softened, uniform glow that effortlessly enhances spaces without any harsh glare. Perfectly adapted for seamless side-bending flexibility, it gracefully curves around contours to create stunning visual features, dramatic accents, and a sophisticated atmosphere. Built to withstand demanding elements while maintaining its flawless aesthetic, it represents the ultimate fusion of contemporary style, innovative visual comfort, and breathtaking design freedom.</t>
  </si>
  <si>
    <t>Bring fluid brilliance and glare-free elegance to your design with Side View Honeycomb, offering a beautifully softened glow and ultimate flexibility.</t>
  </si>
  <si>
    <t>{"SKU": "SV1617-10W-2.2K-IP68-HC", "Power Consumption Rate": "10W/m", "Color Temperature": "2200K", "Voltage": "24V", "IP Rating": "IP68", "Dimension": "16mm (W) x 17mm (H)", "Glare Control": "Honeycomb Anti Glare Louvre"}</t>
  </si>
  <si>
    <t>{"SKU": ["SV1617-10W-2.2K-IP68-HC", "SV1617-10W-2.7K-IP68-HC", "SV1617-10W-3K-IP68-HC", "SV1617-10W-4K-IP68-HC", "SV1617-15W-2.2K-IP68-HC", "SV1617-15W-2.7K-IP68-HC", "SV1617-15W-3K-IP68-HC", "SV1617-15W-4K-IP68-HC", "SV1617-13W-TW-IP68-HC"], "Power Consumption Rate": ["10W/m", "15W/m", "13W/m"], "Color Temperature": ["2200K", "2700K", "3000K", "4000K", "TW (2700K-5300K)"], "Voltage": "24V", "IP Rating": "IP68", "Dimension": "16mm (W) x 17mm (H)", "Glare Control": "Honeycomb Anti Glare Louvre"}</t>
  </si>
  <si>
    <t>{
"Options": {
"Power Consumption Rate": [
{"name": "10W/m", "id": "101"},
{"name": "15W/m", "id": "110"},
{"name": "13W/m", "id": "111"}
],
"Color Temperature": [
{"name": "2200K", "id": "102"},
{"name": "2700K", "id": "107"},
{"name": "3000K", "id": "108"},
{"name": "4000K", "id": "109"},
{"name": "TW (2700K-5300K)", "id": "112"}
],
"Voltage": [
{"name": "24V", "id": "103"}
],
"IP Rating": [
{"name": "IP68", "id": "104"}
],
"Dimension": [
{"name": "16mm (W) x 17mm (H)", "id": "105"}
],
"Glare Control": [
{"name": "Honeycomb Anti Glare Louvre", "id": "106"}
]
},
"Constraints": {
"101": ["112"],
"110": ["112"],
"111": ["102", "107", "108", "109"]
},
"sku_mappings": [
{ "sku": "SV1617-10W-2.2K-IP68-HC", "combination": ["101", "102", "103", "104", "105", "106"] },
{ "sku": "SV1617-10W-2.7K-IP68-HC", "combination": ["101", "107", "103", "104", "105", "106"] },
{ "sku": "SV1617-10W-3K-IP68-HC", "combination": ["101", "108", "103", "104", "105", "106"] },
{ "sku": "SV1617-10W-4K-IP68-HC", "combination": ["101", "109", "103", "104", "105", "106"] },
{ "sku": "SV1617-15W-2.2K-IP68-HC", "combination": ["110", "102", "103", "104", "105", "106"] },
{ "sku": "SV1617-15W-2.7K-IP68-HC", "combination": ["110", "107", "103", "104", "105", "106"] },
{ "sku": "SV1617-15W-3K-IP68-HC", "combination": ["110", "108", "103", "104", "105", "106"] },
{ "sku": "SV1617-15W-4K-IP68-HC", "combination": ["110", "109", "103", "104", "105", "106"] },
{ "sku": "SV1617-13W-TW-IP68-HC", "combination": ["111", "112", "103", "104", "105", "106"] }
]
}</t>
  </si>
  <si>
    <t>AG 1617S</t>
  </si>
  <si>
    <t>Architectural lighting, Linear LED, Side View neon, Anti-glare honeycomb, Waterproof light ribbon, Flexible contour illumination</t>
  </si>
  <si>
    <t>SV1617-10W-2.7K-IP68-HC</t>
  </si>
  <si>
    <t>{"Power Consumption Rate": "10W/m", "Color Temperature": "2700K", "Voltage": "24V", "IP Rating": "IP68", "Dimension": "16mm (W) x 17mm (H)", "Glare Control": "Honeycomb Anti Glare Louvre", "SKU": "SV1617-10W-2.7K-IP68-HC"}</t>
  </si>
  <si>
    <t>SV1617-10W-3K-IP68-HC</t>
  </si>
  <si>
    <t>{"SKU": "SV1617-10W-3K-IP68-HC", "Power Consumption Rate": "10W/m", "Color Temperature": "3000K", "Voltage": "24V", "IP Rating": "IP68", "Dimension": "16mm (W) x 17mm (H)", "Glare Control": "Honeycomb Anti Glare Louvre"}</t>
  </si>
  <si>
    <t>SV1617-10W-4K-IP68-HC</t>
  </si>
  <si>
    <t>{"SKU": "SV1617-10W-4K-IP68-HC", "Power Consumption Rate": "10W/m", "Color Temperature": "4000K", "Voltage": "24V", "IP Rating": "IP68", "Dimension": "16mm (W) x 17mm (H)", "Glare Control": "Honeycomb Anti Glare Louvre"}</t>
  </si>
  <si>
    <t>SV1617-15W-2.2K-IP68-HC</t>
  </si>
  <si>
    <t>{"Power Consumption Rate": "15W/m", "Color Temperature": "2200K", "Voltage": "24V", "IP Rating": "IP68", "Dimension": "16mm (W) x 17mm (H)", "Glare Control": "Honeycomb Anti Glare Louvre", "SKU": "SV1617-15W-2.2K-IP68-HC"}</t>
  </si>
  <si>
    <t>SV1617-15W-2.7K-IP68-HC</t>
  </si>
  <si>
    <t>{"Power Consumption Rate": "15W/m", "Color Temperature": "2700K", "Voltage": "24V", "IP Rating": "IP68", "Dimension": "16mm (W) x 17mm (H)", "Glare Control": "Honeycomb Anti Glare Louvre", "SKU": "SV1617-15W-2.7K-IP68-HC"}</t>
  </si>
  <si>
    <t>SV1617-15W-3K-IP68-HC</t>
  </si>
  <si>
    <t>{"Power Consumption Rate": "15W/m", "Color Temperature": "3000K", "Voltage": "24V", "IP Rating": "IP68", "Dimension": "16mm (W) x 17mm (H)", "Glare Control": "Honeycomb Anti Glare Louvre", "SKU": "SV1617-15W-3K-IP68-HC"}</t>
  </si>
  <si>
    <t>SV1617-15W-4K-IP68-HC</t>
  </si>
  <si>
    <t>{"Power Consumption Rate": "15W/m", "Color Temperature": "4000K", "Voltage": "24V", "IP Rating": "IP68", "Dimension": "16mm (W) x 17mm (H)", "Glare Control": "Honeycomb Anti Glare Louvre", "SKU": "SV1617-15W-4K-IP68-HC"}</t>
  </si>
  <si>
    <t>SV1617-13W-TW-IP68-HC</t>
  </si>
  <si>
    <t>{"SKU": "SV1617-13W-TW-IP68-HC", "Power Consumption Rate": "13W/m", "Color Temperature": "TW (2700K-5300K)", "Voltage": "24V", "IP Rating": "IP68", "Dimension": "16mm (W) x 17mm (H)", "Glare Control": "Honeycomb Anti Glare Louvre"}</t>
  </si>
  <si>
    <t>TV1617-6W-1.6K-IP68-Sauna</t>
  </si>
  <si>
    <t>Neon Top View Sauna</t>
  </si>
  <si>
    <t>Step into a sanctuary of pure relaxation and elevated wellness with the Top View IP68 Sauna linear lighting. Expertly crafted to blend seamlessly into luxurious spa and thermal environments, this premium accent light wraps your space in a smooth, uniform glow that dissolves the stress of the outside world. Designed to enhance the serene atmosphere of your personal retreat, its breathtaking radiance casts a soft, tranquil light over contours and architectural features, creating an enchanting haven of comfort and calm. Perfect for designers seeking to cultivate an elite sensory experience, it brings a touch of pure, timeless sophistication to your wellness sanctuary.</t>
  </si>
  <si>
    <t>Transform your sauna into a luxurious oasis with a smooth, comforting glow that invites pure relaxation.</t>
  </si>
  <si>
    <t>{"Power Consumption Rate": "6W/m", "Color Temperature": "1600K", "Voltage": "24V", "IP Rating": "IP68", "Dimension": "16mm (W) x 17mm (H)", "SKU": "TV1617-6W-1.6K-IP68-Sauna"}</t>
  </si>
  <si>
    <t>{"SKU": ["TV1617-6W-1.6K-IP68-Sauna", "TV1617-6W-2.2K-IP68-Sauna", "TV1617-6W-2.7K-IP68-Sauna", "TV1617-6W-3K-IP68-Sauna", "TV1617-6W-4K-IP68-Sauna", "TV1617-6W-5.3K-IP68-Sauna", "TV1617-6W-TW-IP68-Sauna"], "Power Consumption Rate": "6W/m", "Color Temperature": ["1600K", "2200K", "2700K", "3000K", "4000K", "5300K", "TW (2700K-5300K)"], "Voltage": "24V", "IP Rating": "IP68", "Dimension": "16mm (W) x 17mm (H)"}</t>
  </si>
  <si>
    <t>{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 "Constraints": {}, "sku_mappings": [ { "sku": "TV1617-6W-1.6K-IP68-Sauna", "combination": ["101", "102", "109", "110", "111"] }, { "sku": "TV1617-6W-2.2K-IP68-Sauna", "combination": ["101", "103", "109", "110", "111"] }, { "sku": "TV1617-6W-2.7K-IP68-Sauna", "combination": ["101", "104", "109", "110", "111"] }, { "sku": "TV1617-6W-3K-IP68-Sauna", "combination": ["101", "105", "109", "110", "111"] }, { "sku": "TV1617-6W-4K-IP68-Sauna", "combination": ["101", "106", "109", "110", "111"] }, { "sku": "TV1617-6W-5.3K-IP68-Sauna", "combination": ["101", "107", "109", "110", "111"] }, { "sku": "TV1617-6W-TW-IP68-Sauna", "combination": ["101", "108", "109", "110", "111"] } ] }</t>
  </si>
  <si>
    <t>SAUNA 1617T</t>
  </si>
  <si>
    <t>Sauna linear lighting, IP68 waterproof LED, Spa accent light, Thermal environment neon, Top view flexible light, Wellness sanctuary illumination</t>
  </si>
  <si>
    <t>TV1617-6W-2.2K-IP68-Sauna</t>
  </si>
  <si>
    <t>{"Power Consumption Rate": "6W/m", "Color Temperature": "2200K", "Voltage": "24V", "IP Rating": "IP68", "Dimension": "16mm (W) x 17mm (H)", "SKU": "TV1617-6W-2.2K-IP68-Sauna"}</t>
  </si>
  <si>
    <t>TV1617-6W-2.7K-IP68-Sauna</t>
  </si>
  <si>
    <t>{"Power Consumption Rate": "6W/m", "Color Temperature": "2700K", "Voltage": "24V", "IP Rating": "IP68", "Dimension": "16mm (W) x 17mm (H)", "SKU": "TV1617-6W-2.7K-IP68-Sauna"}</t>
  </si>
  <si>
    <t>TV1617-6W-3K-IP68-Sauna</t>
  </si>
  <si>
    <t>{"Power Consumption Rate": "6W/m", "Color Temperature": "3000K", "Voltage": "24V", "IP Rating": "IP68", "Dimension": "16mm (W) x 17mm (H)", "SKU": "TV1617-6W-3K-IP68-Sauna"}</t>
  </si>
  <si>
    <t>TV1617-6W-4K-IP68-Sauna</t>
  </si>
  <si>
    <t>{"SKU": "TV1617-6W-4K-IP68-Sauna", "Power Consumption Rate": "6W/m", "Color Temperature": "4000K", "Voltage": "24V", "IP Rating": "IP68", "Dimension": "16mm (W) x 17mm (H)"}</t>
  </si>
  <si>
    <t>TV1617-6W-5.3K-IP68-Sauna</t>
  </si>
  <si>
    <t>{"Power Consumption Rate": "6W/m", "Color Temperature": "5300K", "Voltage": "24V", "IP Rating": "IP68", "Dimension": "16mm (W) x 17mm (H)", "SKU": "TV1617-6W-5.3K-IP68-Sauna"}</t>
  </si>
  <si>
    <t>TV1617-6W-TW-IP68-Sauna</t>
  </si>
  <si>
    <t>{"Power Consumption Rate": "6W/m", "Color Temperature": "TW (2700K-5300K)", "Voltage": "24V", "IP Rating": "IP68", "Dimension": "16mm (W) x 17mm (H)", "SKU": "TV1617-6W-TW-IP68-Sauna"}</t>
  </si>
  <si>
    <t>TV1617-22W-2.7K-IP68-Optic</t>
  </si>
  <si>
    <t>Optic Neon</t>
  </si>
  <si>
    <t>Elevate your architectural artistry with the Top View IP68 Optic, a premier linear lighting masterpiece designed to bring sophisticated, focused radiance to your design visions. Engineered for exceptional top-bending flexibility and breathtaking visual impact, this luxurious neon-style light effortlessly shapes your environment, casting a seamless, uniform glow that accentuates contours and elevates modern aesthetics. Whether capturing the essence of high-end commercial spaces or delivering a dramatic touch to premium landscapes, its refined elegance and flawless presentation offer an unmatched atmosphere. Built to perform with absolute grace under any conditions, it stands as the definitive choice for designers who demand pure brilliance, seamless adaptability, and uncompromised style.</t>
  </si>
  <si>
    <t>Elevate your space with the Top View IP68 Optic. This premier linear light brings sophisticated, focused radiance to your architectural artistry and modern aesthetics.</t>
  </si>
  <si>
    <t>22W/m | 2700K | 24V | IP68 | 16mm (W) x 17mm (H) | 36°</t>
  </si>
  <si>
    <t>Power Consumption Rate | Color Temperature | Voltage | IP Rating | Dimension | Beam Angle</t>
  </si>
  <si>
    <t>{"Power Consumption Rate": "22W/m", "Color Temperature": "2700K", "Voltage": "24V", "IP Rating": "IP68", "Dimension": "16mm (W) x 17mm (H)", "Beam Angle": "36°", "SKU": "TV1617-22W-2.7K-IP68-Optic"}</t>
  </si>
  <si>
    <t>{"Power Consumption Rate": "22W/m", "Color Temperature": ["2700K", "3000K", "4000K", "5000K"], "Voltage": "24V", "IP Rating": "IP68", "Dimension": "16mm (W) x 17mm (H)", "Beam Angle": "36°", "SKU": ["TV1617-22W-2.7K-IP68-Optic", "TV1617-22W-3K-IP68-Optic", "TV1617-22W-4K-IP68-Optic", "TV1617-22W-5K-IP68-Optic"]}</t>
  </si>
  <si>
    <t>{
"Options": {
"Power Consumption Rate": [
{"name": "22W/m", "id": "101"}
],
"Color Temperature": [
{"name": "2700K", "id": "102"},
{"name": "3000K", "id": "103"},
{"name": "4000K", "id": "104"},
{"name": "5000K", "id": "105"}
],
"Voltage": [
{"name": "24V", "id": "106"}
],
"IP Rating": [
{"name": "IP68", "id": "107"}
],
"Dimension": [
{"name": "16mm (W) x 17mm (H)", "id": "108"}
],
"Beam Angle": [
{"name": "36°", "id": "109"}
]
},
"Constraints": {},
"sku_mappings": [
{ "sku": "TV1617-22W-2.7K-IP68-Optic", "combination": ["101", "102", "106", "107", "108", "109"] },
{ "sku": "TV1617-22W-3K-IP68-Optic", "combination": ["101", "103", "106", "107", "108", "109"] },
{ "sku": "TV1617-22W-4K-IP68-Optic", "combination": ["101", "104", "106", "107", "108", "109"] },
{ "sku": "TV1617-22W-5K-IP68-Optic", "combination": ["101", "105", "106", "107", "108", "109"] }
]
}</t>
  </si>
  <si>
    <t>OPTIC 1617T</t>
  </si>
  <si>
    <t>Focused linear LED, Top View optic, IP68 waterproof neon, Architectural contour light, Focused beam illumination, Premium commercial lighting</t>
  </si>
  <si>
    <t>TV1617-22W-3K-IP68-Optic</t>
  </si>
  <si>
    <t>22W/m | 3000K | 24V | IP68 | 16mm (W) x 17mm (H) | 36°</t>
  </si>
  <si>
    <t>{"Power Consumption Rate": "22W/m", "Color Temperature": "3000K", "Voltage": "24V", "IP Rating": "IP68", "Dimension": "16mm (W) x 17mm (H)", "Beam Angle": "36°", "SKU": "TV1617-22W-3K-IP68-Optic"}</t>
  </si>
  <si>
    <t>TV1617-22W-4K-IP68-Optic</t>
  </si>
  <si>
    <t>22W/m | 4000K | 24V | IP68 | 16mm (W) x 17mm (H) | 36°</t>
  </si>
  <si>
    <t>{"Power Consumption Rate": "22W/m", "Color Temperature": "4000K", "Voltage": "24V", "IP Rating": "IP68", "Dimension": "16mm (W) x 17mm (H)", "Beam Angle": "36°", "SKU": "TV1617-22W-4K-IP68-Optic"}</t>
  </si>
  <si>
    <t>TV1617-22W-5K-IP68-Optic</t>
  </si>
  <si>
    <t>22W/m | 5000K | 24V | IP68 | 16mm (W) x 17mm (H) | 36°</t>
  </si>
  <si>
    <t>{"SKU": "TV1617-22W-5K-IP68-Optic", "Power Consumption Rate": "22W/m", "Color Temperature": "5000K", "Voltage": "24V", "IP Rating": "IP68", "Dimension": "16mm (W) x 17mm (H)", "Beam Angle": "36°"}</t>
  </si>
  <si>
    <t>SV1617-18W-2.2K-IP68-Optic</t>
  </si>
  <si>
    <t>Experience the epitome of precision and drama with the Side View IP68 Optic, a premium linear lighting masterpiece designed to redefine luxury illumination. Engineered with advanced optics, this sophisticated neon-style light projects a focused, captivating beam that beautifully accentuates architectural contours and artistic details. Its seamless side-bending flexibility unlocks unparalleled design freedom, allowing you to craft breathtaking visual statements in high-end commercial spaces, upscale residential interiors, and elite outdoor landscapes. Bring an atmosphere of timeless elegance and unmatched prestige to your visionary projects with a refined glow that transforms the ordinary into an extraordinary spectacle of light.</t>
  </si>
  <si>
    <t>Redefine luxury with the Side View IP68 Optic, projecting a focused, captivating beam to bring timeless elegance and precision to your visionary spaces.</t>
  </si>
  <si>
    <t>18W/m | 2200K | 24V | IP68 | 16mm (W) x 17mm (H) | 36°</t>
  </si>
  <si>
    <t>{"Power Consumption Rate": "18W/m", "Color Temperature": "2200K", "Voltage": "24V", "IP Rating": "IP68", "Dimension": "16mm (W) x 17mm (H)", "Beam Angle": "36°", "SKU": "SV1617-18W-2.2K-IP68-Optic"}</t>
  </si>
  <si>
    <t>{"SKU": ["SV1617-18W-2.2K-IP68-Optic", "SV1617-18W-2.7K-IP68-Optic", "SV1617-18W-3K-IP68-Optic", "SV1617-18W-4K-IP68-Optic"], "Power Consumption Rate": "18W/m", "Color Temperature": ["2200K", "2700K", "3000K", "4000K"], "Voltage": "24V", "IP Rating": "IP68", "Dimension": "16mm (W) x 17mm (H)", "Beam Angle": "36°"}</t>
  </si>
  <si>
    <t>{ "Options": { "Power Consumption Rate": [ {"name": "18W/m", "id": "101"} ], "Color Temperature": [ {"name": "2200K", "id": "102"}, {"name": "2700K", "id": "103"}, {"name": "3000K", "id": "104"}, {"name": "4000K", "id": "105"} ], "Voltage": [ {"name": "24V", "id": "106"} ], "IP Rating": [ {"name": "IP68", "id": "107"} ], "Dimension": [ {"name": "16mm (W) x 17mm (H)", "id": "108"} ], "Beam Angle": [ {"name": "36°", "id": "109"} ] }, "Constraints": {}, "sku_mappings": [ { "sku": "SV1617-18W-2.2K-IP68-Optic", "combination": ["101", "102", "106", "107", "108", "109"] }, { "sku": "SV1617-18W-2.7K-IP68-Optic", "combination": ["101", "103", "106", "107", "108", "109"] }, { "sku": "SV1617-18W-3K-IP68-Optic", "combination": ["101", "104", "106", "107", "108", "109"] }, { "sku": "SV1617-18W-4K-IP68-Optic", "combination": ["101", "105", "106", "107", "108", "109"] } ] }</t>
  </si>
  <si>
    <t>LEDLINE OPTIC 1617S</t>
  </si>
  <si>
    <t>Side view neon, Focused beam optics, Waterproof linear LED, Precision architectural lighting, Narrow beam accent, Premium luxury illumination</t>
  </si>
  <si>
    <t>SV1617-18W-2.7K-IP68-Optic</t>
  </si>
  <si>
    <t>18W/m | 2700K | 24V | IP68 | 16mm (W) x 17mm (H) | 36°</t>
  </si>
  <si>
    <t>{"Power Consumption Rate": "18W/m", "Color Temperature": "2700K", "Voltage": "24V", "IP Rating": "IP68", "Dimension": "16mm (W) x 17mm (H)", "Beam Angle": "36°", "SKU": "SV1617-18W-2.7K-IP68-Optic"}</t>
  </si>
  <si>
    <t>SV1617-18W-3K-IP68-Optic</t>
  </si>
  <si>
    <t>18W/m | 3000K | 24V | IP68 | 16mm (W) x 17mm (H) | 36°</t>
  </si>
  <si>
    <t>{"SKU": "SV1617-18W-3K-IP68-Optic", "Power Consumption Rate": "18W/m", "Color Temperature": "3000K", "Voltage": "24V", "IP Rating": "IP68", "Dimension": "16mm (W) x 17mm (H)", "Beam Angle": "36°"}</t>
  </si>
  <si>
    <t>SV1617-18W-4K-IP68-Optic</t>
  </si>
  <si>
    <t>18W/m | 4000K | 24V | IP68 | 16mm (W) x 17mm (H) | 36°</t>
  </si>
  <si>
    <t>{"Power Consumption Rate": "18W/m", "Color Temperature": "4000K", "Voltage": "24V", "IP Rating": "IP68", "Dimension": "16mm (W) x 17mm (H)", "Beam Angle": "36°", "SKU": "SV1617-18W-4K-IP68-Optic"}</t>
  </si>
  <si>
    <t>3D1617-10W-2.7K-IP68</t>
  </si>
  <si>
    <t>Dual Bend Neon</t>
  </si>
  <si>
    <t>3D Neon</t>
  </si>
  <si>
    <t>Unlock a new dimension of design with the 3D Bend Neon, a revolutionary linear lighting masterpiece crafted to bring your boldest artistic concepts to life. Engineered for boundless multi-directional flexibility, this premium neon-style light bends effortlessly across any plane, wrapping architectural contours and spatial features in a flawless, seamless ribbon of light. Perfect for elevating high-end commercial spaces, luxury interiors, or modern landscapes, it creates a breathtaking visual statement that captures the imagination and completely transforms the atmosphere with its pure, uniform radiance.</t>
  </si>
  <si>
    <t>Transform your space with 3D Bend Neon. Its boundless flexibility creates a flawless ribbon of light, wrapping any environment in pure, uniform elegance.</t>
  </si>
  <si>
    <t>10W/m | 2700K | 24V | IP68 | 16mm (W) x 17mm (H)</t>
  </si>
  <si>
    <t>{"Power Consumption Rate": "10W/m", "Color Temperature": "2700K", "Voltage": "24V", "IP Rating": "IP68", "Dimension": "16mm (W) x 17mm (H)", "SKU": "3D1617-10W-2.7K-IP68"}</t>
  </si>
  <si>
    <t>{"Power Consumption Rate": "10W/m", "Color Temperature": ["2700K", "3000K", "4000K"], "Voltage": "24V", "IP Rating": "IP68", "Dimension": "16mm (W) x 17mm (H)", "SKU": ["3D1617-10W-2.7K-IP68", "3D1617-10W-3K-IP68", "3D1617-10W-4K-IP68"]}</t>
  </si>
  <si>
    <t>{
"Options": {
"Power Consumption Rate": [
{"name": "10W/m", "id": "101"}
],
"Color Temperature": [
{"name": "2700K", "id": "102"},
{"name": "3000K", "id": "103"},
{"name": "4000K", "id": "104"}
],
"Voltage": [
{"name": "24V", "id": "105"}
],
"IP Rating": [
{"name": "IP68", "id": "106"}
],
"Dimension": [
{"name": "16mm (W) x 17mm (H)", "id": "107"}
]
},
"Constraints": {},
"sku_mappings": [
{ "sku": "3D1617-10W-2.7K-IP68", "combination": ["101", "102", "105", "106", "107"] },
{ "sku": "3D1617-10W-3K-IP68", "combination": ["101", "103", "105", "106", "107"] },
{ "sku": "3D1617-10W-4K-IP68", "combination": ["101", "104", "105", "106", "107"] }
]
}</t>
  </si>
  <si>
    <t>AXE 1617 WHT</t>
  </si>
  <si>
    <t>3D bend neon, Flexible linear LED, Architectural accent lighting, Multi-directional flexibility, Waterproof light ribbon, Premium commercial lighting</t>
  </si>
  <si>
    <t>3D1617-10W-3K-IP68</t>
  </si>
  <si>
    <t>10W/m | 3000K | 24V | IP68 | 16mm (W) x 17mm (H)</t>
  </si>
  <si>
    <t>{"Power Consumption Rate": "10W/m", "Color Temperature": "3000K", "Voltage": "24V", "IP Rating": "IP68", "Dimension": "16mm (W) x 17mm (H)", "SKU": "3D1617-10W-3K-IP68"}</t>
  </si>
  <si>
    <t>3D1617-10W-4K-IP68</t>
  </si>
  <si>
    <t>10W/m | 4000K | 24V | IP68 | 16mm (W) x 17mm (H)</t>
  </si>
  <si>
    <t>{"Power Consumption Rate": "10W/m", "Color Temperature": "4000K", "Voltage": "24V", "IP Rating": "IP68", "Dimension": "16mm (W) x 17mm (H)", "SKU": "3D1617-10W-4K-IP68"}</t>
  </si>
  <si>
    <t>3D1617-15W-RGBW-IP68-DMX</t>
  </si>
  <si>
    <t>Illuminate your architectural visions with the Dual Bend Neon, a premium linear lighting solution designed to bring dynamic radiance and creative freedom to any space. Engineered for incredible flexibility, this multi-directional bending neon light curves effortlessly in three dimensions to accentuate complex contours, craft fluid artistic shapes, and create striking lighting design statements. Whether you are transforming high-end commercial interiors, enhancing grand facades, or adding an immersive atmospheric glow to outdoor landscapes, its pristine, uniform illumination delivers unmatched aesthetic elegance and visual impact for designers who refuse to compromise on style and adaptability.</t>
  </si>
  <si>
    <t>Elevate your space with Dual Bend Neon, designed to curve effortlessly in three dimensions for captivating, seamless radiance and ultimate creative freedom.</t>
  </si>
  <si>
    <t>15W/m | RGBW (3000K) | 24V | IP68 | 16mm (W) x 17mm (H) | DMX | 14 Pixels/m</t>
  </si>
  <si>
    <t>{"Power Consumption Rate": "15W/m", "Color Temperature": "RGBW (3000K)", "Voltage": "24V", "IP Rating": "IP68", "Dimension": "16mm (W) x 17mm (H)", "Control Protocol": "DMX", "Pixel": "14 Pixels/m", "SKU": "3D1617-15W-RGBW-IP68-DMX"}</t>
  </si>
  <si>
    <t>{ "Options": { "Power Consumption Rate": [ {"name": "15W/m", "id": "101"} ], "Color Temperature": [ {"name": "RGBW (3000K)", "id": "102"} ], "Voltage": [ {"name": "24V", "id": "103"} ], "IP Rating": [ {"name": "IP68", "id": "104"} ], "Dimension": [ {"name": "16mm (W) x 17mm (H)", "id": "105"} ], "Control Protocol": [ {"name": "DMX", "id": "106"} ], "Pixel": [ {"name": "14 Pixels/m", "id": "107"} ] }, "Constraints": {}, "sku_mappings": [ { "sku": "3D1617-15W-RGBW-IP68-DMX", "combination": ["101", "102", "103", "104", "105", "106", "107"] } ] }</t>
  </si>
  <si>
    <t>AXE 1617 DMX RGBW</t>
  </si>
  <si>
    <t>3D1617-10W-2.7K-IP68-SLR</t>
  </si>
  <si>
    <t>Long Run Dual Bend Neon</t>
  </si>
  <si>
    <t>Long Run Neon</t>
  </si>
  <si>
    <t>Transform your architectural visions with the Long Run 3D Bend Neon, a premium linear lighting solution crafted to bring multi-directional flexibility and captivating elegance to any environment. Engineered to curve effortlessly in three dimensions, this luxurious neon-style light offers ultimate design freedom, allowing you to accentuate complex contours and create breathtaking visual statements. Its flawless, uniform glow delivers an unmatched aesthetic elegance, making it the perfect choice for transforming sophisticated spaces and adding a seamless, fluid brilliance that captivates and inspires.</t>
  </si>
  <si>
    <t>Transform your space with Long Run 3D Bend Neon, crafting a flawless, multi-dimensional glow that brings ultimate design freedom and fluid elegance to any environment.</t>
  </si>
  <si>
    <t>{"Power Consumption Rate": "10W/m", "Color Temperature": "2700K", "Voltage": "24V", "IP Rating": "IP68", "Dimension": "16mm (W) x 17mm (H)", "SKU": "3D1617-10W-2.7K-IP68-SLR"}</t>
  </si>
  <si>
    <t>{"SKU": ["3D1617-10W-2.7K-IP68-SLR", "3D1617-10W-3K-IP68-SLR", "3D1617-10W-4K-IP68-SLR", "3D1617-10W-RED-IP68-SLR"], "Power Consumption Rate": "10W/m", "Color Temperature": ["2700K", "3000K", "4000K", "RED"], "Voltage": "24V", "IP Rating": "IP68", "Dimension": "16mm (W) x 17mm (H)"}</t>
  </si>
  <si>
    <t>{
"Options": {
"Power Consumption Rate": [
{ "name": "10W/m", "id": "101" }
],
"Color Temperature": [
{ "name": "2700K", "id": "102" },
{ "name": "3000K", "id": "103" },
{ "name": "4000K", "id": "104" },
{ "name": "RED", "id": "105" }
],
"Voltage": [
{ "name": "24V", "id": "106" }
],
"IP Rating": [
{ "name": "IP68", "id": "107" }
],
"Dimension": [
{ "name": "16mm (W) x 17mm (H)", "id": "108" }
]
},
"Constraints": {},
"sku_mappings": [
{ "sku": "3D1617-10W-2.7K-IP68-SLR", "combination": ["101", "102", "106", "107", "108"] },
{ "sku": "3D1617-10W-3K-IP68-SLR", "combination": ["101", "103", "106", "107", "108"] },
{ "sku": "3D1617-10W-4K-IP68-SLR", "combination": ["101", "104", "106", "107", "108"] },
{ "sku": "3D1617-10W-RED-IP68-SLR", "combination": ["101", "105", "106", "107", "108"] }
]
}</t>
  </si>
  <si>
    <t>AXE 1617 SL WHT</t>
  </si>
  <si>
    <t>3D bend neon, Multi-directional LED, Waterproof light ribbon, Flexible architectural lighting, Long run linear LED, Premium contour illumination</t>
  </si>
  <si>
    <t>3D1617-10W-3K-IP68-SLR</t>
  </si>
  <si>
    <t>{"SKU": "3D1617-10W-3K-IP68-SLR", "Power Consumption Rate": "10W/m", "Color Temperature": "3000K", "Voltage": "24V", "IP Rating": "IP68", "Dimension": "16mm (W) x 17mm (H)"}</t>
  </si>
  <si>
    <t>3D1617-10W-4K-IP68-SLR</t>
  </si>
  <si>
    <t>{"Power Consumption Rate": "10W/m", "Color Temperature": "4000K", "Voltage": "24V", "IP Rating": "IP68", "Dimension": "16mm (W) x 17mm (H)", "SKU": "3D1617-10W-4K-IP68-SLR"}</t>
  </si>
  <si>
    <t>3D1617-10W-RED-IP68-SLR</t>
  </si>
  <si>
    <t>10W/m | RED | 24V | IP68 | 16mm (W) x 17mm (H)</t>
  </si>
  <si>
    <t>{"Power Consumption Rate": "10W/m", "Color Temperature": "RED", "Voltage": "24V", "IP Rating": "IP68", "Dimension": "16mm (W) x 17mm (H)", "SKU": "3D1617-10W-RED-IP68-SLR"}</t>
  </si>
  <si>
    <t>3D1617-10W-2.7K-IP67-FC</t>
  </si>
  <si>
    <t>Experience a new dimension of design freedom with the Free Cut 3D Bend Neon. This revolutionary linear lighting masterpiece bends effortlessly in all directions, allowing you to sculpt light around complex architecture, dramatic contours, and fluid custom shapes without limits. Perfect for creating unforgettable statements in luxury commercial spaces or premium modern venues, it delivers a flawless, completely uniform radiance that wraps your environment in pure aesthetic elegance. Striking the perfect balance between artistic versatility and bold visual impact, this stunning accent solution is crafted for visionary designers looking to bring their most imaginative concepts to life with absolute grace and sophistication.</t>
  </si>
  <si>
    <t>Sculpt light without limits using Free Cut 3D Bend Neon. Effortlessly bend in all directions to wrap your space in pure, flawless aesthetic elegance and bold artistic style.</t>
  </si>
  <si>
    <t>10W/m | 2700K | 24V | IP67 | 16mm (W) x 17mm (H) | Free Cut</t>
  </si>
  <si>
    <t>{"Power Consumption Rate": "10W/m", "Color Temperature": "2700K", "Voltage": "24V", "IP Rating": "IP67", "Dimension": "16mm (W) x 17mm (H)", "Cut Interval": "Free Cut", "SKU": "3D1617-10W-2.7K-IP67-FC"}</t>
  </si>
  <si>
    <t>{"Power Consumption Rate": "10W/m", "Color Temperature": ["2700K", "3000K", "4000K"], "Voltage": "24V", "IP Rating": "IP67", "Dimension": "16mm (W) x 17mm (H)", "Cut Interval": "Free Cut", "SKU": ["3D1617-10W-2.7K-IP67-FC", "3D1617-10W-3K-IP67-FC", "3D1617-10W-4K-IP67-FC"]}</t>
  </si>
  <si>
    <t>{ "Options": { "Power Consumption Rate": [ { "name": "10W/m", "id": "101" } ], "Color Temperature": [ { "name": "2700K", "id": "102" } ], "Voltage": [ { "name": "24V", "id": "103" } ], "IP Rating": [ { "name": "IP67", "id": "104" } ], "Dimension": [ { "name": "16mm (W) x 17mm (H)", "id": "105" } ], "Cut Interval": [ { "name": "Free Cut", "id": "106" } ] }, "Constraints": {}, "sku_mappings": [ { "sku": "3D1617-10W-2.7K-IP67-FC", "combination": [ "101", "102", "103", "104", "105", "106" ] } ] }</t>
  </si>
  <si>
    <t>AIR 1617 WHT</t>
  </si>
  <si>
    <t>3D bend neon, Free cut LED, Flexible linear lighting, Omnidirectional bend light, Architectural sculpture illumination, Premium commercial neon</t>
  </si>
  <si>
    <t>3D1617-10W-3K-IP67-FC</t>
  </si>
  <si>
    <t>10W/m | 3000K | 24V | IP67 | 16mm (W) x 17mm (H) | Free Cut</t>
  </si>
  <si>
    <t>{"Power Consumption Rate": "10W/m", "Color Temperature": "3000K", "Voltage": "24V", "IP Rating": "IP67", "Dimension": "16mm (W) x 17mm (H)", "Cut Interval": "Free Cut", "SKU": "3D1617-10W-3K-IP67-FC"}</t>
  </si>
  <si>
    <t>3D1617-10W-4K-IP67-FC</t>
  </si>
  <si>
    <t>10W/m | 4000K | 24V | IP67 | 16mm (W) x 17mm (H) | Free Cut</t>
  </si>
  <si>
    <t>{"Power Consumption Rate": "10W/m", "Color Temperature": "4000K", "Voltage": "24V", "IP Rating": "IP67", "Dimension": "16mm (W) x 17mm (H)", "Cut Interval": "Free Cut", "SKU": "3D1617-10W-4K-IP67-FC"}</t>
  </si>
  <si>
    <t>3D1617-10W-2.7-3K-IP67</t>
  </si>
  <si>
    <t>Dual Bend Neon &amp; Dual Colour</t>
  </si>
  <si>
    <t>Dual Colour Neon</t>
  </si>
  <si>
    <t>Experience the pinnacle of design freedom with the Dual Colour 3D Bend Neon, a premium linear lighting masterpiece crafted to bring dynamic sophistication and seamless radiance to your most ambitious spaces. Engineered for multi-directional flexibility, this luxurious neon-style solution flows effortlessly around complex contours to create striking architectural statements and captivating visual depth. Perfect for transforming high-end environments into immersive sensory experiences, its elegant and fluid brilliance brings a breath of modern luxury to any design vision, making it the ultimate choice for those who dare to inspire.</t>
  </si>
  <si>
    <t>Experience ultimate design freedom with the Dual Colour 3D Bend Neon, flowing effortlessly around complex contours to bring fluid brilliance and modern luxury to your vision.</t>
  </si>
  <si>
    <t>10W/m | 2700K &amp; 3000K | 24V | IP67 | 16mm (W) x 17mm (H)</t>
  </si>
  <si>
    <t>{"Power Consumption Rate": "10W/m", "Color Temperature": "2700K &amp; 3000K", "Voltage": "24V", "IP Rating": "IP67", "Dimension": "16mm (W) x 17mm (H)", "SKU": "3D1617-10W-2.7-3K-IP67"}</t>
  </si>
  <si>
    <t>{"Power Consumption Rate": "10W/m", "Color Temperature": "2700K &amp; 3000K", "Voltage": "24V", "IP Rating": "IP67", "Dimension": "16mm (W) x 17mm (H)", "Length": "Max 5,000mm (L)", "SKU": "3D1617-10W-2.7-3K-IP67"}</t>
  </si>
  <si>
    <t>{ "Options": { "Power Consumption Rate": [ { "name": "10W/m", "id": "101" } ], "Color Temperature": [ { "name": "3000K", "id": "102" } ], "Voltage": [ { "name": "24V", "id": "103" } ], "IP Rating": [ { "name": "IP67", "id": "104" } ], "Dimension": [ { "name": "16mm (W) x 17mm (H)", "id": "105" } ], "Cut Interval": [ { "name": "Free Cut", "id": "106" } ] }, "Constraints": {}, "sku_mappings": [ { "sku": "3D1617-10W-3K-IP67-FC", "combination": [ "101", "102", "103", "104", "105", "106" ] } ] }</t>
  </si>
  <si>
    <t>AIR 1617 CS</t>
  </si>
  <si>
    <t>3D bend neon, Dual color LED, Architectural contour lighting, Flexible linear light, IP67 waterproof ribbon, Multi-directional flex strip</t>
  </si>
  <si>
    <t>3D1010-10W-2.7K-IP67-FC</t>
  </si>
  <si>
    <t>Unleash your creative vision with the Free Cut 3D Bend Neon, a revolutionary linear lighting solution designed to bring complete design freedom and fluid brilliance to any environment. Engineered for exceptional three-dimensional flexibility, this luxurious masterpiece curves effortlessly in every direction, allowing you to trace intricate architectural contours and craft captivating, personalized lighting displays. Its pristine, uniform glow eliminates harsh shadows, filling your space with a seamless, radiant atmosphere. Perfect for designers who refuse to compromise on style and adaptability, this premium lighting choice transforms the ordinary into an extraordinary visual statement, capturing elegance and modern sophistication from every single angle.</t>
  </si>
  <si>
    <t>Unleash your creative vision with Free Cut 3D Bend Neon. Curve it effortlessly in every direction for a seamless, radiant atmosphere that transforms any ordinary space.</t>
  </si>
  <si>
    <t>10W/m | 2700K | 24V | IP67 | 10mm (W) x 10mm (H) | Free Cut</t>
  </si>
  <si>
    <t>{"Power Consumption Rate": "10W/m", "Color Temperature": "2700K", "Voltage": "24V", "IP Rating": "IP67", "Dimension": "10mm (W) x 10mm (H)", "Cut Interval": "Free Cut", "SKU": "3D1010-10W-2.7K-IP67-FC"}</t>
  </si>
  <si>
    <t>{"SKU": ["3D1010-10W-2.7K-IP67-FC", "3D1010-10W-3K-IP67-FC", "3D1010-10W-4K-IP67-FC"], "Power Consumption Rate": "10W/m", "Color Temperature": ["2700K", "3000K", "4000K"], "Voltage": "24V", "IP Rating": "IP67", "Dimension": "10mm (W) x 10mm (H)", "Cut Interval": "Free Cut"}</t>
  </si>
  <si>
    <t>{"Options": {"Power Consumption Rate": [{"name": "10W/m", "id": "101"}], "Color Temperature": [{"name": "2700K", "id": "102"}], "Voltage": [{"name": "24V", "id": "103"}], "IP Rating": [{"name": "IP67", "id": "104"}], "Dimension": [{"name": "10mm (W) x 10mm (H)", "id": "105"}], "Cut Interval": [{"name": "Free Cut", "id": "106"}]}, "Constraints": {}, "sku_mappings": [{"sku": "3D1010-10W-2.7K-IP67-FC", "combination": ["101", "102", "103", "104", "105", "106"]}]}</t>
  </si>
  <si>
    <t>AIR 1010 WHT</t>
  </si>
  <si>
    <t>3D1010-10W-3K-IP67-FC</t>
  </si>
  <si>
    <t>10W/m | 3000K | 24V | IP67 | 10mm (W) x 10mm (H) | Free Cut</t>
  </si>
  <si>
    <t>{"SKU": "3D1010-10W-3K-IP67-FC", "Power Consumption Rate": "10W/m", "Color Temperature": "3000K", "Voltage": "24V", "IP Rating": "IP67", "Dimension": "10mm (W) x 10mm (H)", "Cut Interval": "Free Cut"}</t>
  </si>
  <si>
    <t>3D1010-10W-4K-IP67-FC</t>
  </si>
  <si>
    <t>10W/m | 4000K | 24V | IP67 | 10mm (W) x 10mm (H) | Free Cut</t>
  </si>
  <si>
    <t>{"Power Consumption Rate": "10W/m", "Color Temperature": "4000K", "Voltage": "24V", "IP Rating": "IP67", "Dimension": "10mm (W) x 10mm (H)", "Cut Interval": "Free Cut", "SKU": "3D1010-10W-4K-IP67-FC"}</t>
  </si>
  <si>
    <t>3D1010-10W-2.7-3K-IP67</t>
  </si>
  <si>
    <t>Step into the next dimension of luxury illumination with the Dual Colour 3D Bend Neon. Designed for visionaries who refuse to compromise on style, this revolutionary linear lighting masterpiece bends effortlessly in all directions to trace breathtaking architectural curves and create captivating visual features. Whether you are transforming a high-end commercial venue, designing a sophisticated modern lounge, or adding a touch of drama to an intimate space, its seamless, uniform dual-colour glow wraps your environment in a blanket of pure elegance. Crafted to elevate the ordinary into the extraordinary, it delivers an unmatched aesthetic ambiance that commands attention and inspires awe.</t>
  </si>
  <si>
    <t>Step into the next dimension of luxury illumination with the Dual Colour 3D Bend Neon, wrapping your space in a seamless dual-colour glow of pure elegance and awe.</t>
  </si>
  <si>
    <t>10W/m | 2700K &amp; 3000K | 24V | IP67 | 10mm (W) x 10mm (H)</t>
  </si>
  <si>
    <t>{"Power Consumption Rate": "10W/m", "Color Temperature": "2700K &amp; 3000K", "Voltage": "24V", "IP Rating": "IP67", "Dimension": "10mm (W) x 10mm (H)", "SKU": "3D1010-10W-2.7-3K-IP67"}</t>
  </si>
  <si>
    <t>{"Power Consumption Rate": "10W/m", "Color Temperature": "2700K &amp; 3000K", "Voltage": "24V", "IP Rating": "IP67", "Dimension": "10mm (W) x 10mm (H)", "Length": "Max 5,000mm (L)", "SKU": "3D1010-10W-2.7-3K-IP67"}</t>
  </si>
  <si>
    <t>{"Options": {"Power Consumption Rate": [{"name": "10W/m", "id": "101"}], "Color Temperature": [{"name": "3000K", "id": "102"}], "Voltage": [{"name": "24V", "id": "103"}], "IP Rating": [{"name": "IP67", "id": "104"}], "Dimension": [{"name": "10mm (W) x 10mm (H)", "id": "105"}], "Cut Interval": [{"name": "Free Cut", "id": "106"}]}, "Constraints": {}, "sku_mappings": [{"sku": "3D1010-10W-3K-IP67-FC", "combination": ["101", "102", "103", "104", "105", "106"]}]}</t>
  </si>
  <si>
    <t>AIR 1010 CS</t>
  </si>
  <si>
    <t>Architectural lighting, 3D bend neon, Dual colour LED, Flexible liner light, Luxury ambiance illumination, Premium visual features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</si>
</sst>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Arial"/>
      <scheme val="minor"/>
    </font>
  </fonts>
  <fills count="11">
    <fill>
      <patternFill patternType="none"/>
    </fill>
    <fill>
      <patternFill patternType="lightGray"/>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vertical="center"/>
    </xf>
    <xf borderId="1" fillId="5"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6"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4"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5"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7" fontId="5" numFmtId="0" xfId="0" applyAlignment="1" applyBorder="1" applyFill="1" applyFont="1">
      <alignment readingOrder="0" shrinkToFit="0" vertical="center" wrapText="1"/>
    </xf>
    <xf borderId="1" fillId="3"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3" fontId="6"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0" fontId="8" numFmtId="0" xfId="0" applyAlignment="1" applyBorder="1" applyFont="1">
      <alignment readingOrder="0"/>
    </xf>
    <xf borderId="1" fillId="3" fontId="6" numFmtId="0" xfId="0" applyAlignment="1" applyBorder="1" applyFill="1" applyFont="1">
      <alignment readingOrder="0" shrinkToFit="0" vertical="center" wrapText="1"/>
    </xf>
    <xf borderId="1" fillId="0" fontId="5" numFmtId="0" xfId="0" applyAlignment="1" applyBorder="1" applyFont="1">
      <alignment shrinkToFit="0" vertical="center" wrapText="1"/>
    </xf>
    <xf borderId="1" fillId="0" fontId="5" numFmtId="0" xfId="0" applyAlignment="1" applyBorder="1" applyFont="1">
      <alignment readingOrder="0" shrinkToFit="0" vertical="center" wrapText="1"/>
    </xf>
    <xf borderId="1" fillId="3" fontId="5" numFmtId="0" xfId="0" applyAlignment="1" applyBorder="1" applyFill="1" applyFont="1">
      <alignment readingOrder="0" shrinkToFit="0" vertical="center" wrapText="1"/>
    </xf>
    <xf borderId="1" fillId="3" fontId="5"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0" fontId="6" numFmtId="0" xfId="0" applyAlignment="1" applyBorder="1" applyFont="1">
      <alignment readingOrder="0" shrinkToFit="0" vertical="center" wrapText="1"/>
    </xf>
    <xf borderId="1" fillId="8" fontId="6" numFmtId="0" xfId="0" applyAlignment="1" applyBorder="1" applyFill="1" applyFont="1">
      <alignment readingOrder="0" shrinkToFit="0" vertical="center" wrapText="1"/>
    </xf>
    <xf borderId="1" fillId="0" fontId="8" numFmtId="0" xfId="0" applyAlignment="1" applyBorder="1" applyFont="1">
      <alignment readingOrder="0" shrinkToFit="0" vertical="center" wrapText="1"/>
    </xf>
    <xf borderId="1" fillId="10" fontId="5" numFmtId="0" xfId="0" applyAlignment="1" applyBorder="1" applyFill="1" applyFont="1">
      <alignment readingOrder="0" shrinkToFit="0" vertical="center" wrapText="1"/>
    </xf>
    <xf borderId="1" fillId="3"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8" fontId="6" numFmtId="0" xfId="0" applyAlignment="1" applyBorder="1" applyFill="1" applyFont="1">
      <alignment shrinkToFit="0" vertical="center" wrapText="1"/>
    </xf>
    <xf borderId="1" fillId="0" fontId="6" numFmtId="0" xfId="0" applyAlignment="1" applyBorder="1" applyFont="1">
      <alignment shrinkToFit="0" vertical="center" wrapText="1"/>
    </xf>
    <xf borderId="1" fillId="3" fontId="5" numFmtId="0" xfId="0" applyAlignment="1" applyBorder="1" applyFill="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6">
    <tableStyle count="2" pivot="0" name="JR Neon-style">
      <tableStyleElement dxfId="1" type="firstRowStripe"/>
      <tableStyleElement dxfId="2" type="secondRowStripe"/>
    </tableStyle>
    <tableStyle count="2" pivot="0" name="JR Neon-style 2">
      <tableStyleElement dxfId="1" type="firstRowStripe"/>
      <tableStyleElement dxfId="2" type="secondRowStripe"/>
    </tableStyle>
    <tableStyle count="2" pivot="0" name="JR Neon-style 3">
      <tableStyleElement dxfId="1" type="firstRowStripe"/>
      <tableStyleElement dxfId="2" type="secondRowStripe"/>
    </tableStyle>
    <tableStyle count="2" pivot="0" name="JR Neon-style 4">
      <tableStyleElement dxfId="1" type="firstRowStripe"/>
      <tableStyleElement dxfId="2" type="secondRowStripe"/>
    </tableStyle>
    <tableStyle count="2" pivot="0" name="JR Neon-style 5">
      <tableStyleElement dxfId="1" type="firstRowStripe"/>
      <tableStyleElement dxfId="2" type="secondRowStripe"/>
    </tableStyle>
    <tableStyle count="2" pivot="0" name="JR Neon-style 6">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V2:Y2" displayName="Table_1" name="Table_1" id="1">
  <tableColumns count="4">
    <tableColumn name="Column1" id="1"/>
    <tableColumn name="Column2" id="2"/>
    <tableColumn name="Column3" id="3"/>
    <tableColumn name="Column4" id="4"/>
  </tableColumns>
  <tableStyleInfo name="JR Neon-style" showColumnStripes="0" showFirstColumn="1" showLastColumn="1" showRowStripes="1"/>
</table>
</file>

<file path=xl/tables/table2.xml><?xml version="1.0" encoding="utf-8"?>
<table xmlns="http://schemas.openxmlformats.org/spreadsheetml/2006/main" headerRowCount="0" ref="V10:X10" displayName="Table_2" name="Table_2" id="2">
  <tableColumns count="3">
    <tableColumn name="Column1" id="1"/>
    <tableColumn name="Column2" id="2"/>
    <tableColumn name="Column3" id="3"/>
  </tableColumns>
  <tableStyleInfo name="JR Neon-style 2" showColumnStripes="0" showFirstColumn="1" showLastColumn="1" showRowStripes="1"/>
</table>
</file>

<file path=xl/tables/table3.xml><?xml version="1.0" encoding="utf-8"?>
<table xmlns="http://schemas.openxmlformats.org/spreadsheetml/2006/main" headerRowCount="0" ref="V14:Y14" displayName="Table_3" name="Table_3" id="3">
  <tableColumns count="4">
    <tableColumn name="Column1" id="1"/>
    <tableColumn name="Column2" id="2"/>
    <tableColumn name="Column3" id="3"/>
    <tableColumn name="Column4" id="4"/>
  </tableColumns>
  <tableStyleInfo name="JR Neon-style 3" showColumnStripes="0" showFirstColumn="1" showLastColumn="1" showRowStripes="1"/>
</table>
</file>

<file path=xl/tables/table4.xml><?xml version="1.0" encoding="utf-8"?>
<table xmlns="http://schemas.openxmlformats.org/spreadsheetml/2006/main" headerRowCount="0" ref="V22:X22" displayName="Table_4" name="Table_4" id="4">
  <tableColumns count="3">
    <tableColumn name="Column1" id="1"/>
    <tableColumn name="Column2" id="2"/>
    <tableColumn name="Column3" id="3"/>
  </tableColumns>
  <tableStyleInfo name="JR Neon-style 4" showColumnStripes="0" showFirstColumn="1" showLastColumn="1" showRowStripes="1"/>
</table>
</file>

<file path=xl/tables/table5.xml><?xml version="1.0" encoding="utf-8"?>
<table xmlns="http://schemas.openxmlformats.org/spreadsheetml/2006/main" headerRowCount="0" ref="V26:Y26" displayName="Table_5" name="Table_5" id="5">
  <tableColumns count="4">
    <tableColumn name="Column1" id="1"/>
    <tableColumn name="Column2" id="2"/>
    <tableColumn name="Column3" id="3"/>
    <tableColumn name="Column4" id="4"/>
  </tableColumns>
  <tableStyleInfo name="JR Neon-style 5" showColumnStripes="0" showFirstColumn="1" showLastColumn="1" showRowStripes="1"/>
</table>
</file>

<file path=xl/tables/table6.xml><?xml version="1.0" encoding="utf-8"?>
<table xmlns="http://schemas.openxmlformats.org/spreadsheetml/2006/main" headerRowCount="0" ref="B27:AA143" displayName="Table_6" name="Table_6" id="6">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JR Neon-style 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9.63"/>
    <col customWidth="1" min="2" max="2" width="17.75"/>
    <col customWidth="1" min="3" max="3" width="11.75"/>
    <col customWidth="1" min="4" max="4" width="14.88"/>
    <col customWidth="1" min="5" max="5" width="6.38"/>
    <col customWidth="1" min="6" max="9" width="64.63"/>
    <col customWidth="1" min="10" max="11" width="28.75"/>
    <col customWidth="1" min="12" max="12" width="51.5"/>
    <col customWidth="1" min="13" max="13" width="103.38"/>
    <col customWidth="1" min="14" max="14" width="101.0"/>
    <col customWidth="1" min="15" max="15" width="69.38"/>
    <col customWidth="1" min="16" max="16" width="92.75"/>
    <col customWidth="1" min="17" max="17" width="90.25"/>
    <col customWidth="1" min="18" max="18" width="116.63"/>
    <col customWidth="1" min="19" max="19" width="50.13"/>
    <col customWidth="1" min="20" max="20" width="129.25"/>
    <col customWidth="1" min="21" max="23" width="50.13"/>
    <col customWidth="1" min="24" max="24" width="80.25"/>
    <col customWidth="1" min="25" max="26" width="29.38"/>
    <col customWidth="1" min="27" max="27" width="12.63"/>
    <col customWidth="1" min="29" max="30" width="34.0"/>
  </cols>
  <sheetData>
    <row r="1">
      <c r="A1" s="1" t="s">
        <v>0</v>
      </c>
      <c r="B1" s="1" t="s">
        <v>1</v>
      </c>
      <c r="C1" s="1" t="s">
        <v>2</v>
      </c>
      <c r="D1" s="2" t="s">
        <v>3</v>
      </c>
      <c r="E1" s="1" t="s">
        <v>4</v>
      </c>
      <c r="F1" s="3" t="s">
        <v>5</v>
      </c>
      <c r="G1" s="1" t="s">
        <v>6</v>
      </c>
      <c r="H1" s="3" t="s">
        <v>7</v>
      </c>
      <c r="I1" s="1" t="s">
        <v>8</v>
      </c>
      <c r="J1" s="1" t="s">
        <v>9</v>
      </c>
      <c r="K1" s="1" t="s">
        <v>10</v>
      </c>
      <c r="L1" s="4" t="s">
        <v>11</v>
      </c>
      <c r="M1" s="5" t="s">
        <v>12</v>
      </c>
      <c r="N1" s="3" t="s">
        <v>13</v>
      </c>
      <c r="O1" s="6" t="s">
        <v>14</v>
      </c>
      <c r="P1" s="3" t="s">
        <v>15</v>
      </c>
      <c r="Q1" s="7" t="s">
        <v>16</v>
      </c>
      <c r="R1" s="3" t="s">
        <v>17</v>
      </c>
      <c r="S1" s="1" t="s">
        <v>18</v>
      </c>
      <c r="T1" s="3" t="s">
        <v>19</v>
      </c>
      <c r="U1" s="7" t="s">
        <v>20</v>
      </c>
      <c r="V1" s="1" t="s">
        <v>21</v>
      </c>
      <c r="W1" s="1" t="s">
        <v>22</v>
      </c>
      <c r="X1" s="8" t="s">
        <v>23</v>
      </c>
      <c r="Y1" s="1" t="s">
        <v>24</v>
      </c>
      <c r="Z1" s="1" t="s">
        <v>25</v>
      </c>
      <c r="AA1" s="1" t="s">
        <v>26</v>
      </c>
      <c r="AB1" s="1" t="s">
        <v>27</v>
      </c>
      <c r="AC1" s="9" t="s">
        <v>28</v>
      </c>
      <c r="AD1" s="10" t="s">
        <v>29</v>
      </c>
    </row>
    <row r="2" ht="30.0" customHeight="1">
      <c r="A2" s="11" t="s">
        <v>30</v>
      </c>
      <c r="B2" s="12" t="s">
        <v>31</v>
      </c>
      <c r="C2" s="12" t="s">
        <v>32</v>
      </c>
      <c r="D2" s="13" t="s">
        <v>33</v>
      </c>
      <c r="E2" s="12" t="s">
        <v>34</v>
      </c>
      <c r="F2" s="13" t="str">
        <f>IFERROR(__xludf.DUMMYFUNCTION("AI(""Give me a paragraph marketing spiel for product in this row, no tech specs just marketing fluff "")"),"Illuminate your architectural visions with the Top Bend IP69, a premium linear lighting solution designed to bring seamless radiance to any space. Engineered for incredible flexibility and breathtaking visual impact, this top-bending neon-style light curv"&amp;"es effortlessly to accentuate contours and create striking design statements. Whether you are transforming a high-end commercial venue or adding sophisticated atmosphere to an outdoor landscape, its pristine, uniform glow delivers an unmatched aesthetic e"&amp;"legance. Built to withstand the elements while maintaining its flawless brilliance, it is the ultimate choice for designers who refuse to compromise on beauty, adaptability, and style.")</f>
        <v>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v>
      </c>
      <c r="G2" s="12" t="s">
        <v>35</v>
      </c>
      <c r="H2" s="13" t="str">
        <f>IFERROR(__xludf.DUMMYFUNCTION("AI(""Give me a paragraph marketing spiel for product in this row, no tech specs just marketing fluff under 180 characters "")"),"Bring seamless radiance to any space with Top Bend IP69, a premium linear light designed to accentuate contours with a flawless uniform glow and ultimate style.")</f>
        <v>Bring seamless radiance to any space with Top Bend IP69, a premium linear light designed to accentuate contours with a flawless uniform glow and ultimate style.</v>
      </c>
      <c r="I2" s="12" t="s">
        <v>36</v>
      </c>
      <c r="J2" s="14"/>
      <c r="K2" s="14"/>
      <c r="L2" s="15" t="s">
        <v>30</v>
      </c>
      <c r="M2" s="15" t="s">
        <v>37</v>
      </c>
      <c r="N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""&amp;M2)"),"Power Consumption Rate | Color Temperature | Voltage | IP Rating | Dimension | Impact Strength")</f>
        <v>Power Consumption Rate | Color Temperature | Voltage | IP Rating | Dimension | Impact Strength</v>
      </c>
      <c r="O2" s="17" t="s">
        <v>38</v>
      </c>
      <c r="P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""&amp;L2"&amp;")"),"{""SKU"": ""TV1617-10W-2.2K-IP69"", ""Power Consumption Rate"": ""10W/m"", ""Color Temperature"": ""2200K"", ""Voltage"": ""24V"", ""IP Rating"": ""IP69"", ""Dimension"": ""16mm (W) x 17mm (H)"", ""Impact Strength"": ""IK10 with Neon-AluProfile-1617""}")</f>
        <v>{"SKU": "TV1617-10W-2.2K-IP69", "Power Consumption Rate": "10W/m", "Color Temperature": "2200K", "Voltage": "24V", "IP Rating": "IP69", "Dimension": "16mm (W) x 17mm (H)", "Impact Strength": "IK10 with Neon-AluProfile-1617"}</v>
      </c>
      <c r="Q2" s="17" t="s">
        <v>39</v>
      </c>
      <c r="R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Q2:Q9)"),"{""SKU"": [""TV1617-10W-2.2K-IP69"", ""TV1617-10W-2.7K-IP69"", ""TV1617-10W-3K-IP69"", ""TV1617-10W-4K-IP69"", ""TV1617-10W-5.3K-IP69"", ""TV1617-13W-RGB-IP69"", ""TV1617-17W-RGBW-IP69"", ""TV1617-13W-TW-IP69""], ""Power Consumption Rate"": [""10W/m"", """&amp;"13W/m"", ""17W/m""], ""Color Temperature"": [""2200K"", ""2700K"", ""3000K"", ""4000K"", ""5300K"", ""RGB"", ""RGBW (3000K)"", ""TW (2700K-5300K)""], ""Voltage"": ""24V"", ""IP Rating"": ""IP69"", ""Dimension"": ""16mm (W) x 17mm (H)"", ""Impact Strength"&amp;""": ""IK10 with Neon-AluProfile-1617""}")</f>
        <v>{"SKU": ["TV1617-10W-2.2K-IP69", "TV1617-10W-2.7K-IP69", "TV1617-10W-3K-IP69", "TV1617-10W-4K-IP69", "TV1617-10W-5.3K-IP69", "TV1617-13W-RGB-IP69", "TV1617-17W-RGBW-IP69", "TV1617-13W-TW-IP69"], "Power Consumption Rate": ["10W/m", "13W/m", "17W/m"], "Color Temperature": ["2200K", "2700K", "3000K", "4000K", "5300K", "RGB", "RGBW (3000K)", "TW (2700K-5300K)"], "Voltage": "24V", "IP Rating": "IP69", "Dimension": "16mm (W) x 17mm (H)", "Impact Strength": "IK10 with Neon-AluProfile-1617"}</v>
      </c>
      <c r="S2" s="19" t="s">
        <v>40</v>
      </c>
      <c r="T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Q2:Q9)"),"{ ""Options"": { ""Power Consumption Rate"": [ {""name"": ""10W/m"", ""id"": ""101""}, {""name"": ""13W/m"", ""id"": ""102""}, {""name"": ""17W/m"", ""id"": ""103""} ], ""Color Temperature"": [ {""name"": ""2200K"", ""id"": ""104""}, {""name"": ""2700K"","&amp;" ""id"": ""105""}, {""name"": ""3000K"", ""id"": ""106""}, {""name"": ""4000K"", ""id"": ""107""}, {""name"": ""5300K"", ""id"": ""108""}, {""name"": ""RGB"", ""id"": ""109""}, {""name"": ""RGBW (3000K)"", ""id"": ""110""}, {""name"": ""TW (2700K-5300K)"""&amp;", ""id"": ""111""} ], ""Voltage"": [ {""name"": ""24V"", ""id"": ""112""} ], ""IP Rating"": [ {""name"": ""IP69"", ""id"": ""113""} ], ""Dimension"": [ {""name"": ""16mm (W) x 17mm (H)"", ""id"": ""114""} ], ""Impact Strength"": [ {""name"": ""IK10 with N"&amp;"eon-AluProfile-1617"", ""id"": ""115""} ] }, ""Constraints"": { ""101"": [""109"", ""110"", ""111""], ""102"": [""104"", ""105"", ""106"", ""107"", ""108"", ""110""], ""103"": [""104"", ""105"", ""106"", ""107"", ""108"", ""109"", ""111""] }, ""sku_mappin"&amp;"gs"": [ { ""sku"": ""TV1617-10W-2.2K-IP69"", ""combination"": [""101"", ""104"", ""112"", ""113"", ""114"", ""115""] }, { ""sku"": ""TV1617-10W-2.7K-IP69"", ""combination"": [""101"", ""105"", ""112"", ""113"", ""114"", ""115""] }, { ""sku"": ""TV1617-10W"&amp;"-3K-IP69"", ""combination"": [""101"", ""106"", ""112"", ""113"", ""114"", ""115""] }, { ""sku"": ""TV1617-10W-4K-IP69"", ""combination"": [""101"", ""107"", ""112"", ""113"", ""114"", ""115""] }, { ""sku"": ""TV1617-10W-5.3K-IP69"", ""combination"": [""1"&amp;"01"", ""108"", ""112"", ""113"", ""114"", ""115""] }, { ""sku"": ""TV1617-13W-RGB-IP69"", ""combination"": [""102"", ""109"", ""112"", ""113"", ""114"", ""115""] }, { ""sku"": ""TV1617-17W-RGBW-IP69"", ""combination"": [""103"", ""110"", ""112"", ""113"","&amp;" ""114"", ""115""] }, { ""sku"": ""TV1617-13W-TW-IP69"", ""combination"": [""102"", ""111"", ""112"", ""113"", ""114"", ""115""] } ] }")</f>
        <v>{ "Options": {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 "Constraints": { "101": ["109", "110", "111"], "102": ["104", "105", "106", "107", "108", "110"], "103": ["104", "105", "106", "107", "108", "109", "111"] }, "sku_mappings": [ { "sku": "TV1617-10W-2.2K-IP69", "combination": ["101", "104", "112", "113", "114", "115"] }, { "sku": "TV1617-10W-2.7K-IP69", "combination": ["101", "105", "112", "113", "114", "115"] }, { "sku": "TV1617-10W-3K-IP69", "combination": ["101", "106", "112", "113", "114", "115"] }, { "sku": "TV1617-10W-4K-IP69", "combination": ["101", "107", "112", "113", "114", "115"] }, { "sku": "TV1617-10W-5.3K-IP69", "combination": ["101", "108", "112", "113", "114", "115"] }, { "sku": "TV1617-13W-RGB-IP69", "combination": ["102", "109", "112", "113", "114", "115"] }, { "sku": "TV1617-17W-RGBW-IP69", "combination": ["103", "110", "112", "113", "114", "115"] }, { "sku": "TV1617-13W-TW-IP69", "combination": ["102", "111", "112", "113", "114", "115"] } ] }</v>
      </c>
      <c r="U2" s="20" t="s">
        <v>41</v>
      </c>
      <c r="V2" s="21" t="str">
        <f>IFERROR(__xludf.DUMMYFUNCTION("AI(""Extract options object from the json"", U2)"),"{ ""Power Consumption Rate"": [ {""name"": ""10W/m"", ""id"": ""101""}, {""name"": ""13W/m"", ""id"": ""102""}, {""name"": ""17W/m"", ""id"": ""103""} ], ""Color Temperature"": [ {""name"": ""2200K"", ""id"": ""104""}, {""name"": ""2700K"", ""id"": ""105"&amp;"""}, {""name"": ""3000K"", ""id"": ""106""}, {""name"": ""4000K"", ""id"": ""107""}, {""name"": ""5300K"", ""id"": ""108""}, {""name"": ""RGB"", ""id"": ""109""}, {""name"": ""RGBW (3000K)"", ""id"": ""110""}, {""name"": ""TW (2700K-5300K)"", ""id"": ""11"&amp;"1""} ], ""Voltage"": [ {""name"": ""24V"", ""id"": ""112""} ], ""IP Rating"": [ {""name"": ""IP69"", ""id"": ""113""} ], ""Dimension"": [ {""name"": ""16mm (W) x 17mm (H)"", ""id"": ""114""} ], ""Impact Strength"": [ {""name"": ""IK10 with Neon-AluProfile"&amp;"-1617"", ""id"": ""115""} ] }")</f>
        <v>{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v>
      </c>
      <c r="W2" s="21" t="str">
        <f>IFERROR(__xludf.DUMMYFUNCTION("AI(""Extract constraints object from the json"", U2)"),"{ ""101"": [""109"", ""110"", ""111""], ""102"": [""104"", ""105"", ""106"", ""107"", ""108"", ""110""], ""103"": [""104"", ""105"", ""106"", ""107"", ""108"", ""109"", ""111""] }")</f>
        <v>{ "101": ["109", "110", "111"], "102": ["104", "105", "106", "107", "108", "110"], "103": ["104", "105", "106", "107", "108", "109", "111"] }</v>
      </c>
      <c r="X2" s="21" t="str">
        <f>IFERROR(__xludf.DUMMYFUNCTION("AI(""Extract sku_mappings object from the json"", U2)"),"[{""sku"": ""TV1617-10W-2.2K-IP69"", ""combination"": [""101"", ""104"", ""112"", ""113"", ""114"", ""115""]}, {""sku"": ""TV1617-10W-2.7K-IP69"", ""combination"": [""101"", ""105"", ""112"", ""113"", ""114"", ""115""]}, {""sku"": ""TV1617-10W-3K-IP69"", "&amp;"""combination"": [""101"", ""106"", ""112"", ""113"", ""114"", ""115""]}, {""sku"": ""TV1617-10W-4K-IP69"", ""combination"": [""101"", ""107"", ""112"", ""113"", ""114"", ""115""]}, {""sku"": ""TV1617-10W-5.3K-IP69"", ""combination"": [""101"", ""108"", "&amp;"""112"", ""113"", ""114"", ""115""]}, {""sku"": ""TV1617-13W-RGB-IP69"", ""combination"": [""102"", ""109"", ""112"", ""113"", ""114"", ""115""]}, {""sku"": ""TV1617-17W-RGBW-IP69"", ""combination"": [""103"", ""110"", ""112"", ""113"", ""114"", ""115""]}"&amp;", {""sku"": ""TV1617-13W-TW-IP69"", ""combination"": [""102"", ""111"", ""112"", ""113"", ""114"", ""115""]}]")</f>
        <v>[{"sku": "TV1617-10W-2.2K-IP69", "combination": ["101", "104", "112", "113", "114", "115"]}, {"sku": "TV1617-10W-2.7K-IP69", "combination": ["101", "105", "112", "113", "114", "115"]}, {"sku": "TV1617-10W-3K-IP69", "combination": ["101", "106", "112", "113", "114", "115"]}, {"sku": "TV1617-10W-4K-IP69", "combination": ["101", "107", "112", "113", "114", "115"]}, {"sku": "TV1617-10W-5.3K-IP69", "combination": ["101", "108", "112", "113", "114", "115"]}, {"sku": "TV1617-13W-RGB-IP69", "combination": ["102", "109", "112", "113", "114", "115"]}, {"sku": "TV1617-17W-RGBW-IP69", "combination": ["103", "110", "112", "113", "114", "115"]}, {"sku": "TV1617-13W-TW-IP69", "combination": ["102", "111", "112", "113", "114", "115"]}]</v>
      </c>
      <c r="Y2" s="22" t="s">
        <v>42</v>
      </c>
      <c r="Z2" s="22" t="s">
        <v>43</v>
      </c>
      <c r="AA2" s="23" t="s">
        <v>44</v>
      </c>
      <c r="AB2" s="24"/>
      <c r="AC2" s="24" t="str">
        <f>IFERROR(__xludf.DUMMYFUNCTION("AI(""Generate 6 powerful unique keywords for the product in this row"")"),"Architectural lighting, Linear LED, Top View neon, Waterproof light ribbon, Flexible contour illumination, Premium commercial light")</f>
        <v>Architectural lighting, Linear LED, Top View neon, Waterproof light ribbon, Flexible contour illumination, Premium commercial light</v>
      </c>
      <c r="AD2" s="24" t="s">
        <v>45</v>
      </c>
    </row>
    <row r="3" ht="30.0" customHeight="1">
      <c r="A3" s="25"/>
      <c r="B3" s="14"/>
      <c r="C3" s="14"/>
      <c r="D3" s="26"/>
      <c r="E3" s="14"/>
      <c r="F3" s="27"/>
      <c r="G3" s="14"/>
      <c r="H3" s="27"/>
      <c r="I3" s="14"/>
      <c r="J3" s="14"/>
      <c r="K3" s="14"/>
      <c r="L3" s="15" t="s">
        <v>46</v>
      </c>
      <c r="M3" s="15" t="s">
        <v>47</v>
      </c>
      <c r="N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""&amp;M3)"),"Power Consumption Rate | Color Temperature | Voltage | IP Rating | Dimension | Impact Strength")</f>
        <v>Power Consumption Rate | Color Temperature | Voltage | IP Rating | Dimension | Impact Strength</v>
      </c>
      <c r="O3" s="17" t="s">
        <v>38</v>
      </c>
      <c r="P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""&amp;L3"&amp;")"),"{""SKU"": ""TV1617-10W-2.7K-IP69"", ""Power Consumption Rate"": ""10W/m"", ""Color Temperature"": ""2700K"", ""Voltage"": ""24V"", ""IP Rating"": ""IP69"", ""Dimension"": ""16mm (W) x 17mm (H)"", ""Impact Strength"": ""IK10 with Neon-AluProfile-1617""}")</f>
        <v>{"SKU": "TV1617-10W-2.7K-IP69", "Power Consumption Rate": "10W/m", "Color Temperature": "2700K", "Voltage": "24V", "IP Rating": "IP69", "Dimension": "16mm (W) x 17mm (H)", "Impact Strength": "IK10 with Neon-AluProfile-1617"}</v>
      </c>
      <c r="Q3" s="17" t="s">
        <v>48</v>
      </c>
      <c r="R3" s="28"/>
      <c r="S3" s="29"/>
      <c r="T3" s="28"/>
      <c r="U3" s="30"/>
      <c r="V3" s="28"/>
      <c r="W3" s="28"/>
      <c r="X3" s="28"/>
      <c r="Y3" s="22" t="s">
        <v>42</v>
      </c>
      <c r="Z3" s="22" t="s">
        <v>43</v>
      </c>
      <c r="AA3" s="23" t="s">
        <v>44</v>
      </c>
      <c r="AB3" s="24"/>
      <c r="AC3" s="24"/>
      <c r="AD3" s="24"/>
    </row>
    <row r="4" ht="30.0" customHeight="1">
      <c r="A4" s="25"/>
      <c r="B4" s="14"/>
      <c r="C4" s="14"/>
      <c r="D4" s="26"/>
      <c r="E4" s="14"/>
      <c r="F4" s="27"/>
      <c r="G4" s="14"/>
      <c r="H4" s="27"/>
      <c r="I4" s="14"/>
      <c r="J4" s="14"/>
      <c r="K4" s="14"/>
      <c r="L4" s="15" t="s">
        <v>49</v>
      </c>
      <c r="M4" s="15" t="s">
        <v>50</v>
      </c>
      <c r="N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""&amp;M4)"),"Power Consumption Rate | Color Temperature | Voltage | IP Rating | Dimension | Impact Strength")</f>
        <v>Power Consumption Rate | Color Temperature | Voltage | IP Rating | Dimension | Impact Strength</v>
      </c>
      <c r="O4" s="17" t="s">
        <v>38</v>
      </c>
      <c r="P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""&amp;L4"&amp;")"),"{""SKU"": ""TV1617-10W-3K-IP69"", ""Power Consumption Rate"": ""10W/m"", ""Color Temperature"": ""3000K"", ""Voltage"": ""24V"", ""IP Rating"": ""IP69"", ""Dimension"": ""16mm (W) x 17mm (H)"", ""Impact Strength"": ""IK10 with Neon-AluProfile-1617""}")</f>
        <v>{"SKU": "TV1617-10W-3K-IP69", "Power Consumption Rate": "10W/m", "Color Temperature": "3000K", "Voltage": "24V", "IP Rating": "IP69", "Dimension": "16mm (W) x 17mm (H)", "Impact Strength": "IK10 with Neon-AluProfile-1617"}</v>
      </c>
      <c r="Q4" s="17" t="s">
        <v>51</v>
      </c>
      <c r="R4" s="28"/>
      <c r="S4" s="29"/>
      <c r="T4" s="28"/>
      <c r="U4" s="30"/>
      <c r="V4" s="28"/>
      <c r="W4" s="28"/>
      <c r="X4" s="28"/>
      <c r="Y4" s="12" t="s">
        <v>42</v>
      </c>
      <c r="Z4" s="12" t="s">
        <v>43</v>
      </c>
      <c r="AA4" s="23" t="s">
        <v>44</v>
      </c>
      <c r="AB4" s="24"/>
      <c r="AC4" s="24"/>
      <c r="AD4" s="24"/>
    </row>
    <row r="5" ht="30.0" customHeight="1">
      <c r="A5" s="25"/>
      <c r="B5" s="14"/>
      <c r="C5" s="14"/>
      <c r="D5" s="26"/>
      <c r="E5" s="14"/>
      <c r="F5" s="27"/>
      <c r="G5" s="14"/>
      <c r="H5" s="27"/>
      <c r="I5" s="14"/>
      <c r="J5" s="14"/>
      <c r="K5" s="14"/>
      <c r="L5" s="15" t="s">
        <v>52</v>
      </c>
      <c r="M5" s="15" t="s">
        <v>53</v>
      </c>
      <c r="N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""&amp;M5)"),"Power Consumption Rate | Color Temperature | Voltage | IP Rating | Dimension | Impact Strength")</f>
        <v>Power Consumption Rate | Color Temperature | Voltage | IP Rating | Dimension | Impact Strength</v>
      </c>
      <c r="O5" s="17" t="s">
        <v>38</v>
      </c>
      <c r="P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""&amp;L5"&amp;")"),"{""SKU"": ""TV1617-10W-4K-IP69"", ""Power Consumption Rate"": ""10W/m"", ""Color Temperature"": ""4000K"", ""Voltage"": ""24V"", ""IP Rating"": ""IP69"", ""Dimension"": ""16mm (W) x 17mm (H)"", ""Impact Strength"": ""IK10 with Neon-AluProfile-1617""}")</f>
        <v>{"SKU": "TV1617-10W-4K-IP69", "Power Consumption Rate": "10W/m", "Color Temperature": "4000K", "Voltage": "24V", "IP Rating": "IP69", "Dimension": "16mm (W) x 17mm (H)", "Impact Strength": "IK10 with Neon-AluProfile-1617"}</v>
      </c>
      <c r="Q5" s="17" t="s">
        <v>54</v>
      </c>
      <c r="R5" s="28"/>
      <c r="S5" s="29"/>
      <c r="T5" s="28"/>
      <c r="U5" s="30"/>
      <c r="V5" s="28"/>
      <c r="W5" s="28"/>
      <c r="X5" s="28"/>
      <c r="Y5" s="12" t="s">
        <v>42</v>
      </c>
      <c r="Z5" s="12" t="s">
        <v>43</v>
      </c>
      <c r="AA5" s="23" t="s">
        <v>44</v>
      </c>
      <c r="AB5" s="24"/>
      <c r="AC5" s="24"/>
      <c r="AD5" s="24"/>
    </row>
    <row r="6" ht="30.0" customHeight="1">
      <c r="A6" s="25"/>
      <c r="B6" s="14"/>
      <c r="C6" s="14"/>
      <c r="D6" s="26"/>
      <c r="E6" s="14"/>
      <c r="F6" s="27"/>
      <c r="G6" s="14"/>
      <c r="H6" s="27"/>
      <c r="I6" s="14"/>
      <c r="J6" s="14"/>
      <c r="K6" s="14"/>
      <c r="L6" s="15" t="s">
        <v>55</v>
      </c>
      <c r="M6" s="15" t="s">
        <v>56</v>
      </c>
      <c r="N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""&amp;M6)"),"Power Consumption Rate | Color Temperature | Voltage | IP Rating | Dimension | Impact Strength")</f>
        <v>Power Consumption Rate | Color Temperature | Voltage | IP Rating | Dimension | Impact Strength</v>
      </c>
      <c r="O6" s="17" t="s">
        <v>38</v>
      </c>
      <c r="P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""&amp;L6"&amp;")"),"{""SKU"": ""TV1617-10W-5.3K-IP69"", ""Power Consumption Rate"": ""10W/m"", ""Color Temperature"": ""5300K"", ""Voltage"": ""24V"", ""IP Rating"": ""IP69"", ""Dimension"": ""16mm (W) x 17mm (H)"", ""Impact Strength"": ""IK10 with Neon-AluProfile-1617""}")</f>
        <v>{"SKU": "TV1617-10W-5.3K-IP69", "Power Consumption Rate": "10W/m", "Color Temperature": "5300K", "Voltage": "24V", "IP Rating": "IP69", "Dimension": "16mm (W) x 17mm (H)", "Impact Strength": "IK10 with Neon-AluProfile-1617"}</v>
      </c>
      <c r="Q6" s="17" t="s">
        <v>57</v>
      </c>
      <c r="R6" s="28"/>
      <c r="S6" s="29"/>
      <c r="T6" s="28"/>
      <c r="U6" s="30"/>
      <c r="V6" s="28"/>
      <c r="W6" s="28"/>
      <c r="X6" s="28"/>
      <c r="Y6" s="12" t="s">
        <v>42</v>
      </c>
      <c r="Z6" s="12" t="s">
        <v>43</v>
      </c>
      <c r="AA6" s="23" t="s">
        <v>44</v>
      </c>
      <c r="AB6" s="24"/>
      <c r="AC6" s="24"/>
      <c r="AD6" s="24"/>
    </row>
    <row r="7" ht="30.0" customHeight="1">
      <c r="A7" s="25"/>
      <c r="B7" s="14"/>
      <c r="C7" s="14"/>
      <c r="D7" s="26"/>
      <c r="E7" s="14"/>
      <c r="F7" s="27"/>
      <c r="G7" s="14"/>
      <c r="H7" s="27"/>
      <c r="I7" s="14"/>
      <c r="J7" s="14"/>
      <c r="K7" s="14"/>
      <c r="L7" s="15" t="s">
        <v>58</v>
      </c>
      <c r="M7" s="15" t="s">
        <v>59</v>
      </c>
      <c r="N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""&amp;M7)"),"Power Consumption Rate | Color Temperature | Voltage | IP Rating | Dimension | Impact Strength")</f>
        <v>Power Consumption Rate | Color Temperature | Voltage | IP Rating | Dimension | Impact Strength</v>
      </c>
      <c r="O7" s="17" t="s">
        <v>38</v>
      </c>
      <c r="P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""&amp;L7"&amp;")"),"{""SKU"": ""TV1617-13W-RGB-IP69"", ""Power Consumption Rate"": ""13W/m"", ""Color Temperature"": ""RGB"", ""Voltage"": ""24V"", ""IP Rating"": ""IP69"", ""Dimension"": ""16mm (W) x 17mm (H)"", ""Impact Strength"": ""IK10 with Neon-AluProfile-1617""}")</f>
        <v>{"SKU": "TV1617-13W-RGB-IP69", "Power Consumption Rate": "13W/m", "Color Temperature": "RGB", "Voltage": "24V", "IP Rating": "IP69", "Dimension": "16mm (W) x 17mm (H)", "Impact Strength": "IK10 with Neon-AluProfile-1617"}</v>
      </c>
      <c r="Q7" s="17" t="s">
        <v>60</v>
      </c>
      <c r="R7" s="28"/>
      <c r="S7" s="29"/>
      <c r="T7" s="28"/>
      <c r="U7" s="30"/>
      <c r="V7" s="28"/>
      <c r="W7" s="28"/>
      <c r="X7" s="28"/>
      <c r="Y7" s="12" t="s">
        <v>42</v>
      </c>
      <c r="Z7" s="12" t="s">
        <v>61</v>
      </c>
      <c r="AA7" s="23" t="s">
        <v>44</v>
      </c>
      <c r="AB7" s="24"/>
      <c r="AC7" s="24"/>
      <c r="AD7" s="24"/>
    </row>
    <row r="8" ht="30.0" customHeight="1">
      <c r="A8" s="25"/>
      <c r="B8" s="14"/>
      <c r="C8" s="14"/>
      <c r="D8" s="26"/>
      <c r="E8" s="14"/>
      <c r="F8" s="27"/>
      <c r="G8" s="14"/>
      <c r="H8" s="27"/>
      <c r="I8" s="14"/>
      <c r="J8" s="14"/>
      <c r="K8" s="14"/>
      <c r="L8" s="15" t="s">
        <v>62</v>
      </c>
      <c r="M8" s="15" t="s">
        <v>63</v>
      </c>
      <c r="N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""&amp;M8)"),"Power Consumption Rate | Color Temperature | Voltage | IP Rating | Dimension | Impact Strength")</f>
        <v>Power Consumption Rate | Color Temperature | Voltage | IP Rating | Dimension | Impact Strength</v>
      </c>
      <c r="O8" s="17" t="s">
        <v>38</v>
      </c>
      <c r="P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""&amp;L8"&amp;")"),"{""SKU"": ""TV1617-17W-RGBW-IP69"", ""Power Consumption Rate"": ""17W/m"", ""Color Temperature"": ""RGBW (3000K)"", ""Voltage"": ""24V"", ""IP Rating"": ""IP69"", ""Dimension"": ""16mm (W) x 17mm (H)"", ""Impact Strength"": ""IK10 with Neon-AluProfile-161"&amp;"7""}")</f>
        <v>{"SKU": "TV1617-17W-RGBW-IP69", "Power Consumption Rate": "17W/m", "Color Temperature": "RGBW (3000K)", "Voltage": "24V", "IP Rating": "IP69", "Dimension": "16mm (W) x 17mm (H)", "Impact Strength": "IK10 with Neon-AluProfile-1617"}</v>
      </c>
      <c r="Q8" s="17" t="s">
        <v>64</v>
      </c>
      <c r="R8" s="28"/>
      <c r="S8" s="29"/>
      <c r="T8" s="28"/>
      <c r="U8" s="30"/>
      <c r="V8" s="28"/>
      <c r="W8" s="28"/>
      <c r="X8" s="28"/>
      <c r="Y8" s="12" t="s">
        <v>42</v>
      </c>
      <c r="Z8" s="12" t="s">
        <v>65</v>
      </c>
      <c r="AA8" s="23" t="s">
        <v>44</v>
      </c>
      <c r="AB8" s="24"/>
      <c r="AC8" s="24"/>
      <c r="AD8" s="24"/>
    </row>
    <row r="9" ht="30.0" customHeight="1">
      <c r="A9" s="25"/>
      <c r="B9" s="14"/>
      <c r="C9" s="14"/>
      <c r="D9" s="26"/>
      <c r="E9" s="14"/>
      <c r="F9" s="27"/>
      <c r="G9" s="14"/>
      <c r="H9" s="27"/>
      <c r="I9" s="14"/>
      <c r="J9" s="14"/>
      <c r="K9" s="14"/>
      <c r="L9" s="15" t="s">
        <v>66</v>
      </c>
      <c r="M9" s="15" t="s">
        <v>67</v>
      </c>
      <c r="N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""&amp;M9)"),"Power Consumption Rate | Color Temperature | Voltage | IP Rating | Dimension | Impact Strength")</f>
        <v>Power Consumption Rate | Color Temperature | Voltage | IP Rating | Dimension | Impact Strength</v>
      </c>
      <c r="O9" s="17" t="s">
        <v>38</v>
      </c>
      <c r="P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""&amp;L9"&amp;")"),"{""SKU"": ""TV1617-13W-TW-IP69"", ""Power Consumption Rate"": ""13W/m"", ""Color Temperature"": ""TW (2700K-5300K)"", ""Voltage"": ""24V"", ""IP Rating"": ""IP69"", ""Dimension"": ""16mm (W) x 17mm (H)"", ""Impact Strength"": ""IK10 with Neon-AluProfile-1"&amp;"617""}")</f>
        <v>{"SKU": "TV1617-13W-TW-IP69", "Power Consumption Rate": "13W/m", "Color Temperature": "TW (2700K-5300K)", "Voltage": "24V", "IP Rating": "IP69", "Dimension": "16mm (W) x 17mm (H)", "Impact Strength": "IK10 with Neon-AluProfile-1617"}</v>
      </c>
      <c r="Q9" s="17" t="s">
        <v>68</v>
      </c>
      <c r="R9" s="28"/>
      <c r="S9" s="29"/>
      <c r="T9" s="28"/>
      <c r="U9" s="30"/>
      <c r="V9" s="28"/>
      <c r="W9" s="28"/>
      <c r="X9" s="28"/>
      <c r="Y9" s="12" t="s">
        <v>42</v>
      </c>
      <c r="Z9" s="12" t="s">
        <v>69</v>
      </c>
      <c r="AA9" s="23" t="s">
        <v>44</v>
      </c>
      <c r="AB9" s="24"/>
      <c r="AC9" s="24"/>
      <c r="AD9" s="24"/>
    </row>
    <row r="10" ht="30.0" customHeight="1">
      <c r="A10" s="11" t="s">
        <v>70</v>
      </c>
      <c r="B10" s="12" t="s">
        <v>31</v>
      </c>
      <c r="C10" s="12" t="s">
        <v>32</v>
      </c>
      <c r="D10" s="13" t="s">
        <v>33</v>
      </c>
      <c r="E10" s="12" t="s">
        <v>34</v>
      </c>
      <c r="F10" s="13" t="str">
        <f>IFERROR(__xludf.DUMMYFUNCTION("AI(""Give me a paragraph marketing spiel for product in this row, no tech specs just marketing fluff "")"),"Illuminate your architectural visions with the Top Bend IP69, a premium linear lighting solution designed to bring seamless radiance to any space. Engineered for incredible flexibility and breathtaking visual impact, this top-bending neon-style light curv"&amp;"es effortlessly to accentuate contours and create striking design statements. Whether you are transforming a high-end commercial venue or adding sophisticated atmosphere to an outdoor landscape, its pristine, uniform glow delivers an unmatched aesthetic e"&amp;"legance. Built to withstand the elements while maintaining its flawless brilliance, it is the ultimate choice for designers who refuse to compromise on beauty, adaptability, and style.")</f>
        <v>Illuminate your architectural visions with the Top Bend IP69, a premium linear lighting solution designed to bring seamless radiance to any space. Engineered for incredible flexibility and breathtaking visual impact, this top-bending neon-style light curves effortlessly to accentuate contours and create striking design statements. Whether you are transforming a high-end commercial venue or adding sophisticated atmosphere to an outdoor landscape, its pristine, uniform glow delivers an unmatched aesthetic elegance. Built to withstand the elements while maintaining its flawless brilliance, it is the ultimate choice for designers who refuse to compromise on beauty, adaptability, and style.</v>
      </c>
      <c r="G10" s="12" t="s">
        <v>35</v>
      </c>
      <c r="H10" s="13" t="str">
        <f>IFERROR(__xludf.DUMMYFUNCTION("AI(""Give me a paragraph marketing spiel for product in this row, no tech specs just marketing fluff under 180 characters "")"),"Bring seamless radiance to any space with Top Bend IP69, a premium linear light designed to accentuate contours with a flawless uniform glow and ultimate style.")</f>
        <v>Bring seamless radiance to any space with Top Bend IP69, a premium linear light designed to accentuate contours with a flawless uniform glow and ultimate style.</v>
      </c>
      <c r="I10" s="12" t="s">
        <v>36</v>
      </c>
      <c r="J10" s="14"/>
      <c r="K10" s="14"/>
      <c r="L10" s="15" t="s">
        <v>70</v>
      </c>
      <c r="M10" s="15" t="s">
        <v>71</v>
      </c>
      <c r="N1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""&amp;M10)"),"Power Consumption Rate | Color Temperature | Voltage | IP Rating | Dimension | Control Protocol | Pixel | Impact Strength")</f>
        <v>Power Consumption Rate | Color Temperature | Voltage | IP Rating | Dimension | Control Protocol | Pixel | Impact Strength</v>
      </c>
      <c r="O10" s="17" t="s">
        <v>72</v>
      </c>
      <c r="P1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""&amp;"&amp;"L10)"),"{""Power Consumption Rate"": ""15W/m"", ""Color Temperature"": ""RGB"", ""Voltage"": ""24V"", ""IP Rating"": ""IP69"", ""Dimension"": ""16mm (W) x 17mm (H)"", ""Control Protocol"": ""DMX"", ""Pixel"": ""12 Pixels/m"", ""Impact Strength"": ""IK10 with Neon"&amp;"-AluProfile-1617"", ""SKU"": ""TV1617-15W-RGB-IP69-DMX""}")</f>
        <v>{"Power Consumption Rate": "15W/m", "Color Temperature": "RGB", "Voltage": "24V", "IP Rating": "IP69", "Dimension": "16mm (W) x 17mm (H)", "Control Protocol": "DMX", "Pixel": "12 Pixels/m", "Impact Strength": "IK10 with Neon-AluProfile-1617", "SKU": "TV1617-15W-RGB-IP69-DMX"}</v>
      </c>
      <c r="Q10" s="17" t="s">
        <v>73</v>
      </c>
      <c r="R10"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Q10:Q13)"),"{""Power Consumption Rate"": [""15W/m"", ""16W/m"", ""22W/m""], ""Color Temperature"": [""RGB"", ""RGBW (3000K)""], ""Voltage"": ""24V"", ""IP Rating"": ""IP69"", ""Dimension"": ""16mm (W) x 17mm (H)"", ""Control Protocol"": [""DMX"", ""SPI""], ""Pixel"":"&amp;" ""12 Pixels/m"", ""Impact Strength"": ""IK10 with Neon-AluProfile-1617"", ""SKU"": [""TV1617-15W-RGB-IP69-DMX"", ""TV1617-16W-RGB-IP69-SPI"", ""TV1617-15W-RGBW-IP69-DMX"", ""TV1617-22W-RGBW-IP69-SPI""]}")</f>
        <v>{"Power Consumption Rate": ["15W/m", "16W/m", "22W/m"], "Color Temperature": ["RGB", "RGBW (3000K)"], "Voltage": "24V", "IP Rating": "IP69", "Dimension": "16mm (W) x 17mm (H)", "Control Protocol": ["DMX", "SPI"], "Pixel": "12 Pixels/m", "Impact Strength": "IK10 with Neon-AluProfile-1617", "SKU": ["TV1617-15W-RGB-IP69-DMX", "TV1617-16W-RGB-IP69-SPI", "TV1617-15W-RGBW-IP69-DMX", "TV1617-22W-RGBW-IP69-SPI"]}</v>
      </c>
      <c r="S10" s="19" t="s">
        <v>74</v>
      </c>
      <c r="T10"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Q10:Q13)"),"{
""Options"": {
""Power Consumption Rate"": [
{""name"": ""15W/m"", ""id"": ""101""},
{""name"": ""16W/m"", ""id"": ""102""},
{""name"": ""22W/m"", ""id"": ""103""}
],
""Color Temperature"": [
{""name"": ""RGB"", ""id"": ""104""},
{""name"": ""RGBW (3000"&amp;"K)"", ""id"": ""105""}
],
""Voltage"": [
{""name"": ""24V"", ""id"": ""106""}
],
""IP Rating"": [
{""name"": ""IP69"", ""id"": ""107""}
],
""Dimension"": [
{""name"": ""16mm (W) x 17mm (H)"", ""id"": ""108""}
],
""Control Protocol"": [
{""name"": ""DMX"","&amp;" ""id"": ""109""},
{""name"": ""SPI"", ""id"": ""110""}
],
""Pixel"": [
{""name"": ""12 Pixels/m"", ""id"": ""111""}
],
""Impact Strength"": [
{""name"": ""IK10 with Neon-AluProfile-1617"", ""id"": ""112""}
]
},
""Constraints"": {
""101"": [""110""],
""10"&amp;"2"": [""105"", ""109""],
""103"": [""104"", ""109""],
""104"": [""103""],
""105"": [""102""],
""109"": [""102"", ""103""],
""110"": [""101""]
},
""sku_mappings"": [
{ ""sku"": ""TV1617-15W-RGB-IP69-DMX"", ""combination"": [""101"", ""104"", ""106"", ""107"&amp;""", ""108"", ""109"", ""111"", ""112""] },
{ ""sku"": ""TV1617-16W-RGB-IP69-SPI"", ""combination"": [""102"", ""104"", ""106"", ""107"", ""108"", ""110"", ""111"", ""112""] },
{ ""sku"": ""TV1617-15W-RGBW-IP69-DMX"", ""combination"": [""101"", ""105"", """&amp;"106"", ""107"", ""108"", ""109"", ""111"", ""112""] },
{ ""sku"": ""TV1617-22W-RGBW-IP69-SPI"", ""combination"": [""103"", ""105"", ""106"", ""107"", ""108"", ""110"", ""111"", ""112""] }
]
}")</f>
        <v>{
"Options": {
"Power Consumption Rate": [
{"name": "15W/m", "id": "101"},
{"name": "16W/m", "id": "102"},
{"name": "22W/m", "id": "103"}
],
"Color Temperature": [
{"name": "RGB", "id": "104"},
{"name": "RGBW (3000K)", "id": "105"}
],
"Voltage": [
{"name": "24V", "id": "106"}
],
"IP Rating": [
{"name": "IP69", "id": "107"}
],
"Dimension": [
{"name": "16mm (W) x 17mm (H)", "id": "108"}
],
"Control Protocol": [
{"name": "DMX", "id": "109"},
{"name": "SPI", "id": "110"}
],
"Pixel": [
{"name": "12 Pixels/m", "id": "111"}
],
"Impact Strength": [
{"name": "IK10 with Neon-AluProfile-1617", "id": "112"}
]
},
"Constraints": {
"101": ["110"],
"102": ["105", "109"],
"103": ["104", "109"],
"104": ["103"],
"105": ["102"],
"109": ["102", "103"],
"110": ["101"]
},
"sku_mappings": [
{ "sku": "TV1617-15W-RGB-IP69-DMX", "combination": ["101", "104", "106", "107", "108", "109", "111", "112"] },
{ "sku": "TV1617-16W-RGB-IP69-SPI", "combination": ["102", "104", "106", "107", "108", "110", "111", "112"] },
{ "sku": "TV1617-15W-RGBW-IP69-DMX", "combination": ["101", "105", "106", "107", "108", "109", "111", "112"] },
{ "sku": "TV1617-22W-RGBW-IP69-SPI", "combination": ["103", "105", "106", "107", "108", "110", "111", "112"] }
]
}</v>
      </c>
      <c r="U10" s="20" t="s">
        <v>75</v>
      </c>
      <c r="V10" s="21" t="str">
        <f>IFERROR(__xludf.DUMMYFUNCTION("AI(""Extract options object from the json"", U10)"),"{ ""Power Consumption Rate"": [ {""name"": ""15W/m"", ""id"": ""101""}, {""name"": ""16W/m"", ""id"": ""102""}, {""name"": ""22W/m"", ""id"": ""103""} ], ""Color Temperature"": [ {""name"": ""RGB"", ""id"": ""104""}, {""name"": ""RGBW (3000K)"", ""id"": "&amp;"""105""} ], ""Voltage"": [ {""name"": ""24V"", ""id"": ""106""} ], ""IP Rating"": [ {""name"": ""IP69"", ""id"": ""107""} ], ""Dimension"": [ {""name"": ""16mm (W) x 17mm (H)"", ""id"": ""108""} ], ""Control Protocol"": [ {""name"": ""DMX"", ""id"": ""109"&amp;"""}, {""name"": ""SPI"", ""id"": ""110""} ], ""Pixel"": [ {""name"": ""12 Pixels/m"", ""id"": ""111""} ], ""Impact Strength"": [ {""name"": ""IK10 with Neon-AluProfile-1617"", ""id"": ""112""} ] }")</f>
        <v>{ "Power Consumption Rate": [ {"name": "15W/m", "id": "101"}, {"name": "16W/m", "id": "102"}, {"name": "22W/m", "id": "103"} ], "Color Temperature": [ {"name": "RGB", "id": "104"}, {"name": "RGBW (3000K)", "id": "105"} ], "Voltage": [ {"name": "24V", "id": "106"} ], "IP Rating": [ {"name": "IP69", "id": "107"} ], "Dimension": [ {"name": "16mm (W) x 17mm (H)", "id": "108"} ], "Control Protocol": [ {"name": "DMX", "id": "109"}, {"name": "SPI", "id": "110"} ], "Pixel": [ {"name": "12 Pixels/m", "id": "111"} ], "Impact Strength": [ {"name": "IK10 with Neon-AluProfile-1617", "id": "112"} ] }</v>
      </c>
      <c r="W10" s="21" t="str">
        <f>IFERROR(__xludf.DUMMYFUNCTION("AI(""Extract constraints object from the json"", U10)"),"{""101"": [""110""], ""102"": [""105"", ""109""], ""103"": [""104"", ""109""], ""104"": [""103""], ""105"": [""102""], ""109"": [""102"", ""103""], ""110"": [""101""]}")</f>
        <v>{"101": ["110"], "102": ["105", "109"], "103": ["104", "109"], "104": ["103"], "105": ["102"], "109": ["102", "103"], "110": ["101"]}</v>
      </c>
      <c r="X10" s="21" t="str">
        <f>IFERROR(__xludf.DUMMYFUNCTION("AI(""Extract sku_mappings object from the json"", U10)"),"[{""sku"": ""TV1617-15W-RGB-IP69-DMX"", ""combination"": [""101"", ""104"", ""106"", ""107"", ""108"", ""109"", ""111"", ""112""]}, {""sku"": ""TV1617-16W-RGB-IP69-SPI"", ""combination"": [""102"", ""104"", ""106"", ""107"", ""108"", ""110"", ""111"", ""1"&amp;"12""]}, {""sku"": ""TV1617-15W-RGBW-IP69-DMX"", ""combination"": [""101"", ""105"", ""106"", ""107"", ""108"", ""109"", ""111"", ""112""]}, {""sku"": ""TV1617-22W-RGBW-IP69-SPI"", ""combination"": [""103"", ""105"", ""106"", ""107"", ""108"", ""110"", ""1"&amp;"11"", ""112""]}]")</f>
        <v>[{"sku": "TV1617-15W-RGB-IP69-DMX", "combination": ["101", "104", "106", "107", "108", "109", "111", "112"]}, {"sku": "TV1617-16W-RGB-IP69-SPI", "combination": ["102", "104", "106", "107", "108", "110", "111", "112"]}, {"sku": "TV1617-15W-RGBW-IP69-DMX", "combination": ["101", "105", "106", "107", "108", "109", "111", "112"]}, {"sku": "TV1617-22W-RGBW-IP69-SPI", "combination": ["103", "105", "106", "107", "108", "110", "111", "112"]}]</v>
      </c>
      <c r="Y10" s="12" t="s">
        <v>42</v>
      </c>
      <c r="Z10" s="12" t="s">
        <v>76</v>
      </c>
      <c r="AA10" s="23" t="s">
        <v>44</v>
      </c>
      <c r="AB10" s="24"/>
      <c r="AC10" s="24"/>
      <c r="AD10" s="24"/>
    </row>
    <row r="11" ht="30.0" customHeight="1">
      <c r="A11" s="25"/>
      <c r="B11" s="14"/>
      <c r="C11" s="14"/>
      <c r="D11" s="26"/>
      <c r="E11" s="14"/>
      <c r="F11" s="27"/>
      <c r="G11" s="14"/>
      <c r="H11" s="27"/>
      <c r="I11" s="14"/>
      <c r="J11" s="14"/>
      <c r="K11" s="14"/>
      <c r="L11" s="15" t="s">
        <v>77</v>
      </c>
      <c r="M11" s="15" t="s">
        <v>78</v>
      </c>
      <c r="N1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""&amp;M11)"),"Power Consumption Rate | Color Temperature | Voltage | IP Rating | Dimension | Control Protocol | Pixel | Impact Strength")</f>
        <v>Power Consumption Rate | Color Temperature | Voltage | IP Rating | Dimension | Control Protocol | Pixel | Impact Strength</v>
      </c>
      <c r="O11" s="17" t="s">
        <v>72</v>
      </c>
      <c r="P1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""&amp;"&amp;"L11)"),"{""Power Consumption Rate"": ""16W/m"", ""Color Temperature"": ""RGB"", ""Voltage"": ""24V"", ""IP Rating"": ""IP69"", ""Dimension"": ""16mm (W) x 17mm (H)"", ""Control Protocol"": ""SPI"", ""Pixel"": ""12 Pixels/m"", ""Impact Strength"": ""IK10 with Neon"&amp;"-AluProfile-1617"", ""SKU"": ""TV1617-16W-RGB-IP69-SPI""}")</f>
        <v>{"Power Consumption Rate": "16W/m", "Color Temperature": "RGB", "Voltage": "24V", "IP Rating": "IP69", "Dimension": "16mm (W) x 17mm (H)", "Control Protocol": "SPI", "Pixel": "12 Pixels/m", "Impact Strength": "IK10 with Neon-AluProfile-1617", "SKU": "TV1617-16W-RGB-IP69-SPI"}</v>
      </c>
      <c r="Q11" s="17" t="s">
        <v>79</v>
      </c>
      <c r="R11" s="28"/>
      <c r="S11" s="29"/>
      <c r="T11" s="28"/>
      <c r="U11" s="30"/>
      <c r="V11" s="28"/>
      <c r="W11" s="28"/>
      <c r="X11" s="28"/>
      <c r="Y11" s="12" t="s">
        <v>42</v>
      </c>
      <c r="Z11" s="12" t="s">
        <v>80</v>
      </c>
      <c r="AA11" s="23" t="s">
        <v>44</v>
      </c>
      <c r="AB11" s="24"/>
      <c r="AC11" s="24"/>
      <c r="AD11" s="24"/>
    </row>
    <row r="12" ht="30.0" customHeight="1">
      <c r="A12" s="25"/>
      <c r="B12" s="14"/>
      <c r="C12" s="14"/>
      <c r="D12" s="26"/>
      <c r="E12" s="14"/>
      <c r="F12" s="27"/>
      <c r="G12" s="14"/>
      <c r="H12" s="27"/>
      <c r="I12" s="14"/>
      <c r="J12" s="14"/>
      <c r="K12" s="14"/>
      <c r="L12" s="15" t="s">
        <v>81</v>
      </c>
      <c r="M12" s="15" t="s">
        <v>82</v>
      </c>
      <c r="N1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""&amp;M12)"),"Power Consumption Rate | Color Temperature | Voltage | IP Rating | Dimension | Control Protocol | Pixel | Impact Strength")</f>
        <v>Power Consumption Rate | Color Temperature | Voltage | IP Rating | Dimension | Control Protocol | Pixel | Impact Strength</v>
      </c>
      <c r="O12" s="17" t="s">
        <v>72</v>
      </c>
      <c r="P1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""&amp;"&amp;"L12)"),"{""Power Consumption Rate"": ""15W/m"", ""Color Temperature"": ""RGBW (3000K)"", ""Voltage"": ""24V"", ""IP Rating"": ""IP69"", ""Dimension"": ""16mm (W) x 17mm (H)"", ""Control Protocol"": ""DMX"", ""Pixel"": ""12 Pixels/m"", ""Impact Strength"": ""IK10 "&amp;"with Neon-AluProfile-1617"", ""SKU"": ""TV1617-15W-RGBW-IP69-DMX""}")</f>
        <v>{"Power Consumption Rate": "15W/m", "Color Temperature": "RGBW (3000K)", "Voltage": "24V", "IP Rating": "IP69", "Dimension": "16mm (W) x 17mm (H)", "Control Protocol": "DMX", "Pixel": "12 Pixels/m", "Impact Strength": "IK10 with Neon-AluProfile-1617", "SKU": "TV1617-15W-RGBW-IP69-DMX"}</v>
      </c>
      <c r="Q12" s="17" t="s">
        <v>83</v>
      </c>
      <c r="R12" s="28"/>
      <c r="S12" s="29"/>
      <c r="T12" s="28"/>
      <c r="U12" s="30"/>
      <c r="V12" s="28"/>
      <c r="W12" s="28"/>
      <c r="X12" s="28"/>
      <c r="Y12" s="12" t="s">
        <v>42</v>
      </c>
      <c r="Z12" s="12" t="s">
        <v>84</v>
      </c>
      <c r="AA12" s="23" t="s">
        <v>44</v>
      </c>
      <c r="AB12" s="24"/>
      <c r="AC12" s="24"/>
      <c r="AD12" s="24"/>
    </row>
    <row r="13" ht="30.0" customHeight="1">
      <c r="A13" s="25"/>
      <c r="B13" s="14"/>
      <c r="C13" s="14"/>
      <c r="D13" s="26"/>
      <c r="E13" s="14"/>
      <c r="F13" s="27"/>
      <c r="G13" s="14"/>
      <c r="H13" s="27"/>
      <c r="I13" s="14"/>
      <c r="J13" s="14"/>
      <c r="K13" s="14"/>
      <c r="L13" s="15" t="s">
        <v>85</v>
      </c>
      <c r="M13" s="15" t="s">
        <v>86</v>
      </c>
      <c r="N1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""&amp;M13)"),"Power Consumption Rate | Color Temperature | Voltage | IP Rating | Dimension | Control Protocol | Pixel | Impact Strength")</f>
        <v>Power Consumption Rate | Color Temperature | Voltage | IP Rating | Dimension | Control Protocol | Pixel | Impact Strength</v>
      </c>
      <c r="O13" s="17" t="s">
        <v>72</v>
      </c>
      <c r="P1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""&amp;"&amp;"L13)"),"{""Power Consumption Rate"": ""22W/m"", ""Color Temperature"": ""RGBW (3000K)"", ""Voltage"": ""24V"", ""IP Rating"": ""IP69"", ""Dimension"": ""16mm (W) x 17mm (H)"", ""Control Protocol"": ""SPI"", ""Pixel"": ""12 Pixels/m"", ""Impact Strength"": ""IK10 "&amp;"with Neon-AluProfile-1617"", ""SKU"": ""TV1617-22W-RGBW-IP69-SPI""}")</f>
        <v>{"Power Consumption Rate": "22W/m", "Color Temperature": "RGBW (3000K)", "Voltage": "24V", "IP Rating": "IP69", "Dimension": "16mm (W) x 17mm (H)", "Control Protocol": "SPI", "Pixel": "12 Pixels/m", "Impact Strength": "IK10 with Neon-AluProfile-1617", "SKU": "TV1617-22W-RGBW-IP69-SPI"}</v>
      </c>
      <c r="Q13" s="17" t="s">
        <v>87</v>
      </c>
      <c r="R13" s="28"/>
      <c r="S13" s="29"/>
      <c r="T13" s="28"/>
      <c r="U13" s="30"/>
      <c r="V13" s="28"/>
      <c r="W13" s="28"/>
      <c r="X13" s="28"/>
      <c r="Y13" s="12" t="s">
        <v>42</v>
      </c>
      <c r="Z13" s="12" t="s">
        <v>88</v>
      </c>
      <c r="AA13" s="23" t="s">
        <v>44</v>
      </c>
      <c r="AB13" s="24"/>
      <c r="AC13" s="24"/>
      <c r="AD13" s="24"/>
    </row>
    <row r="14" ht="30.0" customHeight="1">
      <c r="A14" s="11" t="s">
        <v>89</v>
      </c>
      <c r="B14" s="12" t="s">
        <v>90</v>
      </c>
      <c r="C14" s="12" t="s">
        <v>32</v>
      </c>
      <c r="D14" s="13" t="s">
        <v>33</v>
      </c>
      <c r="E14" s="12" t="s">
        <v>34</v>
      </c>
      <c r="F14" s="13" t="str">
        <f>IFERROR(__xludf.DUMMYFUNCTION("AI(""Give me a paragraph marketing spiel for product in this row, no tech specs just marketing fluff "")"),"Elevate your architectural and landscape designs with the Side Bend IP69, a premium linear lighting solution crafted to bring captivating elegance and fluid brilliance to any environment. Engineered for extraordinary side-bending flexibility, this luxurio"&amp;"us neon-style light curves effortlessly around architectural contours to create stunning visual features and dramatic accents. Perfect for transforming upscale commercial venues, creating an inviting outdoor oasis, or adding a sophisticated glow to modern"&amp;" spaces, its seamless, uniform illumination delivers an unmatched upscale aesthetic. Combining ultimate durability with timeless style, it is the ultimate choice for visionary designers looking to push the boundaries of creative lighting expression.")</f>
        <v>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creating an inviting outdoor oasis, or adding a sophisticated glow to modern spaces, its seamless, uniform illumination delivers an unmatched upscale aesthetic. Combining ultimate durability with timeless style, it is the ultimate choice for visionary designers looking to push the boundaries of creative lighting expression.</v>
      </c>
      <c r="G14" s="12" t="s">
        <v>91</v>
      </c>
      <c r="H14" s="13" t="str">
        <f>IFERROR(__xludf.DUMMYFUNCTION("AI(""Give me a paragraph marketing spiel for product in this row, no tech specs just marketing fluff under 180 characters "")"),"Bring fluid brilliance to any space with Side Bend IP69, curving effortlessly to deliver a seamless, uniform glow that elevates your architectural vision.")</f>
        <v>Bring fluid brilliance to any space with Side Bend IP69, curving effortlessly to deliver a seamless, uniform glow that elevates your architectural vision.</v>
      </c>
      <c r="I14" s="12" t="s">
        <v>92</v>
      </c>
      <c r="J14" s="14"/>
      <c r="K14" s="14"/>
      <c r="L14" s="15" t="s">
        <v>89</v>
      </c>
      <c r="M14" s="15" t="s">
        <v>37</v>
      </c>
      <c r="N1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""&amp;M14)"),"Power Consumption Rate | Color Temperature | Voltage | IP Rating | Dimension | Impact Strength")</f>
        <v>Power Consumption Rate | Color Temperature | Voltage | IP Rating | Dimension | Impact Strength</v>
      </c>
      <c r="O14" s="17" t="s">
        <v>38</v>
      </c>
      <c r="P1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""&amp;"&amp;"L14)"),"{""Power Consumption Rate"": ""10W/m"", ""Color Temperature"": ""2200K"", ""Voltage"": ""24V"", ""IP Rating"": ""IP69"", ""Dimension"": ""16mm (W) x 17mm (H)"", ""Impact Strength"": ""IK10 with Neon-AluProfile-1617"", ""SKU"": ""SV1617-10W-2.2K-IP69""}")</f>
        <v>{"Power Consumption Rate": "10W/m", "Color Temperature": "2200K", "Voltage": "24V", "IP Rating": "IP69", "Dimension": "16mm (W) x 17mm (H)", "Impact Strength": "IK10 with Neon-AluProfile-1617", "SKU": "SV1617-10W-2.2K-IP69"}</v>
      </c>
      <c r="Q14" s="17" t="s">
        <v>93</v>
      </c>
      <c r="R1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Q14:Q21)"),"{""SKU"": [""SV1617-10W-2.2K-IP69"", ""SV1617-10W-2.7K-IP69"", ""SV1617-10W-3K-IP69"", ""SV1617-10W-4K-IP69"", ""SV1617-10W-5.3K-IP69"", ""SV1617-13W-RGB-IP69"", ""SV1617-17W-RGBW-IP69"", ""SV1617-13W-TW-IP69""], ""Power Consumption Rate"": [""10W/m"", """&amp;"13W/m"", ""17W/m""], ""Color Temperature"": [""2200K"", ""2700K"", ""3000K"", ""4000K"", ""5300K"", ""RGB"", ""RGBW (3000K)"", ""TW (2700K-5300K)""], ""Voltage"": ""24V"", ""IP Rating"": ""IP69"", ""Dimension"": ""16mm (W) x 17mm (H)"", ""Impact Strength"&amp;""": ""IK10 with Neon-AluProfile-1617""}")</f>
        <v>{"SKU": ["SV1617-10W-2.2K-IP69", "SV1617-10W-2.7K-IP69", "SV1617-10W-3K-IP69", "SV1617-10W-4K-IP69", "SV1617-10W-5.3K-IP69", "SV1617-13W-RGB-IP69", "SV1617-17W-RGBW-IP69", "SV1617-13W-TW-IP69"], "Power Consumption Rate": ["10W/m", "13W/m", "17W/m"], "Color Temperature": ["2200K", "2700K", "3000K", "4000K", "5300K", "RGB", "RGBW (3000K)", "TW (2700K-5300K)"], "Voltage": "24V", "IP Rating": "IP69", "Dimension": "16mm (W) x 17mm (H)", "Impact Strength": "IK10 with Neon-AluProfile-1617"}</v>
      </c>
      <c r="S14" s="19" t="s">
        <v>94</v>
      </c>
      <c r="T1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Q14:Q21)"),"{ ""Options"": { ""Power Consumption Rate"": [ {""name"": ""10W/m"", ""id"": ""101""}, {""name"": ""13W/m"", ""id"": ""102""}, {""name"": ""17W/m"", ""id"": ""103""} ], ""Color Temperature"": [ {""name"": ""2200K"", ""id"": ""104""}, {""name"": ""2700K"","&amp;" ""id"": ""105""}, {""name"": ""3000K"", ""id"": ""106""}, {""name"": ""4000K"", ""id"": ""107""}, {""name"": ""5300K"", ""id"": ""108""}, {""name"": ""RGB"", ""id"": ""109""}, {""name"": ""RGBW (3000K)"", ""id"": ""110""}, {""name"": ""TW (2700K-5300K)"""&amp;", ""id"": ""111""} ], ""Voltage"": [ {""name"": ""24V"", ""id"": ""112""} ], ""IP Rating"": [ {""name"": ""IP69"", ""id"": ""113""} ], ""Dimension"": [ {""name"": ""16mm (W) x 17mm (H)"", ""id"": ""114""} ], ""Impact Strength"": [ {""name"": ""IK10 with N"&amp;"eon-AluProfile-1617"", ""id"": ""115""} ] }, ""Constraints"": { ""101"": [""109"", ""110"", ""111""], ""102"": [""104"", ""105"", ""106"", ""107"", ""108"", ""110""], ""103"": [""104"", ""105"", ""106"", ""107"", ""108"", ""109"", ""111""] }, ""sku_mappin"&amp;"gs"": [ { ""sku"": ""SV1617-10W-2.2K-IP69"", ""combination"": [""101"", ""104"", ""112"", ""113"", ""114"", ""115""] }, { ""sku"": ""SV1617-10W-2.7K-IP69"", ""combination"": [""101"", ""105"", ""112"", ""113"", ""114"", ""115""] }, { ""sku"": ""SV1617-10W"&amp;"-3K-IP69"", ""combination"": [""101"", ""106"", ""112"", ""113"", ""114"", ""115""] }, { ""sku"": ""SV1617-10W-4K-IP69"", ""combination"": [""101"", ""107"", ""112"", ""113"", ""114"", ""115""] }, { ""sku"": ""SV1617-10W-5.3K-IP69"", ""combination"": [""1"&amp;"01"", ""108"", ""112"", ""113"", ""114"", ""115""] }, { ""sku"": ""SV1617-13W-RGB-IP69"", ""combination"": [""102"", ""109"", ""112"", ""113"", ""114"", ""115""] }, { ""sku"": ""SV1617-17W-RGBW-IP69"", ""combination"": [""103"", ""110"", ""112"", ""113"","&amp;" ""114"", ""115""] }, { ""sku"": ""SV1617-13W-TW-IP69"", ""combination"": [""102"", ""111"", ""112"", ""113"", ""114"", ""115""] } ] }")</f>
        <v>{ "Options": {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 "Constraints": { "101": ["109", "110", "111"], "102": ["104", "105", "106", "107", "108", "110"], "103": ["104", "105", "106", "107", "108", "109", "111"] }, "sku_mappings": [ { "sku": "SV1617-10W-2.2K-IP69", "combination": ["101", "104", "112", "113", "114", "115"] }, { "sku": "SV1617-10W-2.7K-IP69", "combination": ["101", "105", "112", "113", "114", "115"] }, { "sku": "SV1617-10W-3K-IP69", "combination": ["101", "106", "112", "113", "114", "115"] }, { "sku": "SV1617-10W-4K-IP69", "combination": ["101", "107", "112", "113", "114", "115"] }, { "sku": "SV1617-10W-5.3K-IP69", "combination": ["101", "108", "112", "113", "114", "115"] }, { "sku": "SV1617-13W-RGB-IP69", "combination": ["102", "109", "112", "113", "114", "115"] }, { "sku": "SV1617-17W-RGBW-IP69", "combination": ["103", "110", "112", "113", "114", "115"] }, { "sku": "SV1617-13W-TW-IP69", "combination": ["102", "111", "112", "113", "114", "115"] } ] }</v>
      </c>
      <c r="U14" s="20" t="s">
        <v>95</v>
      </c>
      <c r="V14" s="21" t="str">
        <f>IFERROR(__xludf.DUMMYFUNCTION("AI(""Extract options object from the json"", U14)"),"{ ""Power Consumption Rate"": [ {""name"": ""10W/m"", ""id"": ""101""}, {""name"": ""13W/m"", ""id"": ""102""}, {""name"": ""17W/m"", ""id"": ""103""} ], ""Color Temperature"": [ {""name"": ""2200K"", ""id"": ""104""}, {""name"": ""2700K"", ""id"": ""105"&amp;"""}, {""name"": ""3000K"", ""id"": ""106""}, {""name"": ""4000K"", ""id"": ""107""}, {""name"": ""5300K"", ""id"": ""108""}, {""name"": ""RGB"", ""id"": ""109""}, {""name"": ""RGBW (3000K)"", ""id"": ""110""}, {""name"": ""TW (2700K-5300K)"", ""id"": ""11"&amp;"1""} ], ""Voltage"": [ {""name"": ""24V"", ""id"": ""112""} ], ""IP Rating"": [ {""name"": ""IP69"", ""id"": ""113""} ], ""Dimension"": [ {""name"": ""16mm (W) x 17mm (H)"", ""id"": ""114""} ], ""Impact Strength"": [ {""name"": ""IK10 with Neon-AluProfile"&amp;"-1617"", ""id"": ""115""} ] }")</f>
        <v>{ "Power Consumption Rate": [ {"name": "10W/m", "id": "101"}, {"name": "13W/m", "id": "102"}, {"name": "17W/m", "id": "103"} ], "Color Temperature": [ {"name": "2200K", "id": "104"}, {"name": "2700K", "id": "105"}, {"name": "3000K", "id": "106"}, {"name": "4000K", "id": "107"}, {"name": "5300K", "id": "108"}, {"name": "RGB", "id": "109"}, {"name": "RGBW (3000K)", "id": "110"}, {"name": "TW (2700K-5300K)", "id": "111"} ], "Voltage": [ {"name": "24V", "id": "112"} ], "IP Rating": [ {"name": "IP69", "id": "113"} ], "Dimension": [ {"name": "16mm (W) x 17mm (H)", "id": "114"} ], "Impact Strength": [ {"name": "IK10 with Neon-AluProfile-1617", "id": "115"} ] }</v>
      </c>
      <c r="W14" s="21" t="str">
        <f>IFERROR(__xludf.DUMMYFUNCTION("AI(""Extract constraints object from the json"", U14)"),"{ ""101"": [""109"", ""110"", ""111""], ""102"": [""104"", ""105"", ""106"", ""107"", ""108"", ""110""], ""103"": [""104"", ""105"", ""106"", ""107"", ""108"", ""109"", ""111""] }")</f>
        <v>{ "101": ["109", "110", "111"], "102": ["104", "105", "106", "107", "108", "110"], "103": ["104", "105", "106", "107", "108", "109", "111"] }</v>
      </c>
      <c r="X14" s="21" t="str">
        <f>IFERROR(__xludf.DUMMYFUNCTION("AI(""Extract sku_mappings object from the json"", U14)"),"[{""sku"": ""SV1617-10W-2.2K-IP69"", ""combination"": [""101"", ""104"", ""112"", ""113"", ""114"", ""115""]}, {""sku"": ""SV1617-10W-2.7K-IP69"", ""combination"": [""101"", ""105"", ""112"", ""113"", ""114"", ""115""]}, {""sku"": ""SV1617-10W-3K-IP69"", "&amp;"""combination"": [""101"", ""106"", ""112"", ""113"", ""114"", ""115""]}, {""sku"": ""SV1617-10W-4K-IP69"", ""combination"": [""101"", ""107"", ""112"", ""113"", ""114"", ""115""]}, {""sku"": ""SV1617-10W-5.3K-IP69"", ""combination"": [""101"", ""108"", "&amp;"""112"", ""113"", ""114"", ""115""]}, {""sku"": ""SV1617-13W-RGB-IP69"", ""combination"": [""102"", ""109"", ""112"", ""113"", ""114"", ""115""]}, {""sku"": ""SV1617-17W-RGBW-IP69"", ""combination"": [""103"", ""110"", ""112"", ""113"", ""114"", ""115""]}"&amp;", {""sku"": ""SV1617-13W-TW-IP69"", ""combination"": [""102"", ""111"", ""112"", ""113"", ""114"", ""115""]}]")</f>
        <v>[{"sku": "SV1617-10W-2.2K-IP69", "combination": ["101", "104", "112", "113", "114", "115"]}, {"sku": "SV1617-10W-2.7K-IP69", "combination": ["101", "105", "112", "113", "114", "115"]}, {"sku": "SV1617-10W-3K-IP69", "combination": ["101", "106", "112", "113", "114", "115"]}, {"sku": "SV1617-10W-4K-IP69", "combination": ["101", "107", "112", "113", "114", "115"]}, {"sku": "SV1617-10W-5.3K-IP69", "combination": ["101", "108", "112", "113", "114", "115"]}, {"sku": "SV1617-13W-RGB-IP69", "combination": ["102", "109", "112", "113", "114", "115"]}, {"sku": "SV1617-17W-RGBW-IP69", "combination": ["103", "110", "112", "113", "114", "115"]}, {"sku": "SV1617-13W-TW-IP69", "combination": ["102", "111", "112", "113", "114", "115"]}]</v>
      </c>
      <c r="Y14" s="12" t="s">
        <v>42</v>
      </c>
      <c r="Z14" s="12" t="s">
        <v>96</v>
      </c>
      <c r="AA14" s="23" t="s">
        <v>44</v>
      </c>
      <c r="AB14" s="24"/>
      <c r="AC14" s="24" t="str">
        <f>IFERROR(__xludf.DUMMYFUNCTION("AI(""Generate 6 powerful unique keywords for the product in this row"")"),"Side bend neon, Flexible linear LED, Architectural accent lighting, Landscape contour light, Waterproof light ribbon, Premium commercial lighting")</f>
        <v>Side bend neon, Flexible linear LED, Architectural accent lighting, Landscape contour light, Waterproof light ribbon, Premium commercial lighting</v>
      </c>
      <c r="AD14" s="24" t="s">
        <v>97</v>
      </c>
    </row>
    <row r="15" ht="30.0" customHeight="1">
      <c r="A15" s="25"/>
      <c r="B15" s="14"/>
      <c r="C15" s="14"/>
      <c r="D15" s="26"/>
      <c r="E15" s="14"/>
      <c r="F15" s="27"/>
      <c r="G15" s="14"/>
      <c r="H15" s="27"/>
      <c r="I15" s="14"/>
      <c r="J15" s="14"/>
      <c r="K15" s="14"/>
      <c r="L15" s="15" t="s">
        <v>98</v>
      </c>
      <c r="M15" s="15" t="s">
        <v>47</v>
      </c>
      <c r="N1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""&amp;M15)"),"Power Consumption Rate | Color Temperature | Voltage | IP Rating | Dimension | Impact Strength")</f>
        <v>Power Consumption Rate | Color Temperature | Voltage | IP Rating | Dimension | Impact Strength</v>
      </c>
      <c r="O15" s="17" t="s">
        <v>38</v>
      </c>
      <c r="P1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""&amp;"&amp;"L15)"),"{""SKU"": ""SV1617-10W-2.7K-IP69"", ""Power Consumption Rate"": ""10W/m"", ""Color Temperature"": ""2700K"", ""Voltage"": ""24V"", ""IP Rating"": ""IP69"", ""Dimension"": ""16mm (W) x 17mm (H)"", ""Impact Strength"": ""IK10 with Neon-AluProfile-1617""}")</f>
        <v>{"SKU": "SV1617-10W-2.7K-IP69", "Power Consumption Rate": "10W/m", "Color Temperature": "2700K", "Voltage": "24V", "IP Rating": "IP69", "Dimension": "16mm (W) x 17mm (H)", "Impact Strength": "IK10 with Neon-AluProfile-1617"}</v>
      </c>
      <c r="Q15" s="17" t="s">
        <v>99</v>
      </c>
      <c r="R15" s="28"/>
      <c r="S15" s="29"/>
      <c r="T15" s="28"/>
      <c r="U15" s="30"/>
      <c r="V15" s="28"/>
      <c r="W15" s="28"/>
      <c r="X15" s="28"/>
      <c r="Y15" s="12" t="s">
        <v>42</v>
      </c>
      <c r="Z15" s="12" t="s">
        <v>96</v>
      </c>
      <c r="AA15" s="23" t="s">
        <v>44</v>
      </c>
      <c r="AB15" s="24"/>
      <c r="AC15" s="24"/>
      <c r="AD15" s="24"/>
    </row>
    <row r="16" ht="30.0" customHeight="1">
      <c r="A16" s="25"/>
      <c r="B16" s="14"/>
      <c r="C16" s="14"/>
      <c r="D16" s="26"/>
      <c r="E16" s="14"/>
      <c r="F16" s="27"/>
      <c r="G16" s="14"/>
      <c r="H16" s="27"/>
      <c r="I16" s="14"/>
      <c r="J16" s="14"/>
      <c r="K16" s="14"/>
      <c r="L16" s="15" t="s">
        <v>100</v>
      </c>
      <c r="M16" s="15" t="s">
        <v>50</v>
      </c>
      <c r="N1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""&amp;M16)"),"Power Consumption Rate | Color Temperature | Voltage | IP Rating | Dimension | Impact Strength")</f>
        <v>Power Consumption Rate | Color Temperature | Voltage | IP Rating | Dimension | Impact Strength</v>
      </c>
      <c r="O16" s="17" t="s">
        <v>38</v>
      </c>
      <c r="P1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""&amp;"&amp;"L16)"),"{""SKU"": ""SV1617-10W-3K-IP69"", ""Power Consumption Rate"": ""10W/m"", ""Color Temperature"": ""3000K"", ""Voltage"": ""24V"", ""IP Rating"": ""IP69"", ""Dimension"": ""16mm (W) x 17mm (H)"", ""Impact Strength"": ""IK10 with Neon-AluProfile-1617""}")</f>
        <v>{"SKU": "SV1617-10W-3K-IP69", "Power Consumption Rate": "10W/m", "Color Temperature": "3000K", "Voltage": "24V", "IP Rating": "IP69", "Dimension": "16mm (W) x 17mm (H)", "Impact Strength": "IK10 with Neon-AluProfile-1617"}</v>
      </c>
      <c r="Q16" s="17" t="s">
        <v>101</v>
      </c>
      <c r="R16" s="28"/>
      <c r="S16" s="29"/>
      <c r="T16" s="28"/>
      <c r="U16" s="30"/>
      <c r="V16" s="28"/>
      <c r="W16" s="28"/>
      <c r="X16" s="28"/>
      <c r="Y16" s="12" t="s">
        <v>42</v>
      </c>
      <c r="Z16" s="12" t="s">
        <v>96</v>
      </c>
      <c r="AA16" s="23" t="s">
        <v>44</v>
      </c>
      <c r="AB16" s="24"/>
      <c r="AC16" s="24"/>
      <c r="AD16" s="24"/>
    </row>
    <row r="17" ht="30.0" customHeight="1">
      <c r="A17" s="25"/>
      <c r="B17" s="14"/>
      <c r="C17" s="14"/>
      <c r="D17" s="26"/>
      <c r="E17" s="14"/>
      <c r="F17" s="27"/>
      <c r="G17" s="14"/>
      <c r="H17" s="27"/>
      <c r="I17" s="14"/>
      <c r="J17" s="14"/>
      <c r="K17" s="14"/>
      <c r="L17" s="15" t="s">
        <v>102</v>
      </c>
      <c r="M17" s="15" t="s">
        <v>53</v>
      </c>
      <c r="N1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""&amp;M17)"),"Power Consumption Rate | Color Temperature | Voltage | IP Rating | Dimension | Impact Strength")</f>
        <v>Power Consumption Rate | Color Temperature | Voltage | IP Rating | Dimension | Impact Strength</v>
      </c>
      <c r="O17" s="17" t="s">
        <v>38</v>
      </c>
      <c r="P1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""&amp;"&amp;"L17)"),"{""SKU"": ""SV1617-10W-4K-IP69"", ""Power Consumption Rate"": ""10W/m"", ""Color Temperature"": ""4000K"", ""Voltage"": ""24V"", ""IP Rating"": ""IP69"", ""Dimension"": ""16mm (W) x 17mm (H)"", ""Impact Strength"": ""IK10 with Neon-AluProfile-1617""}")</f>
        <v>{"SKU": "SV1617-10W-4K-IP69", "Power Consumption Rate": "10W/m", "Color Temperature": "4000K", "Voltage": "24V", "IP Rating": "IP69", "Dimension": "16mm (W) x 17mm (H)", "Impact Strength": "IK10 with Neon-AluProfile-1617"}</v>
      </c>
      <c r="Q17" s="17" t="s">
        <v>103</v>
      </c>
      <c r="R17" s="28"/>
      <c r="S17" s="29"/>
      <c r="T17" s="28"/>
      <c r="U17" s="30"/>
      <c r="V17" s="28"/>
      <c r="W17" s="28"/>
      <c r="X17" s="28"/>
      <c r="Y17" s="12" t="s">
        <v>42</v>
      </c>
      <c r="Z17" s="12" t="s">
        <v>96</v>
      </c>
      <c r="AA17" s="23" t="s">
        <v>44</v>
      </c>
      <c r="AB17" s="24"/>
      <c r="AC17" s="24"/>
      <c r="AD17" s="24"/>
    </row>
    <row r="18" ht="30.0" customHeight="1">
      <c r="A18" s="25"/>
      <c r="B18" s="14"/>
      <c r="C18" s="14"/>
      <c r="D18" s="26"/>
      <c r="E18" s="14"/>
      <c r="F18" s="27"/>
      <c r="G18" s="14"/>
      <c r="H18" s="27"/>
      <c r="I18" s="14"/>
      <c r="J18" s="14"/>
      <c r="K18" s="14"/>
      <c r="L18" s="15" t="s">
        <v>104</v>
      </c>
      <c r="M18" s="15" t="s">
        <v>56</v>
      </c>
      <c r="N1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""&amp;M18)"),"Power Consumption Rate | Color Temperature | Voltage | IP Rating | Dimension | Impact Strength")</f>
        <v>Power Consumption Rate | Color Temperature | Voltage | IP Rating | Dimension | Impact Strength</v>
      </c>
      <c r="O18" s="17" t="s">
        <v>38</v>
      </c>
      <c r="P1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""&amp;O18&amp;"", Values: ""&amp;M18&amp; "" and SKU Code: ""&amp;"&amp;"L18)"),"{""SKU"": ""SV1617-10W-5.3K-IP69"", ""Power Consumption Rate"": ""10W/m"", ""Color Temperature"": ""5300K"", ""Voltage"": ""24V"", ""IP Rating"": ""IP69"", ""Dimension"": ""16mm (W) x 17mm (H)"", ""Impact Strength"": ""IK10 with Neon-AluProfile-1617""}")</f>
        <v>{"SKU": "SV1617-10W-5.3K-IP69", "Power Consumption Rate": "10W/m", "Color Temperature": "5300K", "Voltage": "24V", "IP Rating": "IP69", "Dimension": "16mm (W) x 17mm (H)", "Impact Strength": "IK10 with Neon-AluProfile-1617"}</v>
      </c>
      <c r="Q18" s="17" t="s">
        <v>105</v>
      </c>
      <c r="R18" s="28"/>
      <c r="S18" s="29"/>
      <c r="T18" s="28"/>
      <c r="U18" s="30"/>
      <c r="V18" s="28"/>
      <c r="W18" s="28"/>
      <c r="X18" s="28"/>
      <c r="Y18" s="12" t="s">
        <v>42</v>
      </c>
      <c r="Z18" s="12" t="s">
        <v>96</v>
      </c>
      <c r="AA18" s="23" t="s">
        <v>44</v>
      </c>
      <c r="AB18" s="24"/>
      <c r="AC18" s="24"/>
      <c r="AD18" s="24"/>
    </row>
    <row r="19" ht="30.0" customHeight="1">
      <c r="A19" s="25"/>
      <c r="B19" s="14"/>
      <c r="C19" s="14"/>
      <c r="D19" s="26"/>
      <c r="E19" s="14"/>
      <c r="F19" s="27"/>
      <c r="G19" s="14"/>
      <c r="H19" s="27"/>
      <c r="I19" s="14"/>
      <c r="J19" s="14"/>
      <c r="K19" s="14"/>
      <c r="L19" s="15" t="s">
        <v>106</v>
      </c>
      <c r="M19" s="15" t="s">
        <v>59</v>
      </c>
      <c r="N1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View (Example Top View, Side View)
### STRICT OUTPUT RULES
1. Output ONLY the corresponding labels mentioned above separated by pipes ('|'). 
2. Do not include the values in your output.
3. Do not include any conversational text, introductory r"&amp;"emarks, or markdown formatting blocks.
4. The number of labels in your output must exactly match the number of values provided in the input.
---
### FEW-SHOT EXAMPLES
#### Example 1 (Standard Neon Strip)
Input: 1.2W | SYM30° | 3000K | IP67 | IK10
Outpu"&amp;"t: Power|Optics|Color Temperature|IP Rating|Impact Strength
Input: 15W/m | RGB | 24V | IP69 | 16mm (W) x 17mm (H) | Max 5,000mm (L) | DMX | 12 Pixels/m | IK10 with Neon-AluProfile-1617
Output: Power Consumption Rate|Color Temperature|Voltage|IP Rating|Di"&amp;"mension|Length|Control Protocol|Pixel|Impact Strength
---
### YOUR TASK
Generate output for the values text ""&amp;M19)"),"Power Consumption Rate | Color Temperature | Voltage | IP Rating | Dimension | Impact Strength")</f>
        <v>Power Consumption Rate | Color Temperature | Voltage | IP Rating | Dimension | Impact Strength</v>
      </c>
      <c r="O19" s="17" t="s">
        <v>38</v>
      </c>
      <c r="P1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""&amp;O19&amp;"", Values: ""&amp;M19&amp; "" and SKU Code: ""&amp;"&amp;"L19)"),"{""Power Consumption Rate"": ""13W/m"", ""Color Temperature"": ""RGB"", ""Voltage"": ""24V"", ""IP Rating"": ""IP69"", ""Dimension"": ""16mm (W) x 17mm (H)"", ""Impact Strength"": ""IK10 with Neon-AluProfile-1617"", ""SKU"": ""SV1617-13W-RGB-IP69""}")</f>
        <v>{"Power Consumption Rate": "13W/m", "Color Temperature": "RGB", "Voltage": "24V", "IP Rating": "IP69", "Dimension": "16mm (W) x 17mm (H)", "Impact Strength": "IK10 with Neon-AluProfile-1617", "SKU": "SV1617-13W-RGB-IP69"}</v>
      </c>
      <c r="Q19" s="17" t="s">
        <v>107</v>
      </c>
      <c r="R19" s="28"/>
      <c r="S19" s="29"/>
      <c r="T19" s="28"/>
      <c r="U19" s="30"/>
      <c r="V19" s="28"/>
      <c r="W19" s="28"/>
      <c r="X19" s="28"/>
      <c r="Y19" s="12" t="s">
        <v>42</v>
      </c>
      <c r="Z19" s="12" t="s">
        <v>108</v>
      </c>
      <c r="AA19" s="23" t="s">
        <v>44</v>
      </c>
      <c r="AB19" s="24"/>
      <c r="AC19" s="24"/>
      <c r="AD19" s="24"/>
    </row>
    <row r="20" ht="30.0" customHeight="1">
      <c r="A20" s="25"/>
      <c r="B20" s="14"/>
      <c r="C20" s="14"/>
      <c r="D20" s="26"/>
      <c r="E20" s="14"/>
      <c r="F20" s="27"/>
      <c r="G20" s="14"/>
      <c r="H20" s="27"/>
      <c r="I20" s="14"/>
      <c r="J20" s="14"/>
      <c r="K20" s="14"/>
      <c r="L20" s="15" t="s">
        <v>109</v>
      </c>
      <c r="M20" s="15" t="s">
        <v>63</v>
      </c>
      <c r="N2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DMX | 12 Pixels/m | IK10 with Neon-AluProfile-1617
Out"&amp;"put: Power Consumption Rate|Color Temperature|Voltage|IP Rating|Dimension|Control Protocol|Pixel|Impact Strength
---
### YOUR TASK
Generate output for the values text ""&amp;M20)"),"Power Consumption Rate | Color Temperature | Voltage | IP Rating | Dimension | Impact Strength")</f>
        <v>Power Consumption Rate | Color Temperature | Voltage | IP Rating | Dimension | Impact Strength</v>
      </c>
      <c r="O20" s="17" t="s">
        <v>38</v>
      </c>
      <c r="P2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""&amp;O20&amp;"", Values: ""&amp;M20&amp; "" and SKU Code: ""&amp;"&amp;"L20)"),"{""Power Consumption Rate"": ""17W/m"", ""Color Temperature"": ""RGBW (3000K)"", ""Voltage"": ""24V"", ""IP Rating"": ""IP69"", ""Dimension"": ""16mm (W) x 17mm (H)"", ""Impact Strength"": ""IK10 with Neon-AluProfile-1617"", ""SKU"": ""SV1617-17W-RGBW-IP6"&amp;"9""}")</f>
        <v>{"Power Consumption Rate": "17W/m", "Color Temperature": "RGBW (3000K)", "Voltage": "24V", "IP Rating": "IP69", "Dimension": "16mm (W) x 17mm (H)", "Impact Strength": "IK10 with Neon-AluProfile-1617", "SKU": "SV1617-17W-RGBW-IP69"}</v>
      </c>
      <c r="Q20" s="17" t="s">
        <v>110</v>
      </c>
      <c r="R20" s="28"/>
      <c r="S20" s="29"/>
      <c r="T20" s="28"/>
      <c r="U20" s="30"/>
      <c r="V20" s="28"/>
      <c r="W20" s="28"/>
      <c r="X20" s="28"/>
      <c r="Y20" s="12" t="s">
        <v>42</v>
      </c>
      <c r="Z20" s="12" t="s">
        <v>111</v>
      </c>
      <c r="AA20" s="23" t="s">
        <v>44</v>
      </c>
      <c r="AB20" s="24"/>
      <c r="AC20" s="24"/>
      <c r="AD20" s="24"/>
    </row>
    <row r="21" ht="30.0" customHeight="1">
      <c r="A21" s="25"/>
      <c r="B21" s="14"/>
      <c r="C21" s="14"/>
      <c r="D21" s="26"/>
      <c r="E21" s="14"/>
      <c r="F21" s="27"/>
      <c r="G21" s="14"/>
      <c r="H21" s="27"/>
      <c r="I21" s="14"/>
      <c r="J21" s="14"/>
      <c r="K21" s="14"/>
      <c r="L21" s="15" t="s">
        <v>112</v>
      </c>
      <c r="M21" s="15" t="s">
        <v>67</v>
      </c>
      <c r="N2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""&amp;M21)"),"Power Consumption Rate | Color Temperature | Voltage | IP Rating | Dimension | Impact Strength")</f>
        <v>Power Consumption Rate | Color Temperature | Voltage | IP Rating | Dimension | Impact Strength</v>
      </c>
      <c r="O21" s="17" t="s">
        <v>38</v>
      </c>
      <c r="P2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""&amp;O21&amp;"", Values: ""&amp;M21&amp; "" and SKU Code: ""&amp;"&amp;"L21)"),"{""SKU"": ""SV1617-13W-TW-IP69"", ""Power Consumption Rate"": ""13W/m"", ""Color Temperature"": ""TW (2700K-5300K)"", ""Voltage"": ""24V"", ""IP Rating"": ""IP69"", ""Dimension"": ""16mm (W) x 17mm (H)"", ""Impact Strength"": ""IK10 with Neon-AluProfile-1"&amp;"617""}")</f>
        <v>{"SKU": "SV1617-13W-TW-IP69", "Power Consumption Rate": "13W/m", "Color Temperature": "TW (2700K-5300K)", "Voltage": "24V", "IP Rating": "IP69", "Dimension": "16mm (W) x 17mm (H)", "Impact Strength": "IK10 with Neon-AluProfile-1617"}</v>
      </c>
      <c r="Q21" s="17" t="s">
        <v>113</v>
      </c>
      <c r="R21" s="28"/>
      <c r="S21" s="29"/>
      <c r="T21" s="28"/>
      <c r="U21" s="30"/>
      <c r="V21" s="28"/>
      <c r="W21" s="28"/>
      <c r="X21" s="28"/>
      <c r="Y21" s="12" t="s">
        <v>42</v>
      </c>
      <c r="Z21" s="12" t="s">
        <v>114</v>
      </c>
      <c r="AA21" s="23" t="s">
        <v>44</v>
      </c>
      <c r="AB21" s="24"/>
      <c r="AC21" s="24"/>
      <c r="AD21" s="24"/>
    </row>
    <row r="22" ht="30.0" customHeight="1">
      <c r="A22" s="11" t="s">
        <v>115</v>
      </c>
      <c r="B22" s="12" t="s">
        <v>90</v>
      </c>
      <c r="C22" s="12" t="s">
        <v>32</v>
      </c>
      <c r="D22" s="13" t="s">
        <v>33</v>
      </c>
      <c r="E22" s="12" t="s">
        <v>34</v>
      </c>
      <c r="F22" s="13" t="str">
        <f>IFERROR(__xludf.DUMMYFUNCTION("AI(""Give me a paragraph marketing spiel for product in this row, no tech specs just marketing fluff "")"),"Elevate your architectural and landscape designs with the Side Bend IP69, a premium linear lighting solution crafted to bring captivating elegance and fluid brilliance to any environment. Engineered for extraordinary side-bending flexibility, this luxurio"&amp;"us neon-style light curves effortlessly around architectural contours to create stunning visual features and dramatic accents. Perfect for transforming upscale commercial venues or adding a sophisticated atmosphere to outdoor spaces, its pristine, uniform"&amp;" glow delivers an unmatched aesthetic elegance. Built to withstand the elements while maintaining its flawless brilliance, it is the ultimate choice for designers who refuse to compromise on beauty, adaptability, and style.")</f>
        <v>Elevate your architectural and landscape designs with the Side Bend IP69,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Perfect for transforming upscale commercial venues or adding a sophisticated atmosphere to outdoor spaces, its pristine, uniform glow delivers an unmatched aesthetic elegance. Built to withstand the elements while maintaining its flawless brilliance, it is the ultimate choice for designers who refuse to compromise on beauty, adaptability, and style.</v>
      </c>
      <c r="G22" s="12" t="s">
        <v>116</v>
      </c>
      <c r="H22" s="13" t="str">
        <f>IFERROR(__xludf.DUMMYFUNCTION("AI(""Give me a paragraph marketing spiel for product in this row, no tech specs just marketing fluff under 180 characters "")"),"Transform any space with fluid brilliance and a seamless, vibrant glow that effortlessly elevates your architectural designs.")</f>
        <v>Transform any space with fluid brilliance and a seamless, vibrant glow that effortlessly elevates your architectural designs.</v>
      </c>
      <c r="I22" s="12" t="s">
        <v>117</v>
      </c>
      <c r="J22" s="14"/>
      <c r="K22" s="14"/>
      <c r="L22" s="15" t="s">
        <v>115</v>
      </c>
      <c r="M22" s="15" t="s">
        <v>82</v>
      </c>
      <c r="N2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""&amp;M22)"),"Power Consumption Rate | Color Temperature | Voltage | IP Rating | Dimension | Control Protocol | Pixel | Impact Strength")</f>
        <v>Power Consumption Rate | Color Temperature | Voltage | IP Rating | Dimension | Control Protocol | Pixel | Impact Strength</v>
      </c>
      <c r="O22" s="17" t="s">
        <v>72</v>
      </c>
      <c r="P2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""&amp;O22&amp;"", Values: ""&amp;M22&amp; "" and SKU Code: ""&amp;"&amp;"L22)"),"{""Power Consumption Rate"": ""15W/m"", ""Color Temperature"": ""RGBW (3000K)"", ""Voltage"": ""24V"", ""IP Rating"": ""IP69"", ""Dimension"": ""16mm (W) x 17mm (H)"", ""Control Protocol"": ""DMX"", ""Pixel"": ""12 Pixels/m"", ""Impact Strength"": ""IK10 "&amp;"with Neon-AluProfile-1617"", ""SKU"": ""SV1617-15W-RGBW-IP69-DMX""}")</f>
        <v>{"Power Consumption Rate": "15W/m", "Color Temperature": "RGBW (3000K)", "Voltage": "24V", "IP Rating": "IP69", "Dimension": "16mm (W) x 17mm (H)", "Control Protocol": "DMX", "Pixel": "12 Pixels/m", "Impact Strength": "IK10 with Neon-AluProfile-1617", "SKU": "SV1617-15W-RGBW-IP69-DMX"}</v>
      </c>
      <c r="Q22" s="17" t="s">
        <v>118</v>
      </c>
      <c r="R2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Q22:Q25)"),"{""Power Consumption Rate"": [""15W/m"", ""16W/m"", ""22W/m""], ""Color Temperature"": [""RGBW (3000K)"", ""RGB""], ""Voltage"": ""24V"", ""IP Rating"": ""IP69"", ""Dimension"": ""16mm (W) x 17mm (H)"", ""Control Protocol"": [""DMX"", ""SPI""], ""Pixel"":"&amp;" ""12 Pixels/m"", ""Impact Strength"": ""IK10 with Neon-AluProfile-1617"", ""SKU"": [""SV1617-15W-RGBW-IP69-DMX"", ""SV1617-16W-RGB-IP69-SPI"", ""SV1617-15W-RGB-IP69-DMX"", ""SV1617-22W-RGBW-IP69-SPI""]}")</f>
        <v>{"Power Consumption Rate": ["15W/m", "16W/m", "22W/m"], "Color Temperature": ["RGBW (3000K)", "RGB"], "Voltage": "24V", "IP Rating": "IP69", "Dimension": "16mm (W) x 17mm (H)", "Control Protocol": ["DMX", "SPI"], "Pixel": "12 Pixels/m", "Impact Strength": "IK10 with Neon-AluProfile-1617", "SKU": ["SV1617-15W-RGBW-IP69-DMX", "SV1617-16W-RGB-IP69-SPI", "SV1617-15W-RGB-IP69-DMX", "SV1617-22W-RGBW-IP69-SPI"]}</v>
      </c>
      <c r="S22" s="19" t="s">
        <v>119</v>
      </c>
      <c r="T2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Q22:Q25)"),"{
""Options"": {
""Power Consumption Rate"": [
{""name"": ""15W/m"", ""id"": ""101""},
{""name"": ""16W/m"", ""id"": ""102""},
{""name"": ""22W/m"", ""id"": ""103""}
],
""Color Temperature"": [
{""name"": ""RGBW (3000K)"", ""id"": ""104""},
{""name"": ""R"&amp;"GB"", ""id"": ""105""}
],
""Voltage"": [
{""name"": ""24V"", ""id"": ""106""}
],
""IP Rating"": [
{""name"": ""IP69"", ""id"": ""107""}
],
""Dimension"": [
{""name"": ""16mm (W) x 17mm (H)"", ""id"": ""108""}
],
""Control Protocol"": [
{""name"": ""DMX"","&amp;" ""id"": ""109""},
{""name"": ""SPI"", ""id"": ""110""}
],
""Pixel"": [
{""name"": ""12 Pixels/m"", ""id"": ""111""}
],
""Impact Strength"": [
{""name"": ""IK10 with Neon-AluProfile-1617"", ""id"": ""112""}
]
},
""Constraints"": {
""101"": [""110""],
""10"&amp;"2"": [""104"", ""109""],
""103"": [""105"", ""109""]
},
""sku_mappings"": [
{
""sku"": ""SV1617-15W-RGBW-IP69-DMX"",
""combination"": [""101"", ""104"", ""106"", ""107"", ""108"", ""109"", ""111"", ""112""]
},
{
""sku"": ""SV1617-16W-RGB-IP69-SPI"",
""com"&amp;"bination"": [""102"", ""105"", ""106"", ""107"", ""108"", ""110"", ""111"", ""112""]
},
{
""sku"": ""SV1617-15W-RGB-IP69-DMX"",
""combination"": [""101"", ""105"", ""106"", ""107"", ""108"", ""109"", ""111"", ""112""]
},
{
""sku"": ""SV1617-22W-RGBW-IP69-"&amp;"SPI"",
""combination"": [""103"", ""104"", ""106"", ""107"", ""108"", ""110"", ""111"", ""112""]
}
]
}")</f>
        <v>{
"Options": {
"Power Consumption Rate": [
{"name": "15W/m", "id": "101"},
{"name": "16W/m", "id": "102"},
{"name": "22W/m", "id": "103"}
],
"Color Temperature": [
{"name": "RGBW (3000K)", "id": "104"},
{"name": "RGB", "id": "105"}
],
"Voltage": [
{"name": "24V", "id": "106"}
],
"IP Rating": [
{"name": "IP69", "id": "107"}
],
"Dimension": [
{"name": "16mm (W) x 17mm (H)", "id": "108"}
],
"Control Protocol": [
{"name": "DMX", "id": "109"},
{"name": "SPI", "id": "110"}
],
"Pixel": [
{"name": "12 Pixels/m", "id": "111"}
],
"Impact Strength": [
{"name": "IK10 with Neon-AluProfile-1617", "id": "112"}
]
},
"Constraints": {
"101": ["110"],
"102": ["104", "109"],
"103": ["105", "109"]
},
"sku_mappings": [
{
"sku": "SV1617-15W-RGBW-IP69-DMX",
"combination": ["101", "104", "106", "107", "108", "109", "111", "112"]
},
{
"sku": "SV1617-16W-RGB-IP69-SPI",
"combination": ["102", "105", "106", "107", "108", "110", "111", "112"]
},
{
"sku": "SV1617-15W-RGB-IP69-DMX",
"combination": ["101", "105", "106", "107", "108", "109", "111", "112"]
},
{
"sku": "SV1617-22W-RGBW-IP69-SPI",
"combination": ["103", "104", "106", "107", "108", "110", "111", "112"]
}
]
}</v>
      </c>
      <c r="U22" s="20" t="s">
        <v>120</v>
      </c>
      <c r="V22" s="21" t="str">
        <f>IFERROR(__xludf.DUMMYFUNCTION("AI(""Extract options object from the json"", U22)"),"{ ""Power Consumption Rate"": [ {""name"": ""15W/m"", ""id"": ""101""}, {""name"": ""16W/m"", ""id"": ""102""}, {""name"": ""22W/m"", ""id"": ""103""} ], ""Color Temperature"": [ {""name"": ""RGBW (3000K)"", ""id"": ""104""}, {""name"": ""RGB"", ""id"": "&amp;"""105""} ], ""Voltage"": [ {""name"": ""24V"", ""id"": ""106""} ], ""IP Rating"": [ {""name"": ""IP69"", ""id"": ""107""} ], ""Dimension"": [ {""name"": ""16mm (W) x 17mm (H)"", ""id"": ""108""} ], ""Control Protocol"": [ {""name"": ""DMX"", ""id"": ""109"&amp;"""}, {""name"": ""SPI"", ""id"": ""110""} ], ""Pixel"": [ {""name"": ""12 Pixels/m"", ""id"": ""111""} ], ""Impact Strength"": [ {""name"": ""IK10 with Neon-AluProfile-1617"", ""id"": ""112""} ] }")</f>
        <v>{ "Power Consumption Rate": [ {"name": "15W/m", "id": "101"}, {"name": "16W/m", "id": "102"}, {"name": "22W/m", "id": "103"} ], "Color Temperature": [ {"name": "RGBW (3000K)", "id": "104"}, {"name": "RGB", "id": "105"} ], "Voltage": [ {"name": "24V", "id": "106"} ], "IP Rating": [ {"name": "IP69", "id": "107"} ], "Dimension": [ {"name": "16mm (W) x 17mm (H)", "id": "108"} ], "Control Protocol": [ {"name": "DMX", "id": "109"}, {"name": "SPI", "id": "110"} ], "Pixel": [ {"name": "12 Pixels/m", "id": "111"} ], "Impact Strength": [ {"name": "IK10 with Neon-AluProfile-1617", "id": "112"} ] }</v>
      </c>
      <c r="W22" s="21" t="str">
        <f>IFERROR(__xludf.DUMMYFUNCTION("AI(""Extract constraints object from the json"", U22)"),"{ ""101"": [""110""], ""102"": [""104"", ""109""], ""103"": [""105"", ""109""] }")</f>
        <v>{ "101": ["110"], "102": ["104", "109"], "103": ["105", "109"] }</v>
      </c>
      <c r="X22" s="21" t="str">
        <f>IFERROR(__xludf.DUMMYFUNCTION("AI(""Extract sku_mappings object from the json"", U22)"),"[{""sku"": ""SV1617-15W-RGBW-IP69-DMX"", ""combination"": [""101"", ""104"", ""106"", ""107"", ""108"", ""109"", ""111"", ""112""]}, {""sku"": ""SV1617-16W-RGB-IP69-SPI"", ""combination"": [""102"", ""105"", ""106"", ""107"", ""108"", ""110"", ""111"", """&amp;"112""]}, {""sku"": ""SV1617-15W-RGB-IP69-DMX"", ""combination"": [""101"", ""105"", ""106"", ""107"", ""108"", ""109"", ""111"", ""112""]}, {""sku"": ""SV1617-22W-RGBW-IP69-SPI"", ""combination"": [""103"", ""104"", ""106"", ""107"", ""108"", ""110"", ""1"&amp;"11"", ""112""]}]")</f>
        <v>[{"sku": "SV1617-15W-RGBW-IP69-DMX", "combination": ["101", "104", "106", "107", "108", "109", "111", "112"]}, {"sku": "SV1617-16W-RGB-IP69-SPI", "combination": ["102", "105", "106", "107", "108", "110", "111", "112"]}, {"sku": "SV1617-15W-RGB-IP69-DMX", "combination": ["101", "105", "106", "107", "108", "109", "111", "112"]}, {"sku": "SV1617-22W-RGBW-IP69-SPI", "combination": ["103", "104", "106", "107", "108", "110", "111", "112"]}]</v>
      </c>
      <c r="Y22" s="12" t="s">
        <v>42</v>
      </c>
      <c r="Z22" s="12" t="s">
        <v>121</v>
      </c>
      <c r="AA22" s="23" t="s">
        <v>44</v>
      </c>
      <c r="AB22" s="24"/>
      <c r="AC22" s="24"/>
      <c r="AD22" s="24"/>
    </row>
    <row r="23" ht="30.0" customHeight="1">
      <c r="A23" s="25"/>
      <c r="B23" s="14"/>
      <c r="C23" s="14"/>
      <c r="D23" s="26"/>
      <c r="E23" s="14"/>
      <c r="F23" s="27"/>
      <c r="G23" s="14"/>
      <c r="H23" s="27"/>
      <c r="I23" s="14"/>
      <c r="J23" s="14"/>
      <c r="K23" s="14"/>
      <c r="L23" s="15" t="s">
        <v>122</v>
      </c>
      <c r="M23" s="15" t="s">
        <v>78</v>
      </c>
      <c r="N2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""&amp;M23)"),"Power Consumption Rate | Color Temperature | Voltage | IP Rating | Dimension | Control Protocol | Pixel | Impact Strength")</f>
        <v>Power Consumption Rate | Color Temperature | Voltage | IP Rating | Dimension | Control Protocol | Pixel | Impact Strength</v>
      </c>
      <c r="O23" s="17" t="s">
        <v>72</v>
      </c>
      <c r="P2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""&amp;O23&amp;"", Values: ""&amp;M23&amp; "" and SKU Code: ""&amp;"&amp;"L23)"),"{""Power Consumption Rate"": ""16W/m"", ""Color Temperature"": ""RGB"", ""Voltage"": ""24V"", ""IP Rating"": ""IP69"", ""Dimension"": ""16mm (W) x 17mm (H)"", ""Control Protocol"": ""SPI"", ""Pixel"": ""12 Pixels/m"", ""Impact Strength"": ""IK10 with Neon"&amp;"-AluProfile-1617"", ""SKU"": ""SV1617-16W-RGB-IP69-SPI""}")</f>
        <v>{"Power Consumption Rate": "16W/m", "Color Temperature": "RGB", "Voltage": "24V", "IP Rating": "IP69", "Dimension": "16mm (W) x 17mm (H)", "Control Protocol": "SPI", "Pixel": "12 Pixels/m", "Impact Strength": "IK10 with Neon-AluProfile-1617", "SKU": "SV1617-16W-RGB-IP69-SPI"}</v>
      </c>
      <c r="Q23" s="17" t="s">
        <v>123</v>
      </c>
      <c r="R23" s="28"/>
      <c r="S23" s="29"/>
      <c r="T23" s="28"/>
      <c r="U23" s="30"/>
      <c r="V23" s="28"/>
      <c r="W23" s="28"/>
      <c r="X23" s="28"/>
      <c r="Y23" s="12" t="s">
        <v>42</v>
      </c>
      <c r="Z23" s="12" t="s">
        <v>124</v>
      </c>
      <c r="AA23" s="23" t="s">
        <v>44</v>
      </c>
      <c r="AB23" s="24"/>
      <c r="AC23" s="24"/>
      <c r="AD23" s="24"/>
    </row>
    <row r="24" ht="30.0" customHeight="1">
      <c r="A24" s="25"/>
      <c r="B24" s="14"/>
      <c r="C24" s="14"/>
      <c r="D24" s="26"/>
      <c r="E24" s="14"/>
      <c r="F24" s="27"/>
      <c r="G24" s="14"/>
      <c r="H24" s="27"/>
      <c r="I24" s="14"/>
      <c r="J24" s="14"/>
      <c r="K24" s="14"/>
      <c r="L24" s="15" t="s">
        <v>125</v>
      </c>
      <c r="M24" s="15" t="s">
        <v>71</v>
      </c>
      <c r="N2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""&amp;M24)"),"Power Consumption Rate | Color Temperature | Voltage | IP Rating | Dimension | Control Protocol | Pixel | Impact Strength")</f>
        <v>Power Consumption Rate | Color Temperature | Voltage | IP Rating | Dimension | Control Protocol | Pixel | Impact Strength</v>
      </c>
      <c r="O24" s="17" t="s">
        <v>72</v>
      </c>
      <c r="P2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""&amp;O24&amp;"", Values: ""&amp;M24&amp; "" and SKU Code: ""&amp;"&amp;"L24)"),"{""Power Consumption Rate"": ""15W/m"", ""Color Temperature"": ""RGB"", ""Voltage"": ""24V"", ""IP Rating"": ""IP69"", ""Dimension"": ""16mm (W) x 17mm (H)"", ""Control Protocol"": ""DMX"", ""Pixel"": ""12 Pixels/m"", ""Impact Strength"": ""IK10 with Neon"&amp;"-AluProfile-1617"", ""SKU"": ""SV1617-15W-RGB-IP69-DMX""}")</f>
        <v>{"Power Consumption Rate": "15W/m", "Color Temperature": "RGB", "Voltage": "24V", "IP Rating": "IP69", "Dimension": "16mm (W) x 17mm (H)", "Control Protocol": "DMX", "Pixel": "12 Pixels/m", "Impact Strength": "IK10 with Neon-AluProfile-1617", "SKU": "SV1617-15W-RGB-IP69-DMX"}</v>
      </c>
      <c r="Q24" s="17" t="s">
        <v>126</v>
      </c>
      <c r="R24" s="28"/>
      <c r="S24" s="29"/>
      <c r="T24" s="28"/>
      <c r="U24" s="30"/>
      <c r="V24" s="28"/>
      <c r="W24" s="28"/>
      <c r="X24" s="28"/>
      <c r="Y24" s="12" t="s">
        <v>42</v>
      </c>
      <c r="Z24" s="12" t="s">
        <v>127</v>
      </c>
      <c r="AA24" s="23" t="s">
        <v>44</v>
      </c>
      <c r="AB24" s="24"/>
      <c r="AC24" s="24"/>
      <c r="AD24" s="24"/>
    </row>
    <row r="25" ht="30.0" customHeight="1">
      <c r="A25" s="25"/>
      <c r="B25" s="14"/>
      <c r="C25" s="14"/>
      <c r="D25" s="26"/>
      <c r="E25" s="14"/>
      <c r="F25" s="27"/>
      <c r="G25" s="14"/>
      <c r="H25" s="27"/>
      <c r="I25" s="14"/>
      <c r="J25" s="14"/>
      <c r="K25" s="14"/>
      <c r="L25" s="15" t="s">
        <v>128</v>
      </c>
      <c r="M25" s="15" t="s">
        <v>86</v>
      </c>
      <c r="N2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""&amp;M25)"),"Power Consumption Rate | Color Temperature | Voltage | IP Rating | Dimension | Control Protocol | Pixel | Impact Strength")</f>
        <v>Power Consumption Rate | Color Temperature | Voltage | IP Rating | Dimension | Control Protocol | Pixel | Impact Strength</v>
      </c>
      <c r="O25" s="17" t="s">
        <v>72</v>
      </c>
      <c r="P2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""&amp;O25&amp;"", Values: ""&amp;M25&amp; "" and SKU Code: ""&amp;"&amp;"L25)"),"{""Power Consumption Rate"": ""22W/m"", ""Color Temperature"": ""RGBW (3000K)"", ""Voltage"": ""24V"", ""IP Rating"": ""IP69"", ""Dimension"": ""16mm (W) x 17mm (H)"", ""Control Protocol"": ""SPI"", ""Pixel"": ""12 Pixels/m"", ""Impact Strength"": ""IK10 "&amp;"with Neon-AluProfile-1617"", ""SKU"": ""SV1617-22W-RGBW-IP69-SPI""}")</f>
        <v>{"Power Consumption Rate": "22W/m", "Color Temperature": "RGBW (3000K)", "Voltage": "24V", "IP Rating": "IP69", "Dimension": "16mm (W) x 17mm (H)", "Control Protocol": "SPI", "Pixel": "12 Pixels/m", "Impact Strength": "IK10 with Neon-AluProfile-1617", "SKU": "SV1617-22W-RGBW-IP69-SPI"}</v>
      </c>
      <c r="Q25" s="17" t="s">
        <v>129</v>
      </c>
      <c r="R25" s="28"/>
      <c r="S25" s="29"/>
      <c r="T25" s="28"/>
      <c r="U25" s="30"/>
      <c r="V25" s="28"/>
      <c r="W25" s="28"/>
      <c r="X25" s="28"/>
      <c r="Y25" s="12" t="s">
        <v>42</v>
      </c>
      <c r="Z25" s="12" t="s">
        <v>130</v>
      </c>
      <c r="AA25" s="23" t="s">
        <v>44</v>
      </c>
      <c r="AB25" s="24"/>
      <c r="AC25" s="24"/>
      <c r="AD25" s="24"/>
    </row>
    <row r="26" ht="30.0" customHeight="1">
      <c r="A26" s="11" t="s">
        <v>131</v>
      </c>
      <c r="B26" s="12" t="s">
        <v>31</v>
      </c>
      <c r="C26" s="12" t="s">
        <v>32</v>
      </c>
      <c r="D26" s="13" t="s">
        <v>132</v>
      </c>
      <c r="E26" s="12" t="s">
        <v>34</v>
      </c>
      <c r="F26" s="13" t="str">
        <f>IFERROR(__xludf.DUMMYFUNCTION("AI(""Give me a paragraph marketing spiel for product in this row, no tech specs just marketing fluff "")"),"Embrace the allure of mystery and sophistication with Black Neon, a captivating linear lighting choice designed to make a bold design statement. Featuring a sleek, dramatic black finish, this neon-style light blends seamlessly into dark aesthetics or acts"&amp;" as a striking contrast against minimalist backgrounds. It delivers a smooth, uniform glow that completely transforms the atmosphere of high-end lounges, modern retail spaces, or intimate outdoor patios. Engineered for incredible flexibility and built to "&amp;"withstand the elements, it allows designers to effortlessly map out artistic contours, adding an undeniable touch of luxury and architectural refinement wherever it is placed.")</f>
        <v>Embrace the allure of mystery and sophistication with Black Neon, a captivating linear lighting choice designed to make a bold design statement. Featuring a sleek, dramatic black finish, this neon-style light blends seamlessly into dark aesthetics or acts as a striking contrast against minimalist backgrounds. It delivers a smooth, uniform glow that completely transforms the atmosphere of high-end lounges, modern retail spaces, or intimate outdoor patios. Engineered for incredible flexibility and built to withstand the elements, it allows designers to effortlessly map out artistic contours, adding an undeniable touch of luxury and architectural refinement wherever it is placed.</v>
      </c>
      <c r="G26" s="12" t="s">
        <v>133</v>
      </c>
      <c r="H26" s="13" t="str">
        <f>IFERROR(__xludf.DUMMYFUNCTION("AI(""Give me a paragraph marketing spiel for product in this row, no tech specs just marketing fluff under 180 characters "")"),"Embrace mystery and sophistication with Black Neon, a sleek linear light designed to bring a dramatic, uniform glow and touch of pure luxury to any modern space.")</f>
        <v>Embrace mystery and sophistication with Black Neon, a sleek linear light designed to bring a dramatic, uniform glow and touch of pure luxury to any modern space.</v>
      </c>
      <c r="I26" s="12" t="s">
        <v>134</v>
      </c>
      <c r="J26" s="14"/>
      <c r="K26" s="14"/>
      <c r="L26" s="15" t="s">
        <v>131</v>
      </c>
      <c r="M26" s="15" t="s">
        <v>135</v>
      </c>
      <c r="N2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""&amp;M26)"),"Power Consumption Rate | Color Temperature | Voltage | IP Rating | Dimension | Finish")</f>
        <v>Power Consumption Rate | Color Temperature | Voltage | IP Rating | Dimension | Finish</v>
      </c>
      <c r="O26" s="17" t="s">
        <v>136</v>
      </c>
      <c r="P2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""&amp;O26&amp;"", Values: ""&amp;M26&amp; "" and SKU Code: ""&amp;"&amp;"L26)"),"{""SKU"": ""TV1615-10W-2.7K-IP67-Black"", ""Power Consumption Rate"": ""10W/m"", ""Color Temperature"": ""2700K"", ""Voltage"": ""24V"", ""IP Rating"": ""IP67"", ""Dimension"": ""16mm (W) x 15mm (H)"", ""Finish"": ""Black""}")</f>
        <v>{"SKU": "TV1615-10W-2.7K-IP67-Black", "Power Consumption Rate": "10W/m", "Color Temperature": "2700K", "Voltage": "24V", "IP Rating": "IP67", "Dimension": "16mm (W) x 15mm (H)", "Finish": "Black"}</v>
      </c>
      <c r="Q26" s="17" t="s">
        <v>137</v>
      </c>
      <c r="R26"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Q26:Q33)"),"{""SKU"": [""TV1615-10W-2.7K-IP67-Black"", ""TV1615-10W-3K-IP67-Black"", ""TV1615-10W-4K-IP67-Black"", ""TV1615-15W-2.7K-IP67-Black"", ""TV1615-15W-3K-IP67-Black"", ""TV1615-15W-4K-IP67-Black"", ""TV1615-15W-RGB-IP67-Black"", ""TV1615-15W-TW-IP67-Black""]"&amp;", ""Power Consumption Rate"": [""10W/m"", ""15W/m""], ""Color Temperature"": [""2700K"", ""3000K"", ""4000K"", ""RGB"", ""TW (2700K-6500K)""], ""Voltage"": ""24V"", ""IP Rating"": ""IP67"", ""Dimension"": ""16mm (W) x 15mm (H)"", ""Finish"": ""Black""}")</f>
        <v>{"SKU": ["TV1615-10W-2.7K-IP67-Black", "TV1615-10W-3K-IP67-Black", "TV1615-10W-4K-IP67-Black", "TV1615-15W-2.7K-IP67-Black", "TV1615-15W-3K-IP67-Black", "TV1615-15W-4K-IP67-Black", "TV1615-15W-RGB-IP67-Black", "TV1615-15W-TW-IP67-Black"], "Power Consumption Rate": ["10W/m", "15W/m"], "Color Temperature": ["2700K", "3000K", "4000K", "RGB", "TW (2700K-6500K)"], "Voltage": "24V", "IP Rating": "IP67", "Dimension": "16mm (W) x 15mm (H)", "Finish": "Black"}</v>
      </c>
      <c r="S26" s="19" t="s">
        <v>138</v>
      </c>
      <c r="T26"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Q26:Q33)"),"{
""Options"": {
""Power Consumption Rate"": [
{""name"": ""10W/m"", ""id"": ""101""},
{""name"": ""15W/m"", ""id"": ""102""}
],
""Color Temperature"": [
{""name"": ""2700K"", ""id"": ""103""},
{""name"": ""3000K"", ""id"": ""104""},
{""name"": ""4000K"","&amp;" ""id"": ""105""},
{""name"": ""RGB"", ""id"": ""106""},
{""name"": ""TW (2700K-6500K)"", ""id"": ""107""}
],
""Voltage"": [
{""name"": ""24V"", ""id"": ""108""}
],
""IP Rating"": [
{""name"": ""IP67"", ""id"": ""109""}
],
""Dimension"": [
{""name"": ""16"&amp;"mm (W) x 15mm (H)"", ""id"": ""110""}
],
""Finish"": [
{""name"": ""Black"", ""id"": ""111""}
]
},
""Constraints"": {
""101"": [""106"", ""107""],
""102"": [""103"", ""104"", ""105""]
},
""sku_mappings"": [
{ ""sku"": ""TV1615-10W-2.7K-IP67-Black"", ""com"&amp;"bination"": [""101"", ""103"", ""108"", ""109"", ""110"", ""111""] },
{ ""sku"": ""TV1615-10W-3K-IP67-Black"", ""combination"": [""101"", ""104"", ""108"", ""109"", ""110"", ""111""] },
{ ""sku"": ""TV1615-10W-4K-IP67-Black"", ""combination"": [""101"", "&amp;"""105"", ""108"", ""109"", ""110"", ""111""] },
{ ""sku"": ""TV1615-15W-2.7K-IP67-Black"", ""combination"": [""102"", ""103"", ""108"", ""109"", ""110"", ""111""] },
{ ""sku"": ""TV1615-15W-3K-IP67-Black"", ""combination"": [""102"", ""104"", ""108"", ""1"&amp;"09"", ""110"", ""111""] },
{ ""sku"": ""TV1615-15W-4K-IP67-Black"", ""combination"": [""102"", ""105"", ""108"", ""109"", ""110"", ""111""] },
{ ""sku"": ""TV1615-15W-RGB-IP67-Black"", ""combination"": [""101"", ""106"", ""108"", ""109"", ""110"", ""111"""&amp;"] },
{ ""sku"": ""TV1615-15W-TW-IP67-Black"", ""combination"": [""101"", ""107"", ""108"", ""109"", ""110"", ""111""] }
]
}")</f>
        <v>{
"Options": {
"Power Consumption Rate": [
{"name": "10W/m", "id": "101"},
{"name": "15W/m", "id": "102"}
],
"Color Temperature": [
{"name": "2700K", "id": "103"},
{"name": "3000K", "id": "104"},
{"name": "4000K", "id": "105"},
{"name": "RGB", "id": "106"},
{"name": "TW (2700K-6500K)", "id": "107"}
],
"Voltage": [
{"name": "24V", "id": "108"}
],
"IP Rating": [
{"name": "IP67", "id": "109"}
],
"Dimension": [
{"name": "16mm (W) x 15mm (H)", "id": "110"}
],
"Finish": [
{"name": "Black", "id": "111"}
]
},
"Constraints": {
"101": ["106", "107"],
"102": ["103", "104", "105"]
},
"sku_mappings": [
{ "sku": "TV1615-10W-2.7K-IP67-Black", "combination": ["101", "103", "108", "109", "110", "111"] },
{ "sku": "TV1615-10W-3K-IP67-Black", "combination": ["101", "104", "108", "109", "110", "111"] },
{ "sku": "TV1615-10W-4K-IP67-Black", "combination": ["101", "105", "108", "109", "110", "111"] },
{ "sku": "TV1615-15W-2.7K-IP67-Black", "combination": ["102", "103", "108", "109", "110", "111"] },
{ "sku": "TV1615-15W-3K-IP67-Black", "combination": ["102", "104", "108", "109", "110", "111"] },
{ "sku": "TV1615-15W-4K-IP67-Black", "combination": ["102", "105", "108", "109", "110", "111"] },
{ "sku": "TV1615-15W-RGB-IP67-Black", "combination": ["101", "106", "108", "109", "110", "111"] },
{ "sku": "TV1615-15W-TW-IP67-Black", "combination": ["101", "107", "108", "109", "110", "111"] }
]
}</v>
      </c>
      <c r="U26" s="20" t="s">
        <v>139</v>
      </c>
      <c r="V26" s="21" t="str">
        <f>IFERROR(__xludf.DUMMYFUNCTION("AI(""Extract options object from the json"", U26)"),"{ ""Power Consumption Rate"": [ {""name"": ""10W/m"", ""id"": ""101""}, {""name"": ""15W/m"", ""id"": ""102""} ], ""Color Temperature"": [ {""name"": ""2700K"", ""id"": ""103""}, {""name"": ""3000K"", ""id"": ""104""}, {""name"": ""4000K"", ""id"": ""105"&amp;"""}, {""name"": ""RGB"", ""id"": ""106""}, {""name"": ""TW (2700K-6500K)"", ""id"": ""107""} ], ""Voltage"": [ {""name"": ""24V"", ""id"": ""108""} ], ""IP Rating"": [ {""name"": ""IP67"", ""id"": ""109""} ], ""Dimension"": [ {""name"": ""16mm (W) x 15mm "&amp;"(H)"", ""id"": ""110""} ], ""Finish"": [ {""name"": ""Black"", ""id"": ""111""} ] }")</f>
        <v>{ "Power Consumption Rate": [ {"name": "10W/m", "id": "101"}, {"name": "15W/m", "id": "102"} ], "Color Temperature": [ {"name": "2700K", "id": "103"}, {"name": "3000K", "id": "104"}, {"name": "4000K", "id": "105"}, {"name": "RGB", "id": "106"}, {"name": "TW (2700K-6500K)", "id": "107"} ], "Voltage": [ {"name": "24V", "id": "108"} ], "IP Rating": [ {"name": "IP67", "id": "109"} ], "Dimension": [ {"name": "16mm (W) x 15mm (H)", "id": "110"} ], "Finish": [ {"name": "Black", "id": "111"} ] }</v>
      </c>
      <c r="W26" s="21" t="str">
        <f>IFERROR(__xludf.DUMMYFUNCTION("AI(""Extract constraints object from the json"", U26)"),"{ ""101"": [""106"", ""107""], ""102"": [""103"", ""104"", ""105""] }")</f>
        <v>{ "101": ["106", "107"], "102": ["103", "104", "105"] }</v>
      </c>
      <c r="X26" s="21" t="str">
        <f>IFERROR(__xludf.DUMMYFUNCTION("AI(""Extract sku_mappings object from the json"", U26)"),"[{""sku"": ""TV1615-10W-2.7K-IP67-Black"", ""combination"": [""101"", ""103"", ""108"", ""109"", ""110"", ""111""]}, {""sku"": ""TV1615-10W-3K-IP67-Black"", ""combination"": [""101"", ""104"", ""108"", ""109"", ""110"", ""111""]}, {""sku"": ""TV1615-10W-4"&amp;"K-IP67-Black"", ""combination"": [""101"", ""105"", ""108"", ""109"", ""110"", ""111""]}, {""sku"": ""TV1615-15W-2.7K-IP67-Black"", ""combination"": [""102"", ""103"", ""108"", ""109"", ""110"", ""111""]}, {""sku"": ""TV1615-15W-3K-IP67-Black"", ""combina"&amp;"tion"": [""102"", ""104"", ""108"", ""109"", ""110"", ""111""]}, {""sku"": ""TV1615-15W-4K-IP67-Black"", ""combination"": [""102"", ""105"", ""108"", ""109"", ""110"", ""111""]}, {""sku"": ""TV1615-15W-RGB-IP67-Black"", ""combination"": [""101"", ""106"","&amp;" ""108"", ""109"", ""110"", ""111""]}, {""sku"": ""TV1615-15W-TW-IP67-Black"", ""combination"": [""101"", ""107"", ""108"", ""109"", ""110"", ""111""]}]")</f>
        <v>[{"sku": "TV1615-10W-2.7K-IP67-Black", "combination": ["101", "103", "108", "109", "110", "111"]}, {"sku": "TV1615-10W-3K-IP67-Black", "combination": ["101", "104", "108", "109", "110", "111"]}, {"sku": "TV1615-10W-4K-IP67-Black", "combination": ["101", "105", "108", "109", "110", "111"]}, {"sku": "TV1615-15W-2.7K-IP67-Black", "combination": ["102", "103", "108", "109", "110", "111"]}, {"sku": "TV1615-15W-3K-IP67-Black", "combination": ["102", "104", "108", "109", "110", "111"]}, {"sku": "TV1615-15W-4K-IP67-Black", "combination": ["102", "105", "108", "109", "110", "111"]}, {"sku": "TV1615-15W-RGB-IP67-Black", "combination": ["101", "106", "108", "109", "110", "111"]}, {"sku": "TV1615-15W-TW-IP67-Black", "combination": ["101", "107", "108", "109", "110", "111"]}]</v>
      </c>
      <c r="Y26" s="12" t="s">
        <v>42</v>
      </c>
      <c r="Z26" s="12" t="s">
        <v>140</v>
      </c>
      <c r="AA26" s="23" t="s">
        <v>44</v>
      </c>
      <c r="AB26" s="24"/>
      <c r="AC26" s="24" t="str">
        <f>IFERROR(__xludf.DUMMYFUNCTION("AI(""Generate 6 powerful unique keywords for the product in this row"")"),"Black neon, Sleek linear light, Dramatic lighting finish, Luxury architectural contour, Top View neon, Waterproof black light ribbon")</f>
        <v>Black neon, Sleek linear light, Dramatic lighting finish, Luxury architectural contour, Top View neon, Waterproof black light ribbon</v>
      </c>
      <c r="AD26" s="24" t="s">
        <v>141</v>
      </c>
    </row>
    <row r="27" ht="30.0" customHeight="1">
      <c r="A27" s="25"/>
      <c r="B27" s="25"/>
      <c r="C27" s="12"/>
      <c r="D27" s="13"/>
      <c r="E27" s="12"/>
      <c r="F27" s="13"/>
      <c r="G27" s="31"/>
      <c r="H27" s="13"/>
      <c r="I27" s="12"/>
      <c r="J27" s="12"/>
      <c r="K27" s="12"/>
      <c r="L27" s="15" t="s">
        <v>142</v>
      </c>
      <c r="M27" s="15" t="s">
        <v>143</v>
      </c>
      <c r="N2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""&amp;M27)"),"Power Consumption Rate | Color Temperature | Voltage | IP Rating | Dimension | Finish")</f>
        <v>Power Consumption Rate | Color Temperature | Voltage | IP Rating | Dimension | Finish</v>
      </c>
      <c r="O27" s="17" t="s">
        <v>136</v>
      </c>
      <c r="P2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""&amp;O27&amp;"", Values: ""&amp;M27&amp; "" and SKU Code: ""&amp;"&amp;"L27)"),"{""Power Consumption Rate"": ""10W/m"", ""Color Temperature"": ""3000K"", ""Voltage"": ""24V"", ""IP Rating"": ""IP67"", ""Dimension"": ""16mm (W) x 15mm (H)"", ""Finish"": ""Black"", ""SKU"": ""TV1615-10W-3K-IP67-Black""}")</f>
        <v>{"Power Consumption Rate": "10W/m", "Color Temperature": "3000K", "Voltage": "24V", "IP Rating": "IP67", "Dimension": "16mm (W) x 15mm (H)", "Finish": "Black", "SKU": "TV1615-10W-3K-IP67-Black"}</v>
      </c>
      <c r="Q27" s="17" t="s">
        <v>144</v>
      </c>
      <c r="R27" s="18"/>
      <c r="S27" s="19"/>
      <c r="T27" s="18"/>
      <c r="U27" s="20"/>
      <c r="V27" s="18"/>
      <c r="W27" s="18"/>
      <c r="X27" s="18"/>
      <c r="Y27" s="23" t="s">
        <v>42</v>
      </c>
      <c r="Z27" s="23" t="s">
        <v>140</v>
      </c>
      <c r="AA27" s="23" t="s">
        <v>44</v>
      </c>
      <c r="AB27" s="24"/>
      <c r="AC27" s="24"/>
      <c r="AD27" s="24"/>
    </row>
    <row r="28" ht="30.0" customHeight="1">
      <c r="A28" s="25"/>
      <c r="B28" s="14"/>
      <c r="C28" s="14"/>
      <c r="D28" s="26"/>
      <c r="E28" s="14"/>
      <c r="F28" s="27"/>
      <c r="G28" s="14"/>
      <c r="H28" s="27"/>
      <c r="I28" s="14"/>
      <c r="J28" s="14"/>
      <c r="K28" s="14"/>
      <c r="L28" s="15" t="s">
        <v>145</v>
      </c>
      <c r="M28" s="15" t="s">
        <v>146</v>
      </c>
      <c r="N2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""&amp;M28)"),"Power Consumption Rate | Color Temperature | Voltage | IP Rating | Dimension | Finish")</f>
        <v>Power Consumption Rate | Color Temperature | Voltage | IP Rating | Dimension | Finish</v>
      </c>
      <c r="O28" s="17" t="s">
        <v>136</v>
      </c>
      <c r="P2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""&amp;O28&amp;"", Values: ""&amp;M28&amp; "" and SKU Code: ""&amp;"&amp;"L28)"),"{""Power Consumption Rate"": ""10W/m"", ""Color Temperature"": ""4000K"", ""Voltage"": ""24V"", ""IP Rating"": ""IP67"", ""Dimension"": ""16mm (W) x 15mm (H)"", ""Finish"": ""Black"", ""SKU"": ""TV1615-10W-4K-IP67-Black""}")</f>
        <v>{"Power Consumption Rate": "10W/m", "Color Temperature": "4000K", "Voltage": "24V", "IP Rating": "IP67", "Dimension": "16mm (W) x 15mm (H)", "Finish": "Black", "SKU": "TV1615-10W-4K-IP67-Black"}</v>
      </c>
      <c r="Q28" s="17" t="s">
        <v>147</v>
      </c>
      <c r="R28" s="28"/>
      <c r="S28" s="29"/>
      <c r="T28" s="28"/>
      <c r="U28" s="30"/>
      <c r="V28" s="28"/>
      <c r="W28" s="28"/>
      <c r="X28" s="28"/>
      <c r="Y28" s="22" t="s">
        <v>42</v>
      </c>
      <c r="Z28" s="22" t="s">
        <v>140</v>
      </c>
      <c r="AA28" s="23" t="s">
        <v>44</v>
      </c>
      <c r="AB28" s="24"/>
      <c r="AC28" s="24"/>
      <c r="AD28" s="24"/>
    </row>
    <row r="29" ht="30.0" customHeight="1">
      <c r="A29" s="25"/>
      <c r="B29" s="14"/>
      <c r="C29" s="14"/>
      <c r="D29" s="26"/>
      <c r="E29" s="14"/>
      <c r="F29" s="27"/>
      <c r="G29" s="14"/>
      <c r="H29" s="27"/>
      <c r="I29" s="14"/>
      <c r="J29" s="14"/>
      <c r="K29" s="14"/>
      <c r="L29" s="15" t="s">
        <v>148</v>
      </c>
      <c r="M29" s="15" t="s">
        <v>149</v>
      </c>
      <c r="N2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""&amp;M29)"),"Power Consumption Rate | Color Temperature | Voltage | IP Rating | Dimension | Finish")</f>
        <v>Power Consumption Rate | Color Temperature | Voltage | IP Rating | Dimension | Finish</v>
      </c>
      <c r="O29" s="17" t="s">
        <v>136</v>
      </c>
      <c r="P2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""&amp;O29&amp;"", Values: ""&amp;M29&amp; "" and SKU Code: ""&amp;"&amp;"L29)"),"{""Power Consumption Rate"": ""15W/m"", ""Color Temperature"": ""2700K"", ""Voltage"": ""24V"", ""IP Rating"": ""IP67"", ""Dimension"": ""16mm (W) x 15mm (H)"", ""Finish"": ""Black"", ""SKU"": ""TV1615-15W-2.7K-IP67-Black""}")</f>
        <v>{"Power Consumption Rate": "15W/m", "Color Temperature": "2700K", "Voltage": "24V", "IP Rating": "IP67", "Dimension": "16mm (W) x 15mm (H)", "Finish": "Black", "SKU": "TV1615-15W-2.7K-IP67-Black"}</v>
      </c>
      <c r="Q29" s="17" t="s">
        <v>150</v>
      </c>
      <c r="R29" s="28"/>
      <c r="S29" s="29"/>
      <c r="T29" s="28"/>
      <c r="U29" s="30"/>
      <c r="V29" s="28"/>
      <c r="W29" s="28"/>
      <c r="X29" s="28"/>
      <c r="Y29" s="22" t="s">
        <v>42</v>
      </c>
      <c r="Z29" s="22" t="s">
        <v>140</v>
      </c>
      <c r="AA29" s="23" t="s">
        <v>44</v>
      </c>
      <c r="AB29" s="24"/>
      <c r="AC29" s="24"/>
      <c r="AD29" s="24"/>
    </row>
    <row r="30" ht="30.0" customHeight="1">
      <c r="A30" s="25"/>
      <c r="B30" s="14"/>
      <c r="C30" s="14"/>
      <c r="D30" s="26"/>
      <c r="E30" s="14"/>
      <c r="F30" s="27"/>
      <c r="G30" s="14"/>
      <c r="H30" s="27"/>
      <c r="I30" s="14"/>
      <c r="J30" s="14"/>
      <c r="K30" s="14"/>
      <c r="L30" s="15" t="s">
        <v>151</v>
      </c>
      <c r="M30" s="15" t="s">
        <v>152</v>
      </c>
      <c r="N3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""&amp;M30)"),"Power Consumption Rate | Color Temperature | Voltage | IP Rating | Dimension | Finish")</f>
        <v>Power Consumption Rate | Color Temperature | Voltage | IP Rating | Dimension | Finish</v>
      </c>
      <c r="O30" s="17" t="s">
        <v>136</v>
      </c>
      <c r="P3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""&amp;O30&amp;"", Values: ""&amp;M30&amp; "" and SKU Code: ""&amp;"&amp;"L30)"),"{""Power Consumption Rate"": ""15W/m"", ""Color Temperature"": ""3000K"", ""Voltage"": ""24V"", ""IP Rating"": ""IP67"", ""Dimension"": ""16mm (W) x 15mm (H)"", ""Finish"": ""Black"", ""SKU"": ""TV1615-15W-3K-IP67-Black""}")</f>
        <v>{"Power Consumption Rate": "15W/m", "Color Temperature": "3000K", "Voltage": "24V", "IP Rating": "IP67", "Dimension": "16mm (W) x 15mm (H)", "Finish": "Black", "SKU": "TV1615-15W-3K-IP67-Black"}</v>
      </c>
      <c r="Q30" s="17" t="s">
        <v>153</v>
      </c>
      <c r="R30" s="28"/>
      <c r="S30" s="29"/>
      <c r="T30" s="28"/>
      <c r="U30" s="30"/>
      <c r="V30" s="28"/>
      <c r="W30" s="28"/>
      <c r="X30" s="28"/>
      <c r="Y30" s="22" t="s">
        <v>42</v>
      </c>
      <c r="Z30" s="22" t="s">
        <v>140</v>
      </c>
      <c r="AA30" s="23" t="s">
        <v>44</v>
      </c>
      <c r="AB30" s="24"/>
      <c r="AC30" s="24"/>
      <c r="AD30" s="24"/>
    </row>
    <row r="31" ht="30.0" customHeight="1">
      <c r="A31" s="25"/>
      <c r="B31" s="14"/>
      <c r="C31" s="14"/>
      <c r="D31" s="26"/>
      <c r="E31" s="14"/>
      <c r="F31" s="27"/>
      <c r="G31" s="14"/>
      <c r="H31" s="27"/>
      <c r="I31" s="14"/>
      <c r="J31" s="14"/>
      <c r="K31" s="14"/>
      <c r="L31" s="15" t="s">
        <v>154</v>
      </c>
      <c r="M31" s="15" t="s">
        <v>155</v>
      </c>
      <c r="N3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""&amp;M31)"),"Power Consumption Rate | Color Temperature | Voltage | IP Rating | Dimension | Finish")</f>
        <v>Power Consumption Rate | Color Temperature | Voltage | IP Rating | Dimension | Finish</v>
      </c>
      <c r="O31" s="17" t="s">
        <v>136</v>
      </c>
      <c r="P3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""&amp;O31&amp;"", Values: ""&amp;M31&amp; "" and SKU Code: ""&amp;"&amp;"L31)"),"{""Power Consumption Rate"": ""15W/m"", ""Color Temperature"": ""4000K"", ""Voltage"": ""24V"", ""IP Rating"": ""IP67"", ""Dimension"": ""16mm (W) x 15mm (H)"", ""Finish"": ""Black"", ""SKU"": ""TV1615-15W-4K-IP67-Black""}")</f>
        <v>{"Power Consumption Rate": "15W/m", "Color Temperature": "4000K", "Voltage": "24V", "IP Rating": "IP67", "Dimension": "16mm (W) x 15mm (H)", "Finish": "Black", "SKU": "TV1615-15W-4K-IP67-Black"}</v>
      </c>
      <c r="Q31" s="17" t="s">
        <v>156</v>
      </c>
      <c r="R31" s="28"/>
      <c r="S31" s="29"/>
      <c r="T31" s="28"/>
      <c r="U31" s="30"/>
      <c r="V31" s="28"/>
      <c r="W31" s="28"/>
      <c r="X31" s="28"/>
      <c r="Y31" s="22" t="s">
        <v>42</v>
      </c>
      <c r="Z31" s="22" t="s">
        <v>140</v>
      </c>
      <c r="AA31" s="23" t="s">
        <v>44</v>
      </c>
      <c r="AB31" s="24"/>
      <c r="AC31" s="24"/>
      <c r="AD31" s="24"/>
    </row>
    <row r="32" ht="30.0" customHeight="1">
      <c r="A32" s="25"/>
      <c r="B32" s="14"/>
      <c r="C32" s="14"/>
      <c r="D32" s="26"/>
      <c r="E32" s="14"/>
      <c r="F32" s="27"/>
      <c r="G32" s="14"/>
      <c r="H32" s="27"/>
      <c r="I32" s="14"/>
      <c r="J32" s="14"/>
      <c r="K32" s="14"/>
      <c r="L32" s="15" t="s">
        <v>157</v>
      </c>
      <c r="M32" s="15" t="s">
        <v>158</v>
      </c>
      <c r="N3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""&amp;M32)"),"Power Consumption Rate | Color Temperature | Voltage | IP Rating | Dimension | Finish")</f>
        <v>Power Consumption Rate | Color Temperature | Voltage | IP Rating | Dimension | Finish</v>
      </c>
      <c r="O32" s="17" t="s">
        <v>136</v>
      </c>
      <c r="P3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""&amp;O32&amp;"", Values: ""&amp;M32&amp; "" and SKU Code: ""&amp;"&amp;"L32)"),"{""Power Consumption Rate"": ""10W/m"", ""Color Temperature"": ""RGB"", ""Voltage"": ""24V"", ""IP Rating"": ""IP67"", ""Dimension"": ""16mm (W) x 15mm (H)"", ""Finish"": ""Black"", ""SKU"": ""TV1615-15W-RGB-IP67-Black""}")</f>
        <v>{"Power Consumption Rate": "10W/m", "Color Temperature": "RGB", "Voltage": "24V", "IP Rating": "IP67", "Dimension": "16mm (W) x 15mm (H)", "Finish": "Black", "SKU": "TV1615-15W-RGB-IP67-Black"}</v>
      </c>
      <c r="Q32" s="17" t="s">
        <v>159</v>
      </c>
      <c r="R32" s="28"/>
      <c r="S32" s="29"/>
      <c r="T32" s="28"/>
      <c r="U32" s="30"/>
      <c r="V32" s="28"/>
      <c r="W32" s="28"/>
      <c r="X32" s="28"/>
      <c r="Y32" s="22" t="s">
        <v>42</v>
      </c>
      <c r="Z32" s="22" t="s">
        <v>140</v>
      </c>
      <c r="AA32" s="23" t="s">
        <v>44</v>
      </c>
      <c r="AB32" s="24"/>
      <c r="AC32" s="24"/>
      <c r="AD32" s="24"/>
    </row>
    <row r="33" ht="30.0" customHeight="1">
      <c r="A33" s="25"/>
      <c r="B33" s="14"/>
      <c r="C33" s="14"/>
      <c r="D33" s="26"/>
      <c r="E33" s="14"/>
      <c r="F33" s="27"/>
      <c r="G33" s="14"/>
      <c r="H33" s="27"/>
      <c r="I33" s="14"/>
      <c r="J33" s="14"/>
      <c r="K33" s="14"/>
      <c r="L33" s="15" t="s">
        <v>160</v>
      </c>
      <c r="M33" s="15" t="s">
        <v>161</v>
      </c>
      <c r="N3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""&amp;M33)"),"Power Consumption Rate | Color Temperature | Voltage | IP Rating | Dimension | Finish")</f>
        <v>Power Consumption Rate | Color Temperature | Voltage | IP Rating | Dimension | Finish</v>
      </c>
      <c r="O33" s="17" t="s">
        <v>136</v>
      </c>
      <c r="P3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""&amp;O33&amp;"", Values: ""&amp;M33&amp; "" and SKU Code: ""&amp;"&amp;"L33)"),"{""Power Consumption Rate"": ""10W/m"", ""Color Temperature"": ""TW (2700K-6500K)"", ""Voltage"": ""24V"", ""IP Rating"": ""IP67"", ""Dimension"": ""16mm (W) x 15mm (H)"", ""Finish"": ""Black"", ""SKU"": ""TV1615-15W-TW-IP67-Black""}")</f>
        <v>{"Power Consumption Rate": "10W/m", "Color Temperature": "TW (2700K-6500K)", "Voltage": "24V", "IP Rating": "IP67", "Dimension": "16mm (W) x 15mm (H)", "Finish": "Black", "SKU": "TV1615-15W-TW-IP67-Black"}</v>
      </c>
      <c r="Q33" s="17" t="s">
        <v>162</v>
      </c>
      <c r="R33" s="28"/>
      <c r="S33" s="29"/>
      <c r="T33" s="28"/>
      <c r="U33" s="30"/>
      <c r="V33" s="28"/>
      <c r="W33" s="28"/>
      <c r="X33" s="28"/>
      <c r="Y33" s="22" t="s">
        <v>42</v>
      </c>
      <c r="Z33" s="22" t="s">
        <v>140</v>
      </c>
      <c r="AA33" s="23" t="s">
        <v>44</v>
      </c>
      <c r="AB33" s="24"/>
      <c r="AC33" s="24"/>
      <c r="AD33" s="24"/>
    </row>
    <row r="34" ht="30.0" customHeight="1">
      <c r="A34" s="11" t="s">
        <v>163</v>
      </c>
      <c r="B34" s="12" t="s">
        <v>164</v>
      </c>
      <c r="C34" s="12" t="s">
        <v>32</v>
      </c>
      <c r="D34" s="13" t="s">
        <v>165</v>
      </c>
      <c r="E34" s="12" t="s">
        <v>34</v>
      </c>
      <c r="F34" s="13" t="str">
        <f>IFERROR(__xludf.DUMMYFUNCTION("AI(""Give me a paragraph marketing spiel for product in this row, no tech specs just marketing fluff "")"),"Introducing the Slice (10mm x 4mm), an ultra-slim linear lighting solution crafted to redefine modern illumination. Designed with incredible flexibility and a minimal profile, this top-bending masterpiece seamlessly integrates into any architectural visio"&amp;"n, effortlessly tracing elegant curves and contours. Its smooth, uniform glow creates a stunning visual statement that elevates the ambiance of sophisticated residential interiors, commercial venues, and luxury landscapes alike. Built to offer ultimate pr"&amp;"ecision and artistic adaptability, the Slice brings a touch of sleek, contemporary elegance to any environment, proving that breathtaking design and exceptional style truly know no boundaries.")</f>
        <v>Introducing the Slice (10mm x 4mm), an ultra-slim linear lighting solution crafted to redefine modern illumination. Designed with incredible flexibility and a minimal profile, this top-bending masterpiece seamlessly integrates into any architectural vision, effortlessly tracing elegant curves and contours. Its smooth, uniform glow creates a stunning visual statement that elevates the ambiance of sophisticated residential interiors, commercial venues, and luxury landscapes alike. Built to offer ultimate precision and artistic adaptability, the Slice brings a touch of sleek, contemporary elegance to any environment, proving that breathtaking design and exceptional style truly know no boundaries.</v>
      </c>
      <c r="G34" s="12" t="s">
        <v>166</v>
      </c>
      <c r="H34" s="13" t="str">
        <f>IFERROR(__xludf.DUMMYFUNCTION("AI(""Give me a paragraph marketing spiel for product in this row, no tech specs just marketing fluff under 180 characters "")"),"Redefine your space with the ultra-slim Slice, blending flexibility and contemporary elegance to create a sleek, breathtaking visual statement anywhere.")</f>
        <v>Redefine your space with the ultra-slim Slice, blending flexibility and contemporary elegance to create a sleek, breathtaking visual statement anywhere.</v>
      </c>
      <c r="I34" s="12" t="s">
        <v>167</v>
      </c>
      <c r="J34" s="14"/>
      <c r="K34" s="14"/>
      <c r="L34" s="15" t="s">
        <v>163</v>
      </c>
      <c r="M34" s="15" t="s">
        <v>168</v>
      </c>
      <c r="N3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""&amp;M34)"),"Power Consumption Rate | Color Temperature | Voltage | IP Rating | Dimension | Cut Interval")</f>
        <v>Power Consumption Rate | Color Temperature | Voltage | IP Rating | Dimension | Cut Interval</v>
      </c>
      <c r="O34" s="17" t="s">
        <v>169</v>
      </c>
      <c r="P3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""&amp;O34&amp;"", Values: ""&amp;M34&amp; "" and SKU Code: ""&amp;"&amp;"L34)"),"{""SKU"": ""TV1004-10W-2.2K-IP65-FC"", ""Power Consumption Rate"": ""10W/m"", ""Color Temperature"": ""2200K"", ""Voltage"": ""24V"", ""IP Rating"": ""IP65"", ""Dimension"": ""10mm (W) x 4.2mm (H)"", ""Cut Interval"": ""Free Cut""}")</f>
        <v>{"SKU": "TV1004-10W-2.2K-IP65-FC", "Power Consumption Rate": "10W/m", "Color Temperature": "2200K", "Voltage": "24V", "IP Rating": "IP65", "Dimension": "10mm (W) x 4.2mm (H)", "Cut Interval": "Free Cut"}</v>
      </c>
      <c r="Q34" s="17" t="s">
        <v>170</v>
      </c>
      <c r="R3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Q34:Q47)"),"{""SKU"": [""TV1004-10W-2.2K-IP65-FC"", ""TV1004-10W-2.7K-IP65-FC"", ""TV1004-10W-3K-IP65-FC"", ""TV1004-10W-4K-IP65-FC"", ""TV1004-10W-5.7K-IP65-FC"", ""TV1004-14W-TW-IP65"", ""TV1004-10W-2.2K-IP65-XL"", ""TV1004-10W-2.7K-IP65-XL"", ""TV1004-10W-3K-IP65-"&amp;"XL"", ""TV1004-10W-4K-IP65-XL"", ""TV1004-15W-2.2K-IP65-XL"", ""TV1004-15W-2.7K-IP65-XL"", ""TV1004-15W-3K-IP65-XL"", ""TV1004-15W-4K-IP65-XL""], ""Power Consumption Rate"": [""10W/m"", ""14W/m"", ""15W/m""], ""Color Temperature"": [""2200K"", ""2700K"", "&amp;"""3000K"", ""4000K"", ""5700K"", ""TW (2700K-6500K)""], ""Voltage"": ""24V"", ""IP Rating"": ""IP65"", ""Dimension"": ""10mm (W) x 4.2mm (H)"", ""Cut Interval"": ""Free Cut""}")</f>
        <v>{"SKU": ["TV1004-10W-2.2K-IP65-FC", "TV1004-10W-2.7K-IP65-FC", "TV1004-10W-3K-IP65-FC", "TV1004-10W-4K-IP65-FC", "TV1004-10W-5.7K-IP65-FC", "TV1004-14W-TW-IP65", "TV1004-10W-2.2K-IP65-XL", "TV1004-10W-2.7K-IP65-XL", "TV1004-10W-3K-IP65-XL", "TV1004-10W-4K-IP65-XL", "TV1004-15W-2.2K-IP65-XL", "TV1004-15W-2.7K-IP65-XL", "TV1004-15W-3K-IP65-XL", "TV1004-15W-4K-IP65-XL"], "Power Consumption Rate": ["10W/m", "14W/m", "15W/m"], "Color Temperature": ["2200K", "2700K", "3000K", "4000K", "5700K", "TW (2700K-6500K)"], "Voltage": "24V", "IP Rating": "IP65", "Dimension": "10mm (W) x 4.2mm (H)", "Cut Interval": "Free Cut"}</v>
      </c>
      <c r="S34" s="19" t="s">
        <v>171</v>
      </c>
      <c r="T3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Q34:Q47)"),"{
""Options"": {
""Power Consumption Rate"": [
{""name"": ""10W/m"", ""id"": ""101""},
{""name"": ""14W/m"", ""id"": ""102""},
{""name"": ""15W/m"", ""id"": ""103""}
],
""Color Temperature"": [
{""name"": ""2200K"", ""id"": ""104""},
{""name"": ""2700K"","&amp;" ""id"": ""105""},
{""name"": ""3000K"", ""id"": ""106""},
{""name"": ""4000K"", ""id"": ""107""},
{""name"": ""5700K"", ""id"": ""108""},
{""name"": ""TW (2700K-6500K)"", ""id"": ""109""}
],
""Voltage"": [
{""name"": ""24V"", ""id"": ""110""}
],
""IP Rat"&amp;"ing"": [
{""name"": ""IP65"", ""id"": ""111""}
],
""Dimension"": [
{""name"": ""10mm (W) x 4.2mm (H)"", ""id"": ""112""}
],
""Cut Interval"": [
{""name"": ""Free Cut"", ""id"": ""113""}
]
},
""Constraints"": {
""101"": [""109""],
""102"": [""104"", ""105"&amp;""", ""106"", ""107"", ""108"", ""113""],
""103"": [""108"", ""109"", ""113""]
},
""sku_mappings"": [
{ ""sku"": ""TV1004-10W-2.2K-IP65-FC"", ""combination"": [""101"", ""104"", ""110"", ""111"", ""112"", ""113""] },
{ ""sku"": ""TV1004-10W-2.7K-IP65-FC"","&amp;" ""combination"": [""101"", ""105"", ""110"", ""111"", ""112"", ""113""] },
{ ""sku"": ""TV1004-10W-3K-IP65-FC"", ""combination"": [""101"", ""106"", ""110"", ""111"", ""112"", ""113""] },
{ ""sku"": ""TV1004-10W-4K-IP65-FC"", ""combination"": [""101"", "&amp;"""107"", ""110"", ""111"", ""112"", ""113""] },
{ ""sku"": ""TV1004-10W-5.7K-IP65-FC"", ""combination"": [""101"", ""108"", ""110"", ""111"", ""112"", ""113""] },
{ ""sku"": ""TV1004-14W-TW-IP65"", ""combination"": [""102"", ""109"", ""110"", ""111"", ""1"&amp;"12""] },
{ ""sku"": ""TV1004-10W-2.2K-IP65-XL"", ""combination"": [""101"", ""104"", ""110"", ""111"", ""112""] },
{ ""sku"": ""TV1004-10W-2.7K-IP65-XL"", ""combination"": [""101"", ""105"", ""110"", ""111"", ""112""] },
{ ""sku"": ""TV1004-10W-3K-IP65-XL"&amp;""", ""combination"": [""101"", ""106"", ""110"", ""111"", ""112""] },
{ ""sku"": ""TV1004-10W-4K-IP65-XL"", ""combination"": [""101"", ""107"", ""110"", ""111"", ""112""] },
{ ""sku"": ""TV1004-15W-2.2K-IP65-XL"", ""combination"": [""103"", ""104"", ""110"&amp;""", ""111"", ""112""] },
{ ""sku"": ""TV1004-15W-2.7K-IP65-XL"", ""combination"": [""103"", ""105"", ""110"", ""111"", ""112""] },
{ ""sku"": ""TV1004-15W-3K-IP65-XL"", ""combination"": [""103"", ""106"", ""110"", ""111"", ""112""] },
{ ""sku"": ""TV1004-"&amp;"15W-4K-IP65-XL"", ""combination"": [""103"", ""107"", ""110"", ""111"", ""112""] }
]
}")</f>
        <v>{
"Options": {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"Cut Interval": [
{"name": "Free Cut", "id": "113"}
]
},
"Constraints": {
"101": ["109"],
"102": ["104", "105", "106", "107", "108", "113"],
"103": ["108", "109", "113"]
},
"sku_mappings": [
{ "sku": "TV1004-10W-2.2K-IP65-FC", "combination": ["101", "104", "110", "111", "112", "113"] },
{ "sku": "TV1004-10W-2.7K-IP65-FC", "combination": ["101", "105", "110", "111", "112", "113"] },
{ "sku": "TV1004-10W-3K-IP65-FC", "combination": ["101", "106", "110", "111", "112", "113"] },
{ "sku": "TV1004-10W-4K-IP65-FC", "combination": ["101", "107", "110", "111", "112", "113"] },
{ "sku": "TV1004-10W-5.7K-IP65-FC", "combination": ["101", "108", "110", "111", "112", "113"] },
{ "sku": "TV1004-14W-TW-IP65", "combination": ["102", "109", "110", "111", "112"] },
{ "sku": "TV1004-10W-2.2K-IP65-XL", "combination": ["101", "104", "110", "111", "112"] },
{ "sku": "TV1004-10W-2.7K-IP65-XL", "combination": ["101", "105", "110", "111", "112"] },
{ "sku": "TV1004-10W-3K-IP65-XL", "combination": ["101", "106", "110", "111", "112"] },
{ "sku": "TV1004-10W-4K-IP65-XL", "combination": ["101", "107", "110", "111", "112"] },
{ "sku": "TV1004-15W-2.2K-IP65-XL", "combination": ["103", "104", "110", "111", "112"] },
{ "sku": "TV1004-15W-2.7K-IP65-XL", "combination": ["103", "105", "110", "111", "112"] },
{ "sku": "TV1004-15W-3K-IP65-XL", "combination": ["103", "106", "110", "111", "112"] },
{ "sku": "TV1004-15W-4K-IP65-XL", "combination": ["103", "107", "110", "111", "112"] }
]
}</v>
      </c>
      <c r="U34" s="20" t="s">
        <v>172</v>
      </c>
      <c r="V34" s="21" t="str">
        <f>IFERROR(__xludf.DUMMYFUNCTION("AI(""Extract options object from the json"", U34)"),"{ ""Power Consumption Rate"": [ {""name"": ""10W/m"", ""id"": ""101""}, {""name"": ""14W/m"", ""id"": ""102""}, {""name"": ""15W/m"", ""id"": ""103""} ], ""Color Temperature"": [ {""name"": ""2200K"", ""id"": ""104""}, {""name"": ""2700K"", ""id"": ""105"&amp;"""}, {""name"": ""3000K"", ""id"": ""106""}, {""name"": ""4000K"", ""id"": ""107""}, {""name"": ""5700K"", ""id"": ""108""}, {""name"": ""TW (2700K-6500K)"", ""id"": ""109""} ], ""Voltage"": [ {""name"": ""24V"", ""id"": ""110""} ], ""IP Rating"": [ {""na"&amp;"me"": ""IP65"", ""id"": ""111""} ], ""Dimension"": [ {""name"": ""10mm (W) x 4.2mm (H)"", ""id"": ""112""} ], ""Cut Interval"": [ {""name"": ""Free Cut"", ""id"": ""113""} ] }")</f>
        <v>{ "Power Consumption Rate": [ {"name": "10W/m", "id": "101"}, {"name": "14W/m", "id": "102"}, {"name": "15W/m", "id": "103"} ], "Color Temperature": [ {"name": "2200K", "id": "104"}, {"name": "2700K", "id": "105"}, {"name": "3000K", "id": "106"}, {"name": "4000K", "id": "107"}, {"name": "5700K", "id": "108"}, {"name": "TW (2700K-6500K)", "id": "109"} ], "Voltage": [ {"name": "24V", "id": "110"} ], "IP Rating": [ {"name": "IP65", "id": "111"} ], "Dimension": [ {"name": "10mm (W) x 4.2mm (H)", "id": "112"} ], "Cut Interval": [ {"name": "Free Cut", "id": "113"} ] }</v>
      </c>
      <c r="W34" s="21" t="str">
        <f>IFERROR(__xludf.DUMMYFUNCTION("AI(""Extract constraints object from the json"", U34)"),"{ ""101"": [""109""], ""102"": [""104"", ""105"", ""106"", ""107"", ""108"", ""113""], ""103"": [""108"", ""109"", ""113""] }")</f>
        <v>{ "101": ["109"], "102": ["104", "105", "106", "107", "108", "113"], "103": ["108", "109", "113"] }</v>
      </c>
      <c r="X34" s="21" t="str">
        <f>IFERROR(__xludf.DUMMYFUNCTION("AI(""Extract sku_mappings object from the json"", U34)"),"[{""sku"": ""TV1004-10W-2.2K-IP65-FC"", ""combination"": [""101"", ""104"", ""110"", ""111"", ""112"", ""113""]}, {""sku"": ""TV1004-10W-2.7K-IP65-FC"", ""combination"": [""101"", ""105"", ""110"", ""111"", ""112"", ""113""]}, {""sku"": ""TV1004-10W-3K-IP"&amp;"65-FC"", ""combination"": [""101"", ""106"", ""110"", ""111"", ""112"", ""113""]}, {""sku"": ""TV1004-10W-4K-IP65-FC"", ""combination"": [""101"", ""107"", ""110"", ""111"", ""112"", ""113""]}, {""sku"": ""TV1004-10W-5.7K-IP65-FC"", ""combination"": [""10"&amp;"1"", ""108"", ""110"", ""111"", ""112"", ""113""]}, {""sku"": ""TV1004-14W-TW-IP65"", ""combination"": [""102"", ""109"", ""110"", ""111"", ""112""]}, {""sku"": ""TV1004-10W-2.2K-IP65-XL"", ""combination"": [""101"", ""104"", ""110"", ""111"", ""112""]}, "&amp;"{""sku"": ""TV1004-10W-2.7K-IP65-XL"", ""combination"": [""101"", ""105"", ""110"", ""111"", ""112""]}, {""sku"": ""TV1004-10W-3K-IP65-XL"", ""combination"": [""101"", ""106"", ""110"", ""111"", ""112""]}, {""sku"": ""TV1004-10W-4K-IP65-XL"", ""combinatio"&amp;"n"": [""101"", ""107"", ""110"", ""111"", ""112""]}, {""sku"": ""TV1004-15W-2.2K-IP65-XL"", ""combination"": [""103"", ""104"", ""110"", ""111"", ""112""]}, {""sku"": ""TV1004-15W-2.7K-IP65-XL"", ""combination"": [""103"", ""105"", ""110"", ""111"", ""112"&amp;"""]}, {""sku"": ""TV1004-15W-3K-IP65-XL"", ""combination"": [""103"", ""106"", ""110"", ""111"", ""112""]}, {""sku"": ""TV1004-15W-4K-IP65-XL"", ""combination"": [""103"", ""107"", ""110"", ""111"", ""112""]}]")</f>
        <v>[{"sku": "TV1004-10W-2.2K-IP65-FC", "combination": ["101", "104", "110", "111", "112", "113"]}, {"sku": "TV1004-10W-2.7K-IP65-FC", "combination": ["101", "105", "110", "111", "112", "113"]}, {"sku": "TV1004-10W-3K-IP65-FC", "combination": ["101", "106", "110", "111", "112", "113"]}, {"sku": "TV1004-10W-4K-IP65-FC", "combination": ["101", "107", "110", "111", "112", "113"]}, {"sku": "TV1004-10W-5.7K-IP65-FC", "combination": ["101", "108", "110", "111", "112", "113"]}, {"sku": "TV1004-14W-TW-IP65", "combination": ["102", "109", "110", "111", "112"]}, {"sku": "TV1004-10W-2.2K-IP65-XL", "combination": ["101", "104", "110", "111", "112"]}, {"sku": "TV1004-10W-2.7K-IP65-XL", "combination": ["101", "105", "110", "111", "112"]}, {"sku": "TV1004-10W-3K-IP65-XL", "combination": ["101", "106", "110", "111", "112"]}, {"sku": "TV1004-10W-4K-IP65-XL", "combination": ["101", "107", "110", "111", "112"]}, {"sku": "TV1004-15W-2.2K-IP65-XL", "combination": ["103", "104", "110", "111", "112"]}, {"sku": "TV1004-15W-2.7K-IP65-XL", "combination": ["103", "105", "110", "111", "112"]}, {"sku": "TV1004-15W-3K-IP65-XL", "combination": ["103", "106", "110", "111", "112"]}, {"sku": "TV1004-15W-4K-IP65-XL", "combination": ["103", "107", "110", "111", "112"]}]</v>
      </c>
      <c r="Y34" s="23" t="s">
        <v>42</v>
      </c>
      <c r="Z34" s="23" t="s">
        <v>173</v>
      </c>
      <c r="AA34" s="23" t="s">
        <v>44</v>
      </c>
      <c r="AB34" s="24"/>
      <c r="AC34" s="24" t="str">
        <f>IFERROR(__xludf.DUMMYFUNCTION("AI(""Generate 6 powerful unique keywords for the product in this row"")"),"Ultra-slim linear LED, Minimal profile neon, Top view bendable light, Free cut flexible ribbon, Sleek architectural lighting, Contemporary interior illumination")</f>
        <v>Ultra-slim linear LED, Minimal profile neon, Top view bendable light, Free cut flexible ribbon, Sleek architectural lighting, Contemporary interior illumination</v>
      </c>
      <c r="AD34" s="24" t="s">
        <v>174</v>
      </c>
    </row>
    <row r="35" ht="30.0" customHeight="1">
      <c r="A35" s="25"/>
      <c r="B35" s="14"/>
      <c r="C35" s="14"/>
      <c r="D35" s="26"/>
      <c r="E35" s="14"/>
      <c r="F35" s="27"/>
      <c r="G35" s="14"/>
      <c r="H35" s="27"/>
      <c r="I35" s="14"/>
      <c r="J35" s="14"/>
      <c r="K35" s="14"/>
      <c r="L35" s="15" t="s">
        <v>175</v>
      </c>
      <c r="M35" s="15" t="s">
        <v>176</v>
      </c>
      <c r="N3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""&amp;M35)"),"Power Consumption Rate | Color Temperature | Voltage | IP Rating | Dimension | Cut Interval")</f>
        <v>Power Consumption Rate | Color Temperature | Voltage | IP Rating | Dimension | Cut Interval</v>
      </c>
      <c r="O35" s="17" t="s">
        <v>169</v>
      </c>
      <c r="P3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""&amp;O35&amp;"", Values: ""&amp;M35&amp; "" and SKU Code: ""&amp;"&amp;"L35)"),"{""Power Consumption Rate"": ""10W/m"", ""Color Temperature"": ""2700K"", ""Voltage"": ""24V"", ""IP Rating"": ""IP65"", ""Dimension"": ""10mm (W) x 4.2mm (H)"", ""Cut Interval"": ""Free Cut"", ""SKU"": ""TV1004-10W-2.7K-IP65-FC""}")</f>
        <v>{"Power Consumption Rate": "10W/m", "Color Temperature": "2700K", "Voltage": "24V", "IP Rating": "IP65", "Dimension": "10mm (W) x 4.2mm (H)", "Cut Interval": "Free Cut", "SKU": "TV1004-10W-2.7K-IP65-FC"}</v>
      </c>
      <c r="Q35" s="17" t="s">
        <v>177</v>
      </c>
      <c r="R35" s="28"/>
      <c r="S35" s="29"/>
      <c r="T35" s="28"/>
      <c r="U35" s="30"/>
      <c r="V35" s="28"/>
      <c r="W35" s="28"/>
      <c r="X35" s="28"/>
      <c r="Y35" s="23" t="s">
        <v>42</v>
      </c>
      <c r="Z35" s="23" t="s">
        <v>173</v>
      </c>
      <c r="AA35" s="23" t="s">
        <v>44</v>
      </c>
      <c r="AB35" s="24"/>
      <c r="AC35" s="24"/>
      <c r="AD35" s="24"/>
    </row>
    <row r="36" ht="30.0" customHeight="1">
      <c r="A36" s="25"/>
      <c r="B36" s="14"/>
      <c r="C36" s="14"/>
      <c r="D36" s="26"/>
      <c r="E36" s="14"/>
      <c r="F36" s="27"/>
      <c r="G36" s="14"/>
      <c r="H36" s="27"/>
      <c r="I36" s="14"/>
      <c r="J36" s="14"/>
      <c r="K36" s="14"/>
      <c r="L36" s="15" t="s">
        <v>178</v>
      </c>
      <c r="M36" s="15" t="s">
        <v>179</v>
      </c>
      <c r="N3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""&amp;M36)"),"Power Consumption Rate | Color Temperature | Voltage | IP Rating | Dimension | Cut Interval")</f>
        <v>Power Consumption Rate | Color Temperature | Voltage | IP Rating | Dimension | Cut Interval</v>
      </c>
      <c r="O36" s="17" t="s">
        <v>169</v>
      </c>
      <c r="P3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""&amp;O36&amp;"", Values: ""&amp;M36&amp; "" and SKU Code: ""&amp;"&amp;"L36)"),"{""Power Consumption Rate"": ""10W/m"", ""Color Temperature"": ""3000K"", ""Voltage"": ""24V"", ""IP Rating"": ""IP65"", ""Dimension"": ""10mm (W) x 4.2mm (H)"", ""Cut Interval"": ""Free Cut"", ""SKU"": ""TV1004-10W-3K-IP65-FC""}")</f>
        <v>{"Power Consumption Rate": "10W/m", "Color Temperature": "3000K", "Voltage": "24V", "IP Rating": "IP65", "Dimension": "10mm (W) x 4.2mm (H)", "Cut Interval": "Free Cut", "SKU": "TV1004-10W-3K-IP65-FC"}</v>
      </c>
      <c r="Q36" s="17" t="s">
        <v>180</v>
      </c>
      <c r="R36" s="28"/>
      <c r="S36" s="29"/>
      <c r="T36" s="28"/>
      <c r="U36" s="30"/>
      <c r="V36" s="28"/>
      <c r="W36" s="28"/>
      <c r="X36" s="28"/>
      <c r="Y36" s="23" t="s">
        <v>42</v>
      </c>
      <c r="Z36" s="23" t="s">
        <v>173</v>
      </c>
      <c r="AA36" s="23" t="s">
        <v>44</v>
      </c>
      <c r="AB36" s="24"/>
      <c r="AC36" s="24"/>
      <c r="AD36" s="24"/>
    </row>
    <row r="37" ht="30.0" customHeight="1">
      <c r="A37" s="25"/>
      <c r="B37" s="14"/>
      <c r="C37" s="14"/>
      <c r="D37" s="26"/>
      <c r="E37" s="14"/>
      <c r="F37" s="27"/>
      <c r="G37" s="14"/>
      <c r="H37" s="27"/>
      <c r="I37" s="14"/>
      <c r="J37" s="14"/>
      <c r="K37" s="14"/>
      <c r="L37" s="15" t="s">
        <v>181</v>
      </c>
      <c r="M37" s="15" t="s">
        <v>182</v>
      </c>
      <c r="N3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""&amp;M37)"),"Power Consumption Rate | Color Temperature | Voltage | IP Rating | Dimension | Cut Interval")</f>
        <v>Power Consumption Rate | Color Temperature | Voltage | IP Rating | Dimension | Cut Interval</v>
      </c>
      <c r="O37" s="17" t="s">
        <v>169</v>
      </c>
      <c r="P3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""&amp;O37&amp;"", Values: ""&amp;M37&amp; "" and SKU Code: ""&amp;"&amp;"L37)"),"{""Power Consumption Rate"": ""10W/m"", ""Color Temperature"": ""4000K"", ""Voltage"": ""24V"", ""IP Rating"": ""IP65"", ""Dimension"": ""10mm (W) x 4.2mm (H)"", ""Cut Interval"": ""Free Cut"", ""SKU"": ""TV1004-10W-4K-IP65-FC""}")</f>
        <v>{"Power Consumption Rate": "10W/m", "Color Temperature": "4000K", "Voltage": "24V", "IP Rating": "IP65", "Dimension": "10mm (W) x 4.2mm (H)", "Cut Interval": "Free Cut", "SKU": "TV1004-10W-4K-IP65-FC"}</v>
      </c>
      <c r="Q37" s="17" t="s">
        <v>183</v>
      </c>
      <c r="R37" s="28"/>
      <c r="S37" s="29"/>
      <c r="T37" s="28"/>
      <c r="U37" s="30"/>
      <c r="V37" s="28"/>
      <c r="W37" s="28"/>
      <c r="X37" s="28"/>
      <c r="Y37" s="23" t="s">
        <v>42</v>
      </c>
      <c r="Z37" s="23" t="s">
        <v>173</v>
      </c>
      <c r="AA37" s="23" t="s">
        <v>44</v>
      </c>
      <c r="AB37" s="24"/>
      <c r="AC37" s="24"/>
      <c r="AD37" s="24"/>
    </row>
    <row r="38" ht="30.0" customHeight="1">
      <c r="A38" s="25"/>
      <c r="B38" s="14"/>
      <c r="C38" s="14"/>
      <c r="D38" s="26"/>
      <c r="E38" s="14"/>
      <c r="F38" s="27"/>
      <c r="G38" s="14"/>
      <c r="H38" s="27"/>
      <c r="I38" s="14"/>
      <c r="J38" s="14"/>
      <c r="K38" s="14"/>
      <c r="L38" s="15" t="s">
        <v>184</v>
      </c>
      <c r="M38" s="15" t="s">
        <v>185</v>
      </c>
      <c r="N3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""&amp;M38)"),"Power Consumption Rate | Color Temperature | Voltage | IP Rating | Dimension | Cut Interval")</f>
        <v>Power Consumption Rate | Color Temperature | Voltage | IP Rating | Dimension | Cut Interval</v>
      </c>
      <c r="O38" s="17" t="s">
        <v>169</v>
      </c>
      <c r="P3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""&amp;O38&amp;"", Values: ""&amp;M38&amp; "" and SKU Code: ""&amp;"&amp;"L38)"),"{""Power Consumption Rate"": ""10W/m"", ""Color Temperature"": ""5700K"", ""Voltage"": ""24V"", ""IP Rating"": ""IP65"", ""Dimension"": ""10mm (W) x 4.2mm (H)"", ""Cut Interval"": ""Free Cut"", ""SKU"": ""TV1004-10W-5.7K-IP65-FC""}")</f>
        <v>{"Power Consumption Rate": "10W/m", "Color Temperature": "5700K", "Voltage": "24V", "IP Rating": "IP65", "Dimension": "10mm (W) x 4.2mm (H)", "Cut Interval": "Free Cut", "SKU": "TV1004-10W-5.7K-IP65-FC"}</v>
      </c>
      <c r="Q38" s="17" t="s">
        <v>186</v>
      </c>
      <c r="R38" s="28"/>
      <c r="S38" s="29"/>
      <c r="T38" s="28"/>
      <c r="U38" s="30"/>
      <c r="V38" s="28"/>
      <c r="W38" s="28"/>
      <c r="X38" s="28"/>
      <c r="Y38" s="22" t="s">
        <v>42</v>
      </c>
      <c r="Z38" s="22" t="s">
        <v>173</v>
      </c>
      <c r="AA38" s="23" t="s">
        <v>44</v>
      </c>
      <c r="AB38" s="24"/>
      <c r="AC38" s="24"/>
      <c r="AD38" s="24"/>
    </row>
    <row r="39" ht="30.0" customHeight="1">
      <c r="A39" s="25"/>
      <c r="B39" s="12"/>
      <c r="C39" s="12"/>
      <c r="D39" s="13"/>
      <c r="E39" s="12"/>
      <c r="F39" s="27"/>
      <c r="G39" s="14"/>
      <c r="H39" s="27"/>
      <c r="I39" s="14"/>
      <c r="J39" s="14"/>
      <c r="K39" s="14"/>
      <c r="L39" s="15" t="s">
        <v>187</v>
      </c>
      <c r="M39" s="15" t="s">
        <v>188</v>
      </c>
      <c r="N3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""&amp;M39)"),"Power Consumption Rate | Color Temperature | Voltage | IP Rating | Dimension")</f>
        <v>Power Consumption Rate | Color Temperature | Voltage | IP Rating | Dimension</v>
      </c>
      <c r="O39" s="17" t="s">
        <v>189</v>
      </c>
      <c r="P3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""&amp;O39&amp;"", Values: ""&amp;M39&amp; "" and SKU Code: ""&amp;"&amp;"L39)"),"{""Power Consumption Rate"": ""14W/m"", ""Color Temperature"": ""TW (2700K-6500K)"", ""Voltage"": ""24V"", ""IP Rating"": ""IP65"", ""Dimension"": ""10mm (W) x 4.2mm (H)"", ""SKU"": ""TV1004-14W-TW-IP65""}")</f>
        <v>{"Power Consumption Rate": "14W/m", "Color Temperature": "TW (2700K-6500K)", "Voltage": "24V", "IP Rating": "IP65", "Dimension": "10mm (W) x 4.2mm (H)", "SKU": "TV1004-14W-TW-IP65"}</v>
      </c>
      <c r="Q39" s="17" t="s">
        <v>190</v>
      </c>
      <c r="R39" s="28"/>
      <c r="S39" s="29"/>
      <c r="T39" s="28"/>
      <c r="U39" s="30"/>
      <c r="V39" s="28"/>
      <c r="W39" s="28"/>
      <c r="X39" s="28"/>
      <c r="Y39" s="12" t="s">
        <v>42</v>
      </c>
      <c r="Z39" s="12" t="s">
        <v>191</v>
      </c>
      <c r="AA39" s="23" t="s">
        <v>44</v>
      </c>
      <c r="AB39" s="24"/>
      <c r="AC39" s="24"/>
      <c r="AD39" s="24"/>
    </row>
    <row r="40" ht="30.0" customHeight="1">
      <c r="A40" s="25"/>
      <c r="B40" s="14"/>
      <c r="C40" s="14"/>
      <c r="D40" s="26"/>
      <c r="E40" s="14"/>
      <c r="F40" s="27"/>
      <c r="G40" s="14"/>
      <c r="H40" s="27"/>
      <c r="I40" s="14"/>
      <c r="J40" s="14"/>
      <c r="K40" s="14"/>
      <c r="L40" s="15" t="s">
        <v>192</v>
      </c>
      <c r="M40" s="32" t="s">
        <v>193</v>
      </c>
      <c r="N4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""&amp;M40)"),"Power Consumption Rate | Color Temperature | Voltage | IP Rating | Dimension")</f>
        <v>Power Consumption Rate | Color Temperature | Voltage | IP Rating | Dimension</v>
      </c>
      <c r="O40" s="17" t="s">
        <v>189</v>
      </c>
      <c r="P4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""&amp;O40&amp;"", Values: ""&amp;M40&amp; "" and SKU Code: ""&amp;"&amp;"L40)"),"{""Power Consumption Rate"": ""10W/m"", ""Color Temperature"": ""2200K"", ""Voltage"": ""24V"", ""IP Rating"": ""IP65"", ""Dimension"": ""10mm (W) x 4.2mm (H)"", ""SKU"": ""TV1004-10W-2.2K-IP65-XL""}")</f>
        <v>{"Power Consumption Rate": "10W/m", "Color Temperature": "2200K", "Voltage": "24V", "IP Rating": "IP65", "Dimension": "10mm (W) x 4.2mm (H)", "SKU": "TV1004-10W-2.2K-IP65-XL"}</v>
      </c>
      <c r="Q40" s="17" t="s">
        <v>194</v>
      </c>
      <c r="R40" s="28"/>
      <c r="S40" s="29"/>
      <c r="T40" s="28"/>
      <c r="U40" s="30"/>
      <c r="V40" s="28"/>
      <c r="W40" s="28"/>
      <c r="X40" s="28"/>
      <c r="Y40" s="12" t="s">
        <v>42</v>
      </c>
      <c r="Z40" s="12" t="s">
        <v>195</v>
      </c>
      <c r="AA40" s="23" t="s">
        <v>44</v>
      </c>
      <c r="AB40" s="24"/>
      <c r="AC40" s="24"/>
      <c r="AD40" s="24"/>
    </row>
    <row r="41" ht="30.0" customHeight="1">
      <c r="A41" s="25"/>
      <c r="B41" s="14"/>
      <c r="C41" s="14"/>
      <c r="D41" s="26"/>
      <c r="E41" s="14"/>
      <c r="F41" s="27"/>
      <c r="G41" s="14"/>
      <c r="H41" s="27"/>
      <c r="I41" s="14"/>
      <c r="J41" s="14"/>
      <c r="K41" s="14"/>
      <c r="L41" s="15" t="s">
        <v>196</v>
      </c>
      <c r="M41" s="15" t="s">
        <v>197</v>
      </c>
      <c r="N4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""&amp;M41)"),"Power Consumption Rate | Color Temperature | Voltage | IP Rating | Dimension")</f>
        <v>Power Consumption Rate | Color Temperature | Voltage | IP Rating | Dimension</v>
      </c>
      <c r="O41" s="17" t="s">
        <v>189</v>
      </c>
      <c r="P4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""&amp;O41&amp;"", Values: ""&amp;M41&amp; "" and SKU Code: ""&amp;"&amp;"L41)"),"{""SKU"": ""TV1004-10W-2.7K-IP65-XL"", ""Power Consumption Rate"": ""10W/m"", ""Color Temperature"": ""2700K"", ""Voltage"": ""24V"", ""IP Rating"": ""IP65"", ""Dimension"": ""10mm (W) x 4.2mm (H)""}")</f>
        <v>{"SKU": "TV1004-10W-2.7K-IP65-XL", "Power Consumption Rate": "10W/m", "Color Temperature": "2700K", "Voltage": "24V", "IP Rating": "IP65", "Dimension": "10mm (W) x 4.2mm (H)"}</v>
      </c>
      <c r="Q41" s="17" t="s">
        <v>198</v>
      </c>
      <c r="R41" s="28"/>
      <c r="S41" s="29"/>
      <c r="T41" s="28"/>
      <c r="U41" s="30"/>
      <c r="V41" s="28"/>
      <c r="W41" s="28"/>
      <c r="X41" s="28"/>
      <c r="Y41" s="12" t="s">
        <v>42</v>
      </c>
      <c r="Z41" s="12" t="s">
        <v>195</v>
      </c>
      <c r="AA41" s="23" t="s">
        <v>44</v>
      </c>
      <c r="AB41" s="24"/>
      <c r="AC41" s="24"/>
      <c r="AD41" s="24"/>
    </row>
    <row r="42" ht="30.0" customHeight="1">
      <c r="A42" s="25"/>
      <c r="B42" s="14"/>
      <c r="C42" s="14"/>
      <c r="D42" s="26"/>
      <c r="E42" s="14"/>
      <c r="F42" s="27"/>
      <c r="G42" s="14"/>
      <c r="H42" s="27"/>
      <c r="I42" s="14"/>
      <c r="J42" s="14"/>
      <c r="K42" s="14"/>
      <c r="L42" s="15" t="s">
        <v>199</v>
      </c>
      <c r="M42" s="15" t="s">
        <v>200</v>
      </c>
      <c r="N4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""&amp;M42)"),"Power Consumption Rate | Color Temperature | Voltage | IP Rating | Dimension")</f>
        <v>Power Consumption Rate | Color Temperature | Voltage | IP Rating | Dimension</v>
      </c>
      <c r="O42" s="17" t="s">
        <v>189</v>
      </c>
      <c r="P4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""&amp;O42&amp;"", Values: ""&amp;M42&amp; "" and SKU Code: ""&amp;"&amp;"L42)"),"{""Power Consumption Rate"": ""10W/m"", ""Color Temperature"": ""3000K"", ""Voltage"": ""24V"", ""IP Rating"": ""IP65"", ""Dimension"": ""10mm (W) x 4.2mm (H)"", ""SKU"": ""TV1004-10W-3K-IP65-XL""}")</f>
        <v>{"Power Consumption Rate": "10W/m", "Color Temperature": "3000K", "Voltage": "24V", "IP Rating": "IP65", "Dimension": "10mm (W) x 4.2mm (H)", "SKU": "TV1004-10W-3K-IP65-XL"}</v>
      </c>
      <c r="Q42" s="17" t="s">
        <v>201</v>
      </c>
      <c r="R42" s="28"/>
      <c r="S42" s="29"/>
      <c r="T42" s="28"/>
      <c r="U42" s="30"/>
      <c r="V42" s="28"/>
      <c r="W42" s="28"/>
      <c r="X42" s="28"/>
      <c r="Y42" s="12" t="s">
        <v>42</v>
      </c>
      <c r="Z42" s="12" t="s">
        <v>195</v>
      </c>
      <c r="AA42" s="23" t="s">
        <v>44</v>
      </c>
      <c r="AB42" s="24"/>
      <c r="AC42" s="24"/>
      <c r="AD42" s="24"/>
    </row>
    <row r="43" ht="30.0" customHeight="1">
      <c r="A43" s="25"/>
      <c r="B43" s="14"/>
      <c r="C43" s="14"/>
      <c r="D43" s="26"/>
      <c r="E43" s="14"/>
      <c r="F43" s="27"/>
      <c r="G43" s="14"/>
      <c r="H43" s="27"/>
      <c r="I43" s="14"/>
      <c r="J43" s="14"/>
      <c r="K43" s="14"/>
      <c r="L43" s="15" t="s">
        <v>202</v>
      </c>
      <c r="M43" s="15" t="s">
        <v>203</v>
      </c>
      <c r="N4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""&amp;M43)"),"Power Consumption Rate | Color Temperature | Voltage | IP Rating | Dimension")</f>
        <v>Power Consumption Rate | Color Temperature | Voltage | IP Rating | Dimension</v>
      </c>
      <c r="O43" s="17" t="s">
        <v>189</v>
      </c>
      <c r="P4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""&amp;O43&amp;"", Values: ""&amp;M43&amp; "" and SKU Code: ""&amp;"&amp;"L43)"),"{""Power Consumption Rate"": ""10W/m"", ""Color Temperature"": ""4000K"", ""Voltage"": ""24V"", ""IP Rating"": ""IP65"", ""Dimension"": ""10mm (W) x 4.2mm (H)"", ""SKU"": ""TV1004-10W-4K-IP65-XL""}")</f>
        <v>{"Power Consumption Rate": "10W/m", "Color Temperature": "4000K", "Voltage": "24V", "IP Rating": "IP65", "Dimension": "10mm (W) x 4.2mm (H)", "SKU": "TV1004-10W-4K-IP65-XL"}</v>
      </c>
      <c r="Q43" s="17" t="s">
        <v>204</v>
      </c>
      <c r="R43" s="28"/>
      <c r="S43" s="29"/>
      <c r="T43" s="28"/>
      <c r="U43" s="30"/>
      <c r="V43" s="28"/>
      <c r="W43" s="28"/>
      <c r="X43" s="28"/>
      <c r="Y43" s="12" t="s">
        <v>42</v>
      </c>
      <c r="Z43" s="12" t="s">
        <v>195</v>
      </c>
      <c r="AA43" s="23" t="s">
        <v>44</v>
      </c>
      <c r="AB43" s="24"/>
      <c r="AC43" s="24"/>
      <c r="AD43" s="24"/>
    </row>
    <row r="44" ht="30.0" customHeight="1">
      <c r="A44" s="25"/>
      <c r="B44" s="14"/>
      <c r="C44" s="14"/>
      <c r="D44" s="26"/>
      <c r="E44" s="14"/>
      <c r="F44" s="27"/>
      <c r="G44" s="14"/>
      <c r="H44" s="27"/>
      <c r="I44" s="14"/>
      <c r="J44" s="14"/>
      <c r="K44" s="14"/>
      <c r="L44" s="15" t="s">
        <v>205</v>
      </c>
      <c r="M44" s="32" t="s">
        <v>206</v>
      </c>
      <c r="N4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""&amp;M44)"),"Power Consumption Rate | Color Temperature | Voltage | IP Rating | Dimension")</f>
        <v>Power Consumption Rate | Color Temperature | Voltage | IP Rating | Dimension</v>
      </c>
      <c r="O44" s="17" t="s">
        <v>189</v>
      </c>
      <c r="P4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""&amp;O44&amp;"", Values: ""&amp;M44&amp; "" and SKU Code: ""&amp;"&amp;"L44)"),"{""Power Consumption Rate"": ""15W/m"", ""Color Temperature"": ""2200K"", ""Voltage"": ""24V"", ""IP Rating"": ""IP65"", ""Dimension"": ""10mm (W) x 4.2mm (H)"", ""SKU"": ""TV1004-15W-2.2K-IP65-XL""}")</f>
        <v>{"Power Consumption Rate": "15W/m", "Color Temperature": "2200K", "Voltage": "24V", "IP Rating": "IP65", "Dimension": "10mm (W) x 4.2mm (H)", "SKU": "TV1004-15W-2.2K-IP65-XL"}</v>
      </c>
      <c r="Q44" s="17" t="s">
        <v>207</v>
      </c>
      <c r="R44" s="28"/>
      <c r="S44" s="29"/>
      <c r="T44" s="28"/>
      <c r="U44" s="30"/>
      <c r="V44" s="28"/>
      <c r="W44" s="28"/>
      <c r="X44" s="28"/>
      <c r="Y44" s="12" t="s">
        <v>42</v>
      </c>
      <c r="Z44" s="12" t="s">
        <v>195</v>
      </c>
      <c r="AA44" s="23" t="s">
        <v>44</v>
      </c>
      <c r="AB44" s="24"/>
      <c r="AC44" s="24"/>
      <c r="AD44" s="24"/>
    </row>
    <row r="45" ht="30.0" customHeight="1">
      <c r="A45" s="25"/>
      <c r="B45" s="14"/>
      <c r="C45" s="14"/>
      <c r="D45" s="26"/>
      <c r="E45" s="14"/>
      <c r="F45" s="27"/>
      <c r="G45" s="14"/>
      <c r="H45" s="27"/>
      <c r="I45" s="14"/>
      <c r="J45" s="14"/>
      <c r="K45" s="14"/>
      <c r="L45" s="15" t="s">
        <v>208</v>
      </c>
      <c r="M45" s="15" t="s">
        <v>209</v>
      </c>
      <c r="N4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""&amp;M45)"),"Power Consumption Rate | Color Temperature | Voltage | IP Rating | Dimension")</f>
        <v>Power Consumption Rate | Color Temperature | Voltage | IP Rating | Dimension</v>
      </c>
      <c r="O45" s="17" t="s">
        <v>189</v>
      </c>
      <c r="P4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""&amp;O45&amp;"", Values: ""&amp;M45&amp; "" and SKU Code: ""&amp;"&amp;"L45)"),"{""Power Consumption Rate"": ""15W/m"", ""Color Temperature"": ""2700K"", ""Voltage"": ""24V"", ""IP Rating"": ""IP65"", ""Dimension"": ""10mm (W) x 4.2mm (H)"", ""SKU"": ""TV1004-15W-2.7K-IP65-XL""}")</f>
        <v>{"Power Consumption Rate": "15W/m", "Color Temperature": "2700K", "Voltage": "24V", "IP Rating": "IP65", "Dimension": "10mm (W) x 4.2mm (H)", "SKU": "TV1004-15W-2.7K-IP65-XL"}</v>
      </c>
      <c r="Q45" s="17" t="s">
        <v>210</v>
      </c>
      <c r="R45" s="28"/>
      <c r="S45" s="29"/>
      <c r="T45" s="28"/>
      <c r="U45" s="30"/>
      <c r="V45" s="28"/>
      <c r="W45" s="28"/>
      <c r="X45" s="28"/>
      <c r="Y45" s="12" t="s">
        <v>42</v>
      </c>
      <c r="Z45" s="12" t="s">
        <v>195</v>
      </c>
      <c r="AA45" s="23" t="s">
        <v>44</v>
      </c>
      <c r="AB45" s="24"/>
      <c r="AC45" s="24"/>
      <c r="AD45" s="24"/>
    </row>
    <row r="46" ht="30.0" customHeight="1">
      <c r="A46" s="25"/>
      <c r="B46" s="14"/>
      <c r="C46" s="14"/>
      <c r="D46" s="26"/>
      <c r="E46" s="14"/>
      <c r="F46" s="27"/>
      <c r="G46" s="14"/>
      <c r="H46" s="27"/>
      <c r="I46" s="14"/>
      <c r="J46" s="14"/>
      <c r="K46" s="14"/>
      <c r="L46" s="15" t="s">
        <v>211</v>
      </c>
      <c r="M46" s="15" t="s">
        <v>212</v>
      </c>
      <c r="N4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""&amp;M46)"),"Power Consumption Rate | Color Temperature | Voltage | IP Rating | Dimension")</f>
        <v>Power Consumption Rate | Color Temperature | Voltage | IP Rating | Dimension</v>
      </c>
      <c r="O46" s="17" t="s">
        <v>189</v>
      </c>
      <c r="P4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""&amp;O46&amp;"", Values: ""&amp;M46&amp; "" and SKU Code: ""&amp;"&amp;"L46)"),"{""Power Consumption Rate"": ""15W/m"", ""Color Temperature"": ""3000K"", ""Voltage"": ""24V"", ""IP Rating"": ""IP65"", ""Dimension"": ""10mm (W) x 4.2mm (H)"", ""SKU"": ""TV1004-15W-3K-IP65-XL""}")</f>
        <v>{"Power Consumption Rate": "15W/m", "Color Temperature": "3000K", "Voltage": "24V", "IP Rating": "IP65", "Dimension": "10mm (W) x 4.2mm (H)", "SKU": "TV1004-15W-3K-IP65-XL"}</v>
      </c>
      <c r="Q46" s="17" t="s">
        <v>213</v>
      </c>
      <c r="R46" s="28"/>
      <c r="S46" s="29"/>
      <c r="T46" s="28"/>
      <c r="U46" s="30"/>
      <c r="V46" s="28"/>
      <c r="W46" s="28"/>
      <c r="X46" s="28"/>
      <c r="Y46" s="12" t="s">
        <v>42</v>
      </c>
      <c r="Z46" s="12" t="s">
        <v>195</v>
      </c>
      <c r="AA46" s="23" t="s">
        <v>44</v>
      </c>
      <c r="AB46" s="24"/>
      <c r="AC46" s="24"/>
      <c r="AD46" s="24"/>
    </row>
    <row r="47" ht="30.0" customHeight="1">
      <c r="A47" s="25"/>
      <c r="B47" s="12"/>
      <c r="C47" s="12"/>
      <c r="D47" s="13"/>
      <c r="E47" s="12"/>
      <c r="F47" s="27"/>
      <c r="G47" s="14"/>
      <c r="H47" s="27"/>
      <c r="I47" s="14"/>
      <c r="J47" s="14"/>
      <c r="K47" s="14"/>
      <c r="L47" s="15" t="s">
        <v>214</v>
      </c>
      <c r="M47" s="15" t="s">
        <v>215</v>
      </c>
      <c r="N4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""&amp;M47)"),"Power Consumption Rate | Color Temperature | Voltage | IP Rating | Dimension")</f>
        <v>Power Consumption Rate | Color Temperature | Voltage | IP Rating | Dimension</v>
      </c>
      <c r="O47" s="17" t="s">
        <v>189</v>
      </c>
      <c r="P4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""&amp;O47&amp;"", Values: ""&amp;M47&amp; "" and SKU Code: ""&amp;"&amp;"L47)"),"{""Power Consumption Rate"": ""15W/m"", ""Color Temperature"": ""4000K"", ""Voltage"": ""24V"", ""IP Rating"": ""IP65"", ""Dimension"": ""10mm (W) x 4.2mm (H)"", ""SKU"": ""TV1004-15W-4K-IP65-XL""}")</f>
        <v>{"Power Consumption Rate": "15W/m", "Color Temperature": "4000K", "Voltage": "24V", "IP Rating": "IP65", "Dimension": "10mm (W) x 4.2mm (H)", "SKU": "TV1004-15W-4K-IP65-XL"}</v>
      </c>
      <c r="Q47" s="17" t="s">
        <v>216</v>
      </c>
      <c r="R47" s="28"/>
      <c r="S47" s="29"/>
      <c r="T47" s="28"/>
      <c r="U47" s="30"/>
      <c r="V47" s="28"/>
      <c r="W47" s="28"/>
      <c r="X47" s="28"/>
      <c r="Y47" s="12" t="s">
        <v>42</v>
      </c>
      <c r="Z47" s="12" t="s">
        <v>195</v>
      </c>
      <c r="AA47" s="23" t="s">
        <v>44</v>
      </c>
      <c r="AB47" s="24"/>
      <c r="AC47" s="24"/>
      <c r="AD47" s="24"/>
    </row>
    <row r="48" ht="30.0" customHeight="1">
      <c r="A48" s="11" t="s">
        <v>217</v>
      </c>
      <c r="B48" s="12" t="s">
        <v>218</v>
      </c>
      <c r="C48" s="12" t="s">
        <v>32</v>
      </c>
      <c r="D48" s="13" t="s">
        <v>219</v>
      </c>
      <c r="E48" s="12" t="s">
        <v>34</v>
      </c>
      <c r="F48" s="13" t="str">
        <f>IFERROR(__xludf.DUMMYFUNCTION("AI(""Give me a paragraph marketing spiel for product in this row, no tech specs just marketing fluff "")"),"Discover the ultimate in design freedom with the Mini Side Bend neon-style light, crafted to bring a sleek, captivating elegance to any environment. Engineered for exceptional side-bending flexibility, this premium linear lighting solution curves seamless"&amp;"ly around intricate architectural contours, allowing you to create fluid, breathtaking visual statements. Its uniform, flawless glow adds a sophisticated ambiance to both interior and exterior spaces, transforming the ordinary into a showcase of luxurious"&amp;" light. Built to deliver reliable radiance and unmatched aesthetic beauty, it is the perfect choice for designers looking to elevate their projects with seamless style and effortless adaptability.")</f>
        <v>Discover the ultimate in design freedom with the Mini Side Bend neon-style light, crafted to bring a sleek, captivating elegance to any environment. Engineered for exceptional side-bending flexibility, this premium linear lighting solution curves seamlessly around intricate architectural contours, allowing you to create fluid, breathtaking visual statements. Its uniform, flawless glow adds a sophisticated ambiance to both interior and exterior spaces, transforming the ordinary into a showcase of luxurious light. Built to deliver reliable radiance and unmatched aesthetic beauty, it is the perfect choice for designers looking to elevate their projects with seamless style and effortless adaptability.</v>
      </c>
      <c r="G48" s="12" t="s">
        <v>220</v>
      </c>
      <c r="H48" s="13" t="str">
        <f>IFERROR(__xludf.DUMMYFUNCTION("AI(""Give me a paragraph marketing spiel for product in this row, no tech specs just marketing fluff under 180 characters "")"),"Experience ultimate design freedom with the Mini Side Bend. This ultra-flexible linear light curves effortlessly to bring a flawless, captivating glow to any environment.")</f>
        <v>Experience ultimate design freedom with the Mini Side Bend. This ultra-flexible linear light curves effortlessly to bring a flawless, captivating glow to any environment.</v>
      </c>
      <c r="I48" s="12" t="s">
        <v>221</v>
      </c>
      <c r="J48" s="14"/>
      <c r="K48" s="14"/>
      <c r="L48" s="15" t="s">
        <v>217</v>
      </c>
      <c r="M48" s="15" t="s">
        <v>222</v>
      </c>
      <c r="N4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""&amp;M48)"),"Power Consumption Rate | Color Temperature | Voltage | IP Rating | Dimension | Cut Interval")</f>
        <v>Power Consumption Rate | Color Temperature | Voltage | IP Rating | Dimension | Cut Interval</v>
      </c>
      <c r="O48" s="17" t="s">
        <v>169</v>
      </c>
      <c r="P4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""&amp;O48&amp;"", Values: ""&amp;M48&amp; "" and SKU Code: ""&amp;"&amp;"L48)"),"{""Power Consumption Rate"": ""6W/m"", ""Color Temperature"": ""2400K"", ""Voltage"": ""24V"", ""IP Rating"": ""IP65"", ""Dimension"": ""4mm (W) x 8mm (H)"", ""Cut Interval"": ""Free Cut"", ""SKU"": ""SV0408-6W-2.4K-IP65-FC""}")</f>
        <v>{"Power Consumption Rate": "6W/m", "Color Temperature": "2400K", "Voltage": "24V", "IP Rating": "IP65", "Dimension": "4mm (W) x 8mm (H)", "Cut Interval": "Free Cut", "SKU": "SV0408-6W-2.4K-IP65-FC"}</v>
      </c>
      <c r="Q48" s="17" t="s">
        <v>223</v>
      </c>
      <c r="R48"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Q48:Q51)"),"{""Power Consumption Rate"": ""6W/m"", ""Color Temperature"": [""2400K"", ""2700K"", ""3000K"", ""4000K""], ""Voltage"": ""24V"", ""IP Rating"": ""IP65"", ""Dimension"": ""4mm (W) x 8mm (H)"", ""Cut Interval"": ""Free Cut"", ""SKU"": [""SV0408-6W-2.4K-IP6"&amp;"5-FC"", ""SV0408-6W-2.7K-IP65-FC"", ""SV0408-6W-3K-IP65-FC"", ""SV0408-6W-4K-IP65-FC""]}")</f>
        <v>{"Power Consumption Rate": "6W/m", "Color Temperature": ["2400K", "2700K", "3000K", "4000K"], "Voltage": "24V", "IP Rating": "IP65", "Dimension": "4mm (W) x 8mm (H)", "Cut Interval": "Free Cut", "SKU": ["SV0408-6W-2.4K-IP65-FC", "SV0408-6W-2.7K-IP65-FC", "SV0408-6W-3K-IP65-FC", "SV0408-6W-4K-IP65-FC"]}</v>
      </c>
      <c r="S48" s="19" t="s">
        <v>224</v>
      </c>
      <c r="T48"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Q48:Q51)"),"{ ""Options"": { ""Power Consumption Rate"": [ {""name"": ""6W/m"", ""id"": ""101""} ], ""Color Temperature"": [ {""name"": ""2400K"", ""id"": ""102""}, {""name"": ""2700K"", ""id"": ""103""}, {""name"": ""3000K"", ""id"": ""104""}, {""name"": ""4000K"", "&amp;"""id"": ""105""} ], ""Voltage"": [ {""name"": ""24V"", ""id"": ""106""} ], ""IP Rating"": [ {""name"": ""IP65"", ""id"": ""107""} ], ""Dimension"": [ {""name"": ""4mm (W) x 8mm (H)"", ""id"": ""108""} ], ""Cut Interval"": [ {""name"": ""Free Cut"", ""id"""&amp;": ""109""} ] }, ""Constraints"": {}, ""sku_mappings"": [ { ""sku"": ""SV0408-6W-2.4K-IP65-FC"", ""combination"": [""101"", ""102"", ""106"", ""107"", ""108"", ""109""] }, { ""sku"": ""SV0408-6W-2.7K-IP65-FC"", ""combination"": [""101"", ""103"", ""106"", "&amp;"""107"", ""108"", ""109""] }, { ""sku"": ""SV0408-6W-3K-IP65-FC"", ""combination"": [""101"", ""104"", ""106"", ""107"", ""108"", ""109""] }, { ""sku"": ""SV0408-6W-4K-IP65-FC"", ""combination"": [""101"", ""105"", ""106"", ""107"", ""108"", ""109""] } ] "&amp;"}")</f>
        <v>{ "Options": { "Power Consumption Rate": [ {"name": "6W/m", "id": "101"} ], "Color Temperature": [ {"name": "2400K", "id": "102"}, {"name": "2700K", "id": "103"}, {"name": "3000K", "id": "104"}, {"name": "4000K", "id": "105"} ], "Voltage": [ {"name": "24V", "id": "106"} ], "IP Rating": [ {"name": "IP65", "id": "107"} ], "Dimension": [ {"name": "4mm (W) x 8mm (H)", "id": "108"} ], "Cut Interval": [ {"name": "Free Cut", "id": "109"} ] }, "Constraints": {}, "sku_mappings": [ { "sku": "SV0408-6W-2.4K-IP65-FC", "combination": ["101", "102", "106", "107", "108", "109"] }, { "sku": "SV0408-6W-2.7K-IP65-FC", "combination": ["101", "103", "106", "107", "108", "109"] }, { "sku": "SV0408-6W-3K-IP65-FC", "combination": ["101", "104", "106", "107", "108", "109"] }, { "sku": "SV0408-6W-4K-IP65-FC", "combination": ["101", "105", "106", "107", "108", "109"] } ] }</v>
      </c>
      <c r="U48" s="20" t="s">
        <v>225</v>
      </c>
      <c r="V48" s="21" t="str">
        <f>IFERROR(__xludf.DUMMYFUNCTION("AI(""Extract options object from the json"", U48)"),"{ ""Power Consumption Rate"": [ {""name"": ""6W/m"", ""id"": ""101""} ], ""Color Temperature"": [ {""name"": ""2400K"", ""id"": ""102""}, {""name"": ""2700K"", ""id"": ""103""}, {""name"": ""3000K"", ""id"": ""104""}, {""name"": ""4000K"", ""id"": ""105"""&amp;"} ], ""Voltage"": [ {""name"": ""24V"", ""id"": ""106""} ], ""IP Rating"": [ {""name"": ""IP65"", ""id"": ""107""} ], ""Dimension"": [ {""name"": ""4mm (W) x 8mm (H)"", ""id"": ""108""} ], ""Cut Interval"": [ {""name"": ""Free Cut"", ""id"": ""109""} ] }")</f>
        <v>{ "Power Consumption Rate": [ {"name": "6W/m", "id": "101"} ], "Color Temperature": [ {"name": "2400K", "id": "102"}, {"name": "2700K", "id": "103"}, {"name": "3000K", "id": "104"}, {"name": "4000K", "id": "105"} ], "Voltage": [ {"name": "24V", "id": "106"} ], "IP Rating": [ {"name": "IP65", "id": "107"} ], "Dimension": [ {"name": "4mm (W) x 8mm (H)", "id": "108"} ], "Cut Interval": [ {"name": "Free Cut", "id": "109"} ] }</v>
      </c>
      <c r="W48" s="21" t="str">
        <f>IFERROR(__xludf.DUMMYFUNCTION("AI(""Extract constraints object from the json"", U48)"),"{}")</f>
        <v>{}</v>
      </c>
      <c r="X48" s="21" t="str">
        <f>IFERROR(__xludf.DUMMYFUNCTION("AI(""Extract sku_mappings object from the json"", U48)"),"[{""sku"": ""SV0408-6W-2.4K-IP65-FC"", ""combination"": [""101"", ""102"", ""106"", ""107"", ""108"", ""109""]}, {""sku"": ""SV0408-6W-2.7K-IP65-FC"", ""combination"": [""101"", ""103"", ""106"", ""107"", ""108"", ""109""]}, {""sku"": ""SV0408-6W-3K-IP65-"&amp;"FC"", ""combination"": [""101"", ""104"", ""106"", ""107"", ""108"", ""109""]}, {""sku"": ""SV0408-6W-4K-IP65-FC"", ""combination"": [""101"", ""105"", ""106"", ""107"", ""108"", ""109""]}]")</f>
        <v>[{"sku": "SV0408-6W-2.4K-IP65-FC", "combination": ["101", "102", "106", "107", "108", "109"]}, {"sku": "SV0408-6W-2.7K-IP65-FC", "combination": ["101", "103", "106", "107", "108", "109"]}, {"sku": "SV0408-6W-3K-IP65-FC", "combination": ["101", "104", "106", "107", "108", "109"]}, {"sku": "SV0408-6W-4K-IP65-FC", "combination": ["101", "105", "106", "107", "108", "109"]}]</v>
      </c>
      <c r="Y48" s="12" t="s">
        <v>42</v>
      </c>
      <c r="Z48" s="12" t="s">
        <v>226</v>
      </c>
      <c r="AA48" s="23" t="s">
        <v>44</v>
      </c>
      <c r="AB48" s="24"/>
      <c r="AC48" s="24" t="str">
        <f>IFERROR(__xludf.DUMMYFUNCTION("AI(""Generate 6 powerful unique keywords for the product in this row"")"),"Mini Side Bend, Ultra-flexible linear light, Side View neon, Slim architectural lighting, Waterproof LED ribbon, Fluid contour illumination")</f>
        <v>Mini Side Bend, Ultra-flexible linear light, Side View neon, Slim architectural lighting, Waterproof LED ribbon, Fluid contour illumination</v>
      </c>
      <c r="AD48" s="24" t="s">
        <v>227</v>
      </c>
    </row>
    <row r="49" ht="30.0" customHeight="1">
      <c r="A49" s="25"/>
      <c r="B49" s="14"/>
      <c r="C49" s="14"/>
      <c r="D49" s="26"/>
      <c r="E49" s="14"/>
      <c r="F49" s="27"/>
      <c r="G49" s="14"/>
      <c r="H49" s="27"/>
      <c r="I49" s="14"/>
      <c r="J49" s="14"/>
      <c r="K49" s="14"/>
      <c r="L49" s="15" t="s">
        <v>228</v>
      </c>
      <c r="M49" s="15" t="s">
        <v>229</v>
      </c>
      <c r="N4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""&amp;M49)"),"Power Consumption Rate | Color Temperature | Voltage | IP Rating | Dimension | Cut Interval")</f>
        <v>Power Consumption Rate | Color Temperature | Voltage | IP Rating | Dimension | Cut Interval</v>
      </c>
      <c r="O49" s="17" t="s">
        <v>169</v>
      </c>
      <c r="P4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""&amp;O49&amp;"", Values: ""&amp;M49&amp; "" and SKU Code: ""&amp;"&amp;"L49)"),"{""SKU"": ""SV0408-6W-2.7K-IP65-FC"", ""Power Consumption Rate"": ""6W/m"", ""Color Temperature"": ""2700K"", ""Voltage"": ""24V"", ""IP Rating"": ""IP65"", ""Dimension"": ""4mm (W) x 8mm (H)"", ""Cut Interval"": ""Free Cut""}")</f>
        <v>{"SKU": "SV0408-6W-2.7K-IP65-FC", "Power Consumption Rate": "6W/m", "Color Temperature": "2700K", "Voltage": "24V", "IP Rating": "IP65", "Dimension": "4mm (W) x 8mm (H)", "Cut Interval": "Free Cut"}</v>
      </c>
      <c r="Q49" s="17" t="s">
        <v>230</v>
      </c>
      <c r="R49" s="28"/>
      <c r="S49" s="29"/>
      <c r="T49" s="28"/>
      <c r="U49" s="30"/>
      <c r="V49" s="28"/>
      <c r="W49" s="28"/>
      <c r="X49" s="28"/>
      <c r="Y49" s="12" t="s">
        <v>42</v>
      </c>
      <c r="Z49" s="12" t="s">
        <v>226</v>
      </c>
      <c r="AA49" s="23" t="s">
        <v>44</v>
      </c>
      <c r="AB49" s="24"/>
      <c r="AC49" s="24"/>
      <c r="AD49" s="24"/>
    </row>
    <row r="50" ht="30.0" customHeight="1">
      <c r="A50" s="25"/>
      <c r="B50" s="14"/>
      <c r="C50" s="14"/>
      <c r="D50" s="26"/>
      <c r="E50" s="14"/>
      <c r="F50" s="27"/>
      <c r="G50" s="14"/>
      <c r="H50" s="27"/>
      <c r="I50" s="14"/>
      <c r="J50" s="14"/>
      <c r="K50" s="14"/>
      <c r="L50" s="15" t="s">
        <v>231</v>
      </c>
      <c r="M50" s="15" t="s">
        <v>232</v>
      </c>
      <c r="N5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""&amp;M50)"),"Power Consumption Rate | Color Temperature | Voltage | IP Rating | Dimension | Cut Interval")</f>
        <v>Power Consumption Rate | Color Temperature | Voltage | IP Rating | Dimension | Cut Interval</v>
      </c>
      <c r="O50" s="17" t="s">
        <v>169</v>
      </c>
      <c r="P5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""&amp;O50&amp;"", Values: ""&amp;M50&amp; "" and SKU Code: ""&amp;"&amp;"L50)"),"{""SKU"": ""SV0408-6W-3K-IP65-FC"", ""Power Consumption Rate"": ""6W/m"", ""Color Temperature"": ""3000K"", ""Voltage"": ""24V"", ""IP Rating"": ""IP65"", ""Dimension"": ""4mm (W) x 8mm (H)"", ""Cut Interval"": ""Free Cut""}")</f>
        <v>{"SKU": "SV0408-6W-3K-IP65-FC", "Power Consumption Rate": "6W/m", "Color Temperature": "3000K", "Voltage": "24V", "IP Rating": "IP65", "Dimension": "4mm (W) x 8mm (H)", "Cut Interval": "Free Cut"}</v>
      </c>
      <c r="Q50" s="17" t="s">
        <v>233</v>
      </c>
      <c r="R50" s="28"/>
      <c r="S50" s="29"/>
      <c r="T50" s="28"/>
      <c r="U50" s="30"/>
      <c r="V50" s="28"/>
      <c r="W50" s="28"/>
      <c r="X50" s="28"/>
      <c r="Y50" s="12" t="s">
        <v>42</v>
      </c>
      <c r="Z50" s="12" t="s">
        <v>226</v>
      </c>
      <c r="AA50" s="23" t="s">
        <v>44</v>
      </c>
      <c r="AB50" s="24"/>
      <c r="AC50" s="24"/>
      <c r="AD50" s="24"/>
    </row>
    <row r="51" ht="30.0" customHeight="1">
      <c r="A51" s="25"/>
      <c r="B51" s="14"/>
      <c r="C51" s="14"/>
      <c r="D51" s="26"/>
      <c r="E51" s="14"/>
      <c r="F51" s="27"/>
      <c r="G51" s="14"/>
      <c r="H51" s="27"/>
      <c r="I51" s="14"/>
      <c r="J51" s="14"/>
      <c r="K51" s="14"/>
      <c r="L51" s="15" t="s">
        <v>234</v>
      </c>
      <c r="M51" s="15" t="s">
        <v>235</v>
      </c>
      <c r="N5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Length (Example Max 11,000mm (L), 5,000mm (L))
- Strip Width (Example 8mm, 12mm)
- Power Consumption Rate (Example 8W/m, 5W/m)
- Profile Length (Example 1,000mm)
- AC Phase-Cut"&amp;" (Example Triac)
- Current Sinking (Example 0-10V)
- Current Sourcing (Example 1-10V)
- Duty Cycle (Example PWM)
- Variable Resistance (Example Potentiometer)
- Pixel (Example 12 Pixels/m)
- Control Protocol (Example DMX, SPI)
- Cut Interval (Example Free"&amp;" Cut)
- Glare Control (Example Honeycomb Anti Glare Louvre)
- Beam Angle (Example 30°, 36°)
- View (Example Top View, Side View)
### STRICT OUTPUT RULES
1. Output ONLY the corresponding labels mentioned above separated by pipes ('|'). 
2. Do not include "&amp;"the values in your output.
3. Do not include any conversational text, introductory remarks, or markdown formatting blocks.
4. The number of labels in your output must exactly match the number of values provided in the input.
---
### FEW-SHOT EXAMPLES
#"&amp;"### Example 1 (Standard Neon Strip)
Input: 1.2W | SYM30° | 3000K | IP67 | IK10
Output: Power|Optics|Color Temperature|IP Rating|Impact Strength
Input: 15W/m | RGB | 24V | IP69 | 16mm (W) x 17mm (H) | Max 5,000mm (L) | DMX | 12 Pixels/m | IK10 with Neon-A"&amp;"luProfile-1617
Output: Power Consumption Rate|Color Temperature|Voltage|IP Rating|Dimension|Length|Control Protocol|Pixel|Impact Strength
---
### YOUR TASK
Generate output for the values text ""&amp;M51)"),"Power Consumption Rate | Color Temperature | Voltage | IP Rating | Dimension | Cut Interval")</f>
        <v>Power Consumption Rate | Color Temperature | Voltage | IP Rating | Dimension | Cut Interval</v>
      </c>
      <c r="O51" s="17" t="s">
        <v>169</v>
      </c>
      <c r="P5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""&amp;O51&amp;"", Values: ""&amp;M51&amp; "" and SKU Code: ""&amp;"&amp;"L51)"),"{""SKU"": ""SV0408-6W-4K-IP65-FC"", ""Power Consumption Rate"": ""6W/m"", ""Color Temperature"": ""4000K"", ""Voltage"": ""24V"", ""IP Rating"": ""IP65"", ""Dimension"": ""4mm (W) x 8mm (H)"", ""Cut Interval"": ""Free Cut""}")</f>
        <v>{"SKU": "SV0408-6W-4K-IP65-FC", "Power Consumption Rate": "6W/m", "Color Temperature": "4000K", "Voltage": "24V", "IP Rating": "IP65", "Dimension": "4mm (W) x 8mm (H)", "Cut Interval": "Free Cut"}</v>
      </c>
      <c r="Q51" s="17" t="s">
        <v>236</v>
      </c>
      <c r="R51" s="28"/>
      <c r="S51" s="29"/>
      <c r="T51" s="18"/>
      <c r="U51" s="20"/>
      <c r="V51" s="28"/>
      <c r="W51" s="28"/>
      <c r="X51" s="28"/>
      <c r="Y51" s="12" t="s">
        <v>42</v>
      </c>
      <c r="Z51" s="12" t="s">
        <v>226</v>
      </c>
      <c r="AA51" s="23" t="s">
        <v>44</v>
      </c>
      <c r="AB51" s="24"/>
      <c r="AC51" s="24"/>
      <c r="AD51" s="24"/>
    </row>
    <row r="52" ht="30.0" customHeight="1">
      <c r="A52" s="11" t="s">
        <v>237</v>
      </c>
      <c r="B52" s="12" t="s">
        <v>218</v>
      </c>
      <c r="C52" s="12" t="s">
        <v>32</v>
      </c>
      <c r="D52" s="13" t="s">
        <v>219</v>
      </c>
      <c r="E52" s="12" t="s">
        <v>34</v>
      </c>
      <c r="F52" s="13" t="str">
        <f>IFERROR(__xludf.DUMMYFUNCTION("AI(""Give me a paragraph marketing spiel for product in this row, no tech specs just marketing fluff "")"),"Discover the ultimate in discreet elegance with the Mini (6mm x 6mm), a remarkably compact linear lighting solution designed to bring subtle sophistication and seamless radiance to any space. Crafted for extraordinary flexibility and an ultra-minimal prof"&amp;"ile, this sleek neon-style light curves effortlessly to accent intricate design details and create captivating visual effects. Perfect for adding a luxurious atmosphere to modern retail interiors, high-end lounges, or intimate architectural spaces, its sm"&amp;"ooth, uniform glow transforms the ordinary into the extraordinary. Embrace a new standard of design freedom with a flawless illumination that blends perfectly into your vision while delivering an unmatched aesthetic impact.")</f>
        <v>Discover the ultimate in discreet elegance with the Mini (6mm x 6mm), a remarkably compact linear lighting solution designed to bring subtle sophistication and seamless radiance to any space. Crafted for extraordinary flexibility and an ultra-minimal profile, this sleek neon-style light curves effortlessly to accent intricate design details and create captivating visual effects. Perfect for adding a luxurious atmosphere to modern retail interiors, high-end lounges, or intimate architectural spaces, its smooth, uniform glow transforms the ordinary into the extraordinary. Embrace a new standard of design freedom with a flawless illumination that blends perfectly into your vision while delivering an unmatched aesthetic impact.</v>
      </c>
      <c r="G52" s="12" t="s">
        <v>238</v>
      </c>
      <c r="H52" s="13" t="str">
        <f>IFERROR(__xludf.DUMMYFUNCTION("AI(""Give me a paragraph marketing spiel for product in this row, no tech specs just marketing fluff under 180 characters "")"),"Bring subtle sophistication to any space with the Mini, an ultra-compact linear light designed to deliver a flawless, uniform glow and timeless style.")</f>
        <v>Bring subtle sophistication to any space with the Mini, an ultra-compact linear light designed to deliver a flawless, uniform glow and timeless style.</v>
      </c>
      <c r="I52" s="12" t="s">
        <v>239</v>
      </c>
      <c r="J52" s="14"/>
      <c r="K52" s="14"/>
      <c r="L52" s="15" t="s">
        <v>237</v>
      </c>
      <c r="M52" s="15" t="s">
        <v>240</v>
      </c>
      <c r="N5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""&amp;M52)"),"Power Consumption Rate | Color Temperature | Voltage | IP Rating | Dimension | Cut Interval")</f>
        <v>Power Consumption Rate | Color Temperature | Voltage | IP Rating | Dimension | Cut Interval</v>
      </c>
      <c r="O52" s="17" t="s">
        <v>169</v>
      </c>
      <c r="P5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""&amp;O52&amp;"", Values: ""&amp;M52&amp; "" and SKU Code: ""&amp;"&amp;"L52)"),"{""SKU"": ""SV0606-6W-2.7K-IP65-FC"", ""Power Consumption Rate"": ""6W/m"", ""Color Temperature"": ""2700K"", ""Voltage"": ""24V"", ""IP Rating"": ""IP65"", ""Dimension"": ""6mm (W) x 6mm (H)"", ""Cut Interval"": ""Free Cut""}")</f>
        <v>{"SKU": "SV0606-6W-2.7K-IP65-FC", "Power Consumption Rate": "6W/m", "Color Temperature": "2700K", "Voltage": "24V", "IP Rating": "IP65", "Dimension": "6mm (W) x 6mm (H)", "Cut Interval": "Free Cut"}</v>
      </c>
      <c r="Q52" s="17" t="s">
        <v>241</v>
      </c>
      <c r="R5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Q52:Q54)"),"{""SKU"": [""SV0606-6W-2.7K-IP65-FC"", ""SV0606-6W-3K-IP65-FC"", ""SV0606-6W-4K-IP65-FC""], ""Power Consumption Rate"": ""6W/m"", ""Color Temperature"": [""2700K"", ""3000K"", ""4000K""], ""Voltage"": ""24V"", ""IP Rating"": ""IP65"", ""Dimension"": ""6mm"&amp;" (W) x 6mm (H)"", ""Cut Interval"": ""Free Cut""}")</f>
        <v>{"SKU": ["SV0606-6W-2.7K-IP65-FC", "SV0606-6W-3K-IP65-FC", "SV0606-6W-4K-IP65-FC"], "Power Consumption Rate": "6W/m", "Color Temperature": ["2700K", "3000K", "4000K"], "Voltage": "24V", "IP Rating": "IP65", "Dimension": "6mm (W) x 6mm (H)", "Cut Interval": "Free Cut"}</v>
      </c>
      <c r="S52" s="19" t="s">
        <v>242</v>
      </c>
      <c r="T5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Q52:Q54)"),"{ ""Options"": { ""Power Consumption Rate"": [ {""name"": ""6W/m"", ""id"": ""101""} ], ""Color Temperature"": [ {""name"": ""2700K"", ""id"": ""102""}, {""name"": ""3000K"", ""id"": ""103""}, {""name"": ""4000K"", ""id"": ""104""} ], ""Voltage"": [ {""na"&amp;"me"": ""24V"", ""id"": ""105""} ], ""IP Rating"": [ {""name"": ""IP65"", ""id"": ""106""} ], ""Dimension"": [ {""name"": ""6mm (W) x 6mm (H)"", ""id"": ""107""} ], ""Cut Interval"": [ {""name"": ""Free Cut"", ""id"": ""108""} ] }, ""Constraints"": {}, ""s"&amp;"ku_mappings"": [ { ""sku"": ""SV0606-6W-2.7K-IP65-FC"", ""combination"": [""101"", ""102"", ""105"", ""106"", ""107"", ""108""] }, { ""sku"": ""SV0606-6W-3K-IP65-FC"", ""combination"": [""101"", ""103"", ""105"", ""106"", ""107"", ""108""] }, { ""sku"": "&amp;"""SV0606-6W-4K-IP65-FC"", ""combination"": [""101"", ""104"", ""105"", ""106"", ""107"", ""108""] } ] }")</f>
        <v>{ "Options": { "Power Consumption Rate": [ {"name": "6W/m", "id": "101"} ], "Color Temperature": [ {"name": "2700K", "id": "102"}, {"name": "3000K", "id": "103"}, {"name": "4000K", "id": "104"} ], "Voltage": [ {"name": "24V", "id": "105"} ], "IP Rating": [ {"name": "IP65", "id": "106"} ], "Dimension": [ {"name": "6mm (W) x 6mm (H)", "id": "107"} ], "Cut Interval": [ {"name": "Free Cut", "id": "108"} ] }, "Constraints": {}, "sku_mappings": [ { "sku": "SV0606-6W-2.7K-IP65-FC", "combination": ["101", "102", "105", "106", "107", "108"] }, { "sku": "SV0606-6W-3K-IP65-FC", "combination": ["101", "103", "105", "106", "107", "108"] }, { "sku": "SV0606-6W-4K-IP65-FC", "combination": ["101", "104", "105", "106", "107", "108"] } ] }</v>
      </c>
      <c r="U52" s="20" t="s">
        <v>243</v>
      </c>
      <c r="V52" s="21" t="str">
        <f>IFERROR(__xludf.DUMMYFUNCTION("AI(""Extract options object from the json"", U52)"),"{ ""Power Consumption Rate"": [ {""name"": ""6W/m"", ""id"": ""101""} ], ""Color Temperature"": [ {""name"": ""2700K"", ""id"": ""102""}, {""name"": ""3000K"", ""id"": ""103""}, {""name"": ""4000K"", ""id"": ""104""} ], ""Voltage"": [ {""name"": ""24V"", "&amp;"""id"": ""105""} ], ""IP Rating"": [ {""name"": ""IP65"", ""id"": ""106""} ], ""Dimension"": [ {""name"": ""6mm (W) x 6mm (H)"", ""id"": ""107""} ], ""Cut Interval"": [ {""name"": ""Free Cut"", ""id"": ""108""} ] }")</f>
        <v>{ "Power Consumption Rate": [ {"name": "6W/m", "id": "101"} ], "Color Temperature": [ {"name": "2700K", "id": "102"}, {"name": "3000K", "id": "103"}, {"name": "4000K", "id": "104"} ], "Voltage": [ {"name": "24V", "id": "105"} ], "IP Rating": [ {"name": "IP65", "id": "106"} ], "Dimension": [ {"name": "6mm (W) x 6mm (H)", "id": "107"} ], "Cut Interval": [ {"name": "Free Cut", "id": "108"} ] }</v>
      </c>
      <c r="W52" s="21" t="str">
        <f>IFERROR(__xludf.DUMMYFUNCTION("AI(""Extract constraints object from the json"", U52)"),"{}")</f>
        <v>{}</v>
      </c>
      <c r="X52" s="21" t="str">
        <f>IFERROR(__xludf.DUMMYFUNCTION("AI(""Extract sku_mappings object from the json"", U52)"),"[{""sku"": ""SV0606-6W-2.7K-IP65-FC"", ""combination"": [""101"", ""102"", ""105"", ""106"", ""107"", ""108""]}, {""sku"": ""SV0606-6W-3K-IP65-FC"", ""combination"": [""101"", ""103"", ""105"", ""106"", ""107"", ""108""]}, {""sku"": ""SV0606-6W-4K-IP65-FC"&amp;""", ""combination"": [""101"", ""104"", ""105"", ""106"", ""107"", ""108""]}]")</f>
        <v>[{"sku": "SV0606-6W-2.7K-IP65-FC", "combination": ["101", "102", "105", "106", "107", "108"]}, {"sku": "SV0606-6W-3K-IP65-FC", "combination": ["101", "103", "105", "106", "107", "108"]}, {"sku": "SV0606-6W-4K-IP65-FC", "combination": ["101", "104", "105", "106", "107", "108"]}]</v>
      </c>
      <c r="Y52" s="12" t="s">
        <v>42</v>
      </c>
      <c r="Z52" s="12" t="s">
        <v>244</v>
      </c>
      <c r="AA52" s="23" t="s">
        <v>44</v>
      </c>
      <c r="AB52" s="24"/>
      <c r="AC52" s="24" t="str">
        <f>IFERROR(__xludf.DUMMYFUNCTION("AI(""Generate 6 powerful unique keywords for the product in this row"")"),"Discreet elegance, Ultra-compact neon, Subtle sophistication, Minimal lighting profile, Flexible contour accent, Architectural detail illumination")</f>
        <v>Discreet elegance, Ultra-compact neon, Subtle sophistication, Minimal lighting profile, Flexible contour accent, Architectural detail illumination</v>
      </c>
      <c r="AD52" s="24" t="s">
        <v>245</v>
      </c>
    </row>
    <row r="53" ht="30.0" customHeight="1">
      <c r="A53" s="25"/>
      <c r="B53" s="14"/>
      <c r="C53" s="14"/>
      <c r="D53" s="26"/>
      <c r="E53" s="14"/>
      <c r="F53" s="27"/>
      <c r="G53" s="14"/>
      <c r="H53" s="27"/>
      <c r="I53" s="14"/>
      <c r="J53" s="14"/>
      <c r="K53" s="14"/>
      <c r="L53" s="15" t="s">
        <v>246</v>
      </c>
      <c r="M53" s="15" t="s">
        <v>247</v>
      </c>
      <c r="N5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""&amp;M53)"),"Power Consumption Rate | Color Temperature | Voltage | IP Rating | Dimension | Cut Interval")</f>
        <v>Power Consumption Rate | Color Temperature | Voltage | IP Rating | Dimension | Cut Interval</v>
      </c>
      <c r="O53" s="17" t="s">
        <v>169</v>
      </c>
      <c r="P5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""&amp;O53&amp;"", Values: ""&amp;M53&amp; "" and SKU Code: ""&amp;"&amp;"L53)"),"{""Power Consumption Rate"": ""6W/m"", ""Color Temperature"": ""3000K"", ""Voltage"": ""24V"", ""IP Rating"": ""IP65"", ""Dimension"": ""6mm (W) x 6mm (H)"", ""Cut Interval"": ""Free Cut"", ""SKU"": ""SV0606-6W-3K-IP65-FC""}")</f>
        <v>{"Power Consumption Rate": "6W/m", "Color Temperature": "3000K", "Voltage": "24V", "IP Rating": "IP65", "Dimension": "6mm (W) x 6mm (H)", "Cut Interval": "Free Cut", "SKU": "SV0606-6W-3K-IP65-FC"}</v>
      </c>
      <c r="Q53" s="17" t="s">
        <v>248</v>
      </c>
      <c r="R53" s="28"/>
      <c r="S53" s="29"/>
      <c r="T53" s="28"/>
      <c r="U53" s="30"/>
      <c r="V53" s="28"/>
      <c r="W53" s="28"/>
      <c r="X53" s="28"/>
      <c r="Y53" s="12" t="s">
        <v>42</v>
      </c>
      <c r="Z53" s="12" t="s">
        <v>244</v>
      </c>
      <c r="AA53" s="23" t="s">
        <v>44</v>
      </c>
      <c r="AB53" s="24"/>
      <c r="AC53" s="24"/>
      <c r="AD53" s="24"/>
    </row>
    <row r="54" ht="30.0" customHeight="1">
      <c r="A54" s="25"/>
      <c r="B54" s="14"/>
      <c r="C54" s="14"/>
      <c r="D54" s="26"/>
      <c r="E54" s="14"/>
      <c r="F54" s="27"/>
      <c r="G54" s="14"/>
      <c r="H54" s="27"/>
      <c r="I54" s="14"/>
      <c r="J54" s="14"/>
      <c r="K54" s="14"/>
      <c r="L54" s="15" t="s">
        <v>249</v>
      </c>
      <c r="M54" s="15" t="s">
        <v>250</v>
      </c>
      <c r="N5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""&amp;M54)"),"Power Consumption Rate | Color Temperature | Voltage | IP Rating | Dimension | Cut Interval")</f>
        <v>Power Consumption Rate | Color Temperature | Voltage | IP Rating | Dimension | Cut Interval</v>
      </c>
      <c r="O54" s="17" t="s">
        <v>169</v>
      </c>
      <c r="P5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""&amp;O54&amp;"", Values: ""&amp;M54&amp; "" and SKU Code: ""&amp;"&amp;"L54)"),"{""Power Consumption Rate"": ""6W/m"", ""Color Temperature"": ""4000K"", ""Voltage"": ""24V"", ""IP Rating"": ""IP65"", ""Dimension"": ""6mm (W) x 6mm (H)"", ""Cut Interval"": ""Free Cut"", ""SKU"": ""SV0606-6W-4K-IP65-FC""}")</f>
        <v>{"Power Consumption Rate": "6W/m", "Color Temperature": "4000K", "Voltage": "24V", "IP Rating": "IP65", "Dimension": "6mm (W) x 6mm (H)", "Cut Interval": "Free Cut", "SKU": "SV0606-6W-4K-IP65-FC"}</v>
      </c>
      <c r="Q54" s="17" t="s">
        <v>251</v>
      </c>
      <c r="R54" s="28"/>
      <c r="S54" s="29"/>
      <c r="T54" s="28"/>
      <c r="U54" s="30"/>
      <c r="V54" s="28"/>
      <c r="W54" s="28"/>
      <c r="X54" s="28"/>
      <c r="Y54" s="12" t="s">
        <v>42</v>
      </c>
      <c r="Z54" s="12" t="s">
        <v>244</v>
      </c>
      <c r="AA54" s="23" t="s">
        <v>44</v>
      </c>
      <c r="AB54" s="24"/>
      <c r="AC54" s="24"/>
      <c r="AD54" s="24"/>
    </row>
    <row r="55" ht="30.0" customHeight="1">
      <c r="A55" s="11" t="s">
        <v>252</v>
      </c>
      <c r="B55" s="12" t="s">
        <v>218</v>
      </c>
      <c r="C55" s="12" t="s">
        <v>32</v>
      </c>
      <c r="D55" s="13" t="s">
        <v>219</v>
      </c>
      <c r="E55" s="12" t="s">
        <v>34</v>
      </c>
      <c r="F55" s="13" t="str">
        <f>IFERROR(__xludf.DUMMYFUNCTION("AI(""Give me a paragraph marketing spiel for product in this row, no tech specs just marketing fluff "")"),"Discover the ultimate in discreet elegance with the Mini (6mm x 6mm), a remarkably compact linear lighting solution designed to bring subtle sophistication and seamless radiance to any space. Crafted for extraordinary flexibility and an ultra-minimal prof"&amp;"ile, this sleek neon-style light curves effortlessly to accent intricate design details and create captivating visual effects. Perfect for adding a luxurious atmosphere to modern retail interiors, high-end lounges, or intimate architectural spaces, its sm"&amp;"ooth, uniform glow transforms the ordinary into the extraordinary. Embrace a new standard of design freedom with a flawless illumination that blends perfectly into your vision while delivering an unmatched aesthetic impact.")</f>
        <v>Discover the ultimate in discreet elegance with the Mini (6mm x 6mm), a remarkably compact linear lighting solution designed to bring subtle sophistication and seamless radiance to any space. Crafted for extraordinary flexibility and an ultra-minimal profile, this sleek neon-style light curves effortlessly to accent intricate design details and create captivating visual effects. Perfect for adding a luxurious atmosphere to modern retail interiors, high-end lounges, or intimate architectural spaces, its smooth, uniform glow transforms the ordinary into the extraordinary. Embrace a new standard of design freedom with a flawless illumination that blends perfectly into your vision while delivering an unmatched aesthetic impact.</v>
      </c>
      <c r="G55" s="12" t="s">
        <v>238</v>
      </c>
      <c r="H55" s="13" t="str">
        <f>IFERROR(__xludf.DUMMYFUNCTION("AI(""Give me a paragraph marketing spiel for product in this row, no tech specs just marketing fluff under 180 characters "")"),"Bring subtle sophistication to any space with the Mini, an ultra-compact linear light designed to deliver a flawless, uniform glow and timeless style.")</f>
        <v>Bring subtle sophistication to any space with the Mini, an ultra-compact linear light designed to deliver a flawless, uniform glow and timeless style.</v>
      </c>
      <c r="I55" s="12" t="s">
        <v>239</v>
      </c>
      <c r="J55" s="14"/>
      <c r="K55" s="14"/>
      <c r="L55" s="15" t="s">
        <v>252</v>
      </c>
      <c r="M55" s="15" t="s">
        <v>240</v>
      </c>
      <c r="N5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""&amp;M55)"),"Power Consumption Rate | Color Temperature | Voltage | IP Rating | Dimension | Cut Interval")</f>
        <v>Power Consumption Rate | Color Temperature | Voltage | IP Rating | Dimension | Cut Interval</v>
      </c>
      <c r="O55" s="17" t="s">
        <v>169</v>
      </c>
      <c r="P5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""&amp;O55&amp;"", Values: ""&amp;M55&amp; "" and SKU Code: ""&amp;"&amp;"L55)"),"{""Power Consumption Rate"": ""6W/m"", ""Color Temperature"": ""2700K"", ""Voltage"": ""24V"", ""IP Rating"": ""IP65"", ""Dimension"": ""6mm (W) x 6mm (H)"", ""Cut Interval"": ""Free Cut"", ""SKU"": ""TV0606-6W-2.7K-IP65-FC""}")</f>
        <v>{"Power Consumption Rate": "6W/m", "Color Temperature": "2700K", "Voltage": "24V", "IP Rating": "IP65", "Dimension": "6mm (W) x 6mm (H)", "Cut Interval": "Free Cut", "SKU": "TV0606-6W-2.7K-IP65-FC"}</v>
      </c>
      <c r="Q55" s="17" t="s">
        <v>253</v>
      </c>
      <c r="R55"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Q55:Q57)"),"{""Power Consumption Rate"": ""6W/m"", ""Color Temperature"": [""2700K"", ""3000K"", ""4000K""], ""Voltage"": ""24V"", ""IP Rating"": ""IP65"", ""Dimension"": ""6mm (W) x 6mm (H)"", ""Cut Interval"": ""Free Cut"", ""SKU"": [""TV0606-6W-2.7K-IP65-FC"", ""T"&amp;"V0606-6W-3K-IP65-FC"", ""TV0606-6W-4K-IP65-FC""]}")</f>
        <v>{"Power Consumption Rate": "6W/m", "Color Temperature": ["2700K", "3000K", "4000K"], "Voltage": "24V", "IP Rating": "IP65", "Dimension": "6mm (W) x 6mm (H)", "Cut Interval": "Free Cut", "SKU": ["TV0606-6W-2.7K-IP65-FC", "TV0606-6W-3K-IP65-FC", "TV0606-6W-4K-IP65-FC"]}</v>
      </c>
      <c r="S55" s="29"/>
      <c r="T55"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Q55:Q57)"),"{
""Options"": {
""Power Consumption Rate"": [
{""name"": ""6W/m"", ""id"": ""101""}
],
""Color Temperature"": [
{""name"": ""2700K"", ""id"": ""102""},
{""name"": ""3000K"", ""id"": ""103""},
{""name"": ""4000K"", ""id"": ""104""}
],
""Voltage"": [
{""na"&amp;"me"": ""24V"", ""id"": ""105""}
],
""IP Rating"": [
{""name"": ""IP65"", ""id"": ""106""}
],
""Dimension"": [
{""name"": ""6mm (W) x 6mm (H)"", ""id"": ""107""}
],
""Cut Interval"": [
{""name"": ""Free Cut"", ""id"": ""108""}
]
},
""Constraints"": {},
""s"&amp;"ku_mappings"": [
{
""sku"": ""TV0606-6W-2.7K-IP65-FC"",
""combination"": [""101"", ""102"", ""105"", ""106"", ""107"", ""108""]
},
{
""sku"": ""TV0606-6W-3K-IP65-FC"",
""combination"": [""101"", ""103"", ""105"", ""106"", ""107"", ""108""]
},
{
""sku"": "&amp;"""TV0606-6W-4K-IP65-FC"",
""combination"": [""101"", ""104"", ""105"", ""106"", ""107"", ""108""]
}
]
}")</f>
        <v>{
"Options": {
"Power Consumption Rate": [
{"name": "6W/m", "id": "101"}
],
"Color Temperature": [
{"name": "2700K", "id": "102"},
{"name": "3000K", "id": "103"},
{"name": "4000K", "id": "104"}
],
"Voltage": [
{"name": "24V", "id": "105"}
],
"IP Rating": [
{"name": "IP65", "id": "106"}
],
"Dimension": [
{"name": "6mm (W) x 6mm (H)", "id": "107"}
],
"Cut Interval": [
{"name": "Free Cut", "id": "108"}
]
},
"Constraints": {},
"sku_mappings": [
{
"sku": "TV0606-6W-2.7K-IP65-FC",
"combination": ["101", "102", "105", "106", "107", "108"]
},
{
"sku": "TV0606-6W-3K-IP65-FC",
"combination": ["101", "103", "105", "106", "107", "108"]
},
{
"sku": "TV0606-6W-4K-IP65-FC",
"combination": ["101", "104", "105", "106", "107", "108"]
}
]
}</v>
      </c>
      <c r="U55" s="20" t="s">
        <v>254</v>
      </c>
      <c r="V55" s="21" t="str">
        <f>IFERROR(__xludf.DUMMYFUNCTION("AI(""Extract options object from the json"", U55)"),"{ ""Power Consumption Rate"": [ {""name"": ""6W/m"", ""id"": ""101""} ], ""Color Temperature"": [ {""name"": ""2700K"", ""id"": ""102""}, {""name"": ""3000K"", ""id"": ""103""}, {""name"": ""4000K"", ""id"": ""104""} ], ""Voltage"": [ {""name"": ""24V"", "&amp;"""id"": ""105""} ], ""IP Rating"": [ {""name"": ""IP65"", ""id"": ""106""} ], ""Dimension"": [ {""name"": ""6mm (W) x 6mm (H)"", ""id"": ""107""} ], ""Cut Interval"": [ {""name"": ""Free Cut"", ""id"": ""108""} ] }")</f>
        <v>{ "Power Consumption Rate": [ {"name": "6W/m", "id": "101"} ], "Color Temperature": [ {"name": "2700K", "id": "102"}, {"name": "3000K", "id": "103"}, {"name": "4000K", "id": "104"} ], "Voltage": [ {"name": "24V", "id": "105"} ], "IP Rating": [ {"name": "IP65", "id": "106"} ], "Dimension": [ {"name": "6mm (W) x 6mm (H)", "id": "107"} ], "Cut Interval": [ {"name": "Free Cut", "id": "108"} ] }</v>
      </c>
      <c r="W55" s="21" t="str">
        <f>IFERROR(__xludf.DUMMYFUNCTION("AI(""Extract constraints object from the json"", U55)"),"{}")</f>
        <v>{}</v>
      </c>
      <c r="X55" s="21" t="str">
        <f>IFERROR(__xludf.DUMMYFUNCTION("AI(""Extract sku_mappings object from the json"", U55)"),"[{""sku"": ""TV0606-6W-2.7K-IP65-FC"", ""combination"": [""101"", ""102"", ""105"", ""106"", ""107"", ""108""]}, {""sku"": ""TV0606-6W-3K-IP65-FC"", ""combination"": [""101"", ""103"", ""105"", ""106"", ""107"", ""108""]}, {""sku"": ""TV0606-6W-4K-IP65-FC"&amp;""", ""combination"": [""101"", ""104"", ""105"", ""106"", ""107"", ""108""]}]")</f>
        <v>[{"sku": "TV0606-6W-2.7K-IP65-FC", "combination": ["101", "102", "105", "106", "107", "108"]}, {"sku": "TV0606-6W-3K-IP65-FC", "combination": ["101", "103", "105", "106", "107", "108"]}, {"sku": "TV0606-6W-4K-IP65-FC", "combination": ["101", "104", "105", "106", "107", "108"]}]</v>
      </c>
      <c r="Y55" s="12" t="s">
        <v>42</v>
      </c>
      <c r="Z55" s="12" t="s">
        <v>255</v>
      </c>
      <c r="AA55" s="23" t="s">
        <v>44</v>
      </c>
      <c r="AB55" s="24"/>
      <c r="AC55" s="24"/>
      <c r="AD55" s="24"/>
    </row>
    <row r="56" ht="30.0" customHeight="1">
      <c r="A56" s="25"/>
      <c r="B56" s="14"/>
      <c r="C56" s="14"/>
      <c r="D56" s="26"/>
      <c r="E56" s="14"/>
      <c r="F56" s="27"/>
      <c r="G56" s="14"/>
      <c r="H56" s="27"/>
      <c r="I56" s="14"/>
      <c r="J56" s="14"/>
      <c r="K56" s="14"/>
      <c r="L56" s="15" t="s">
        <v>256</v>
      </c>
      <c r="M56" s="15" t="s">
        <v>247</v>
      </c>
      <c r="N5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""&amp;M56)"),"Power Consumption Rate | Color Temperature | Voltage | IP Rating | Dimension | Cut Interval")</f>
        <v>Power Consumption Rate | Color Temperature | Voltage | IP Rating | Dimension | Cut Interval</v>
      </c>
      <c r="O56" s="17" t="s">
        <v>169</v>
      </c>
      <c r="P5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""&amp;O56&amp;"", Values: ""&amp;M56&amp; "" and SKU Code: ""&amp;"&amp;"L56)"),"{""Power Consumption Rate"": ""6W/m"", ""Color Temperature"": ""3000K"", ""Voltage"": ""24V"", ""IP Rating"": ""IP65"", ""Dimension"": ""6mm (W) x 6mm (H)"", ""Cut Interval"": ""Free Cut"", ""SKU"": ""TV0606-6W-3K-IP65-FC""}")</f>
        <v>{"Power Consumption Rate": "6W/m", "Color Temperature": "3000K", "Voltage": "24V", "IP Rating": "IP65", "Dimension": "6mm (W) x 6mm (H)", "Cut Interval": "Free Cut", "SKU": "TV0606-6W-3K-IP65-FC"}</v>
      </c>
      <c r="Q56" s="17" t="s">
        <v>257</v>
      </c>
      <c r="R56" s="28"/>
      <c r="S56" s="29"/>
      <c r="T56" s="28"/>
      <c r="U56" s="30"/>
      <c r="V56" s="28"/>
      <c r="W56" s="28"/>
      <c r="X56" s="28"/>
      <c r="Y56" s="12" t="s">
        <v>42</v>
      </c>
      <c r="Z56" s="12" t="s">
        <v>255</v>
      </c>
      <c r="AA56" s="23" t="s">
        <v>44</v>
      </c>
      <c r="AB56" s="24"/>
      <c r="AC56" s="24"/>
      <c r="AD56" s="24"/>
    </row>
    <row r="57" ht="30.0" customHeight="1">
      <c r="A57" s="25"/>
      <c r="B57" s="14"/>
      <c r="C57" s="14"/>
      <c r="D57" s="26"/>
      <c r="E57" s="14"/>
      <c r="F57" s="27"/>
      <c r="G57" s="14"/>
      <c r="H57" s="27"/>
      <c r="I57" s="14"/>
      <c r="J57" s="14"/>
      <c r="K57" s="14"/>
      <c r="L57" s="15" t="s">
        <v>258</v>
      </c>
      <c r="M57" s="15" t="s">
        <v>250</v>
      </c>
      <c r="N5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Profile Length (Example 1,000mm)
- AC Phase-Cut (Example Triac)
- Current Sinking (Example 0-10V"&amp;")
- Current Sourcing (Example 1-10V)
- Duty Cycle (Example PWM)
- Variable Resistance (Example Potentiometer)
- Pixel (Example 12 Pixels/m)
- Control Protocol (Example DMX, SPI)
- Cut Interval (Example Free Cut)
- Glare Control (Example Honeycomb Anti Gla"&amp;"re Louvre)
- Beam Angle (Example 30°, 36°)
### STRICT OUTPUT RULES
1. Output ONLY the corresponding labels mentioned above separated by pipes ('|'). 
2. Do not include the values in your output.
3. Do not include any conversational text, introductory rem"&amp;"arks, or markdown formatting blocks.
4. The number of labels in your output must exactly match the number of values provided in the input.
---
### FEW-SHOT EXAMPLES
#### Example 1 (Standard Neon Strip)
Input: 1.2W | SYM30° | 3000K | IP67 | IK10
Output:"&amp;" Power|Optics|Color Temperature|IP Rating|Impact Strength
Input: 15W/m | RGB | 24V | IP69 | 16mm (W) x 17mm (H) | Max 5,000mm (L) | DMX | 12 Pixels/m | IK10 with Neon-AluProfile-1617
Output: Power Consumption Rate|Color Temperature|Voltage|IP Rating|Dime"&amp;"nsion|Length|Control Protocol|Pixel|Impact Strength
---
### YOUR TASK
Generate output for the values text ""&amp;M57)"),"Power Consumption Rate | Color Temperature | Voltage | IP Rating | Dimension | Cut Interval")</f>
        <v>Power Consumption Rate | Color Temperature | Voltage | IP Rating | Dimension | Cut Interval</v>
      </c>
      <c r="O57" s="17" t="s">
        <v>169</v>
      </c>
      <c r="P5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""&amp;O57&amp;"", Values: ""&amp;M57&amp; "" and SKU Code: ""&amp;"&amp;"L57)"),"{""Power Consumption Rate"": ""6W/m"", ""Color Temperature"": ""4000K"", ""Voltage"": ""24V"", ""IP Rating"": ""IP65"", ""Dimension"": ""6mm (W) x 6mm (H)"", ""Cut Interval"": ""Free Cut"", ""SKU"": ""TV0606-6W-4K-IP65-FC""}")</f>
        <v>{"Power Consumption Rate": "6W/m", "Color Temperature": "4000K", "Voltage": "24V", "IP Rating": "IP65", "Dimension": "6mm (W) x 6mm (H)", "Cut Interval": "Free Cut", "SKU": "TV0606-6W-4K-IP65-FC"}</v>
      </c>
      <c r="Q57" s="17" t="s">
        <v>259</v>
      </c>
      <c r="R57" s="28"/>
      <c r="S57" s="29"/>
      <c r="T57" s="28"/>
      <c r="U57" s="30"/>
      <c r="V57" s="28"/>
      <c r="W57" s="28"/>
      <c r="X57" s="28"/>
      <c r="Y57" s="12" t="s">
        <v>42</v>
      </c>
      <c r="Z57" s="12" t="s">
        <v>255</v>
      </c>
      <c r="AA57" s="23" t="s">
        <v>44</v>
      </c>
      <c r="AB57" s="24"/>
      <c r="AC57" s="24"/>
      <c r="AD57" s="24"/>
    </row>
    <row r="58" ht="30.0" customHeight="1">
      <c r="A58" s="11" t="s">
        <v>260</v>
      </c>
      <c r="B58" s="12" t="s">
        <v>218</v>
      </c>
      <c r="C58" s="12" t="s">
        <v>32</v>
      </c>
      <c r="D58" s="13" t="s">
        <v>219</v>
      </c>
      <c r="E58" s="12" t="s">
        <v>34</v>
      </c>
      <c r="F58" s="13" t="str">
        <f>IFERROR(__xludf.DUMMYFUNCTION("AI(""Give me a paragraph marketing spiel for product in this row, no tech specs just marketing fluff "")"),"Discover the perfect blend of subtle elegance and dynamic versatility with the Mini (6mm x 12mm) Side Bend linear lighting solution. Crafted for designers who refuse to compromise on style, this ultra-sleek, flexible masterpiece effortlessly curves around"&amp;" architectural features to deliver a seamless, captivating glow. Ideal for adding sophisticated ambiance to modern interiors or transforming commercial spaces, its refined, uniform illumination provides an upscale aesthetic that elevates any environment i"&amp;"nto a work of art.")</f>
        <v>Discover the perfect blend of subtle elegance and dynamic versatility with the Mini (6mm x 12mm) Side Bend linear lighting solution. Crafted for designers who refuse to compromise on style, this ultra-sleek, flexible masterpiece effortlessly curves around architectural features to deliver a seamless, captivating glow. Ideal for adding sophisticated ambiance to modern interiors or transforming commercial spaces, its refined, uniform illumination provides an upscale aesthetic that elevates any environment into a work of art.</v>
      </c>
      <c r="G58" s="12" t="s">
        <v>261</v>
      </c>
      <c r="H58" s="13" t="str">
        <f>IFERROR(__xludf.DUMMYFUNCTION("AI(""Give me a paragraph marketing spiel for product in this row, no tech specs just marketing fluff under 180 characters "")"),"Elevate your space with the ultra-sleek Mini Side Bend, a flexible masterpiece delivering a seamless, captivating glow that turns any environment into a work of art.")</f>
        <v>Elevate your space with the ultra-sleek Mini Side Bend, a flexible masterpiece delivering a seamless, captivating glow that turns any environment into a work of art.</v>
      </c>
      <c r="I58" s="12" t="s">
        <v>262</v>
      </c>
      <c r="J58" s="14"/>
      <c r="K58" s="14"/>
      <c r="L58" s="15" t="s">
        <v>260</v>
      </c>
      <c r="M58" s="15" t="s">
        <v>263</v>
      </c>
      <c r="N5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""&amp;M58)"),"Power Consumption Rate | Color Temperature | Voltage | IP Rating | Dimension | Cut Interval")</f>
        <v>Power Consumption Rate | Color Temperature | Voltage | IP Rating | Dimension | Cut Interval</v>
      </c>
      <c r="O58" s="17" t="s">
        <v>169</v>
      </c>
      <c r="P5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""&amp;O58&amp;"", Values: ""&amp;M58&amp; "" and SKU Code: ""&amp;"&amp;"L58)"),"{""Power Consumption Rate"": ""10W/m"", ""Color Temperature"": ""2200K"", ""Voltage"": ""24V"", ""IP Rating"": ""IP67"", ""Dimension"": ""6mm (W) x 12mm (H)"", ""Cut Interval"": ""Free Cut"", ""SKU"": ""SV0612-10W-2.2K-IP67-FC""}")</f>
        <v>{"Power Consumption Rate": "10W/m", "Color Temperature": "2200K", "Voltage": "24V", "IP Rating": "IP67", "Dimension": "6mm (W) x 12mm (H)", "Cut Interval": "Free Cut", "SKU": "SV0612-10W-2.2K-IP67-FC"}</v>
      </c>
      <c r="Q58" s="17" t="s">
        <v>264</v>
      </c>
      <c r="R58"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Q58:Q62)"),"{""Power Consumption Rate"": [""10W/m"", ""13W/m""], ""Color Temperature"": [""2200K"", ""2700K"", ""3000K"", ""4000K"", ""TW (2700K-5300K)""], ""Voltage"": ""24V"", ""IP Rating"": ""IP67"", ""Dimension"": [""6mm (W) x 12mm (H)"", ""6.8mm (W) x 12mm (H)"""&amp;"], ""Cut Interval"": ""Free Cut"", ""SKU"": [""SV0612-10W-2.2K-IP67-FC"", ""SV0612-10W-2.7K-IP67-FC"", ""SV0612-10W-3K-IP67-FC"", ""SV0612-10W-4K-IP67-FC"", ""SV0612-13W-TW-IP67""]}")</f>
        <v>{"Power Consumption Rate": ["10W/m", "13W/m"], "Color Temperature": ["2200K", "2700K", "3000K", "4000K", "TW (2700K-5300K)"], "Voltage": "24V", "IP Rating": "IP67", "Dimension": ["6mm (W) x 12mm (H)", "6.8mm (W) x 12mm (H)"], "Cut Interval": "Free Cut", "SKU": ["SV0612-10W-2.2K-IP67-FC", "SV0612-10W-2.7K-IP67-FC", "SV0612-10W-3K-IP67-FC", "SV0612-10W-4K-IP67-FC", "SV0612-13W-TW-IP67"]}</v>
      </c>
      <c r="S58" s="19" t="s">
        <v>265</v>
      </c>
      <c r="T58"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Q58:Q62)"),"{
""Options"": {
""Power Consumption Rate"": [
{""name"": ""10W/m"", ""id"": ""101""},
{""name"": ""13W/m"", ""id"": ""102""}
],
""Color Temperature"": [
{""name"": ""2200K"", ""id"": ""103""},
{""name"": ""2700K"", ""id"": ""104""},
{""name"": ""3000K"","&amp;" ""id"": ""105""},
{""name"": ""4000K"", ""id"": ""106""},
{""name"": ""TW (2700K-5300K)"", ""id"": ""107""}
],
""Voltage"": [
{""name"": ""24V"", ""id"": ""108""}
],
""IP Rating"": [
{""name"": ""IP67"", ""id"": ""109""}
],
""Dimension"": [
{""name"": """&amp;"6mm (W) x 12mm (H)"", ""id"": ""110""},
{""name"": ""6.8mm (W) x 12mm (H)"", ""id"": ""111""}
],
""Cut Interval"": [
{""name"": ""Free Cut"", ""id"": ""112""}
]
},
""Constraints"": {
""101"": [""107"", ""111""],
""102"": [""103"", ""104"", ""105"", ""106"&amp;""", ""110"", ""112""]
},
""sku_mappings"": [
{ ""sku"": ""SV0612-10W-2.2K-IP67-FC"", ""combination"": [""101"", ""103"", ""108"", ""109"", ""110"", ""112""] },
{ ""sku"": ""SV0612-10W-2.7K-IP67-FC"", ""combination"": [""101"", ""104"", ""108"", ""109"", "&amp;"""110"", ""112""] },
{ ""sku"": ""SV0612-10W-3K-IP67-FC"", ""combination"": [""101"", ""105"", ""108"", ""109"", ""110"", ""112""] },
{ ""sku"": ""SV0612-10W-4K-IP67-FC"", ""combination"": [""101"", ""106"", ""108"", ""109"", ""110"", ""112""] },
{ ""sku"&amp;""": ""SV0612-13W-TW-IP67"", ""combination"": [""102"", ""107"", ""108"", ""109"", ""111""] }
]
}")</f>
        <v>{
"Options": {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"Cut Interval": [
{"name": "Free Cut", "id": "112"}
]
},
"Constraints": {
"101": ["107", "111"],
"102": ["103", "104", "105", "106", "110", "112"]
},
"sku_mappings": [
{ "sku": "SV0612-10W-2.2K-IP67-FC", "combination": ["101", "103", "108", "109", "110", "112"] },
{ "sku": "SV0612-10W-2.7K-IP67-FC", "combination": ["101", "104", "108", "109", "110", "112"] },
{ "sku": "SV0612-10W-3K-IP67-FC", "combination": ["101", "105", "108", "109", "110", "112"] },
{ "sku": "SV0612-10W-4K-IP67-FC", "combination": ["101", "106", "108", "109", "110", "112"] },
{ "sku": "SV0612-13W-TW-IP67", "combination": ["102", "107", "108", "109", "111"] }
]
}</v>
      </c>
      <c r="U58" s="20" t="s">
        <v>266</v>
      </c>
      <c r="V58" s="21" t="str">
        <f>IFERROR(__xludf.DUMMYFUNCTION("AI(""Extract options object from the json"", U58)"),"{ ""Power Consumption Rate"": [ {""name"": ""10W/m"", ""id"": ""101""}, {""name"": ""13W/m"", ""id"": ""102""} ], ""Color Temperature"": [ {""name"": ""2200K"", ""id"": ""103""}, {""name"": ""2700K"", ""id"": ""104""}, {""name"": ""3000K"", ""id"": ""105"&amp;"""}, {""name"": ""4000K"", ""id"": ""106""}, {""name"": ""TW (2700K-5300K)"", ""id"": ""107""} ], ""Voltage"": [ {""name"": ""24V"", ""id"": ""108""} ], ""IP Rating"": [ {""name"": ""IP67"", ""id"": ""109""} ], ""Dimension"": [ {""name"": ""6mm (W) x 12mm"&amp;" (H)"", ""id"": ""110""}, {""name"": ""6.8mm (W) x 12mm (H)"", ""id"": ""111""} ], ""Cut Interval"": [ {""name"": ""Free Cut"", ""id"": ""112""} ] }")</f>
        <v>{ "Power Consumption Rate": [ {"name": "10W/m", "id": "101"}, {"name": "13W/m", "id": "102"} ], "Color Temperature": [ {"name": "2200K", "id": "103"}, {"name": "2700K", "id": "104"}, {"name": "3000K", "id": "105"}, {"name": "4000K", "id": "106"}, {"name": "TW (2700K-5300K)", "id": "107"} ], "Voltage": [ {"name": "24V", "id": "108"} ], "IP Rating": [ {"name": "IP67", "id": "109"} ], "Dimension": [ {"name": "6mm (W) x 12mm (H)", "id": "110"}, {"name": "6.8mm (W) x 12mm (H)", "id": "111"} ], "Cut Interval": [ {"name": "Free Cut", "id": "112"} ] }</v>
      </c>
      <c r="W58" s="21" t="str">
        <f>IFERROR(__xludf.DUMMYFUNCTION("AI(""Extract constraints object from the json"", U58)"),"{ ""101"": [""107"", ""111""], ""102"": [""103"", ""104"", ""105"", ""106"", ""110"", ""112""] }")</f>
        <v>{ "101": ["107", "111"], "102": ["103", "104", "105", "106", "110", "112"] }</v>
      </c>
      <c r="X58" s="21" t="str">
        <f>IFERROR(__xludf.DUMMYFUNCTION("AI(""Extract sku_mappings object from the json"", U58)"),"[{""sku"": ""SV0612-10W-2.2K-IP67-FC"", ""combination"": [""101"", ""103"", ""108"", ""109"", ""110"", ""112""]}, {""sku"": ""SV0612-10W-2.7K-IP67-FC"", ""combination"": [""101"", ""104"", ""108"", ""109"", ""110"", ""112""]}, {""sku"": ""SV0612-10W-3K-IP"&amp;"67-FC"", ""combination"": [""101"", ""105"", ""108"", ""109"", ""110"", ""112""]}, {""sku"": ""SV0612-10W-4K-IP67-FC"", ""combination"": [""101"", ""106"", ""108"", ""109"", ""110"", ""112""]}, {""sku"": ""SV0612-13W-TW-IP67"", ""combination"": [""102"", "&amp;"""107"", ""108"", ""109"", ""111""]}]")</f>
        <v>[{"sku": "SV0612-10W-2.2K-IP67-FC", "combination": ["101", "103", "108", "109", "110", "112"]}, {"sku": "SV0612-10W-2.7K-IP67-FC", "combination": ["101", "104", "108", "109", "110", "112"]}, {"sku": "SV0612-10W-3K-IP67-FC", "combination": ["101", "105", "108", "109", "110", "112"]}, {"sku": "SV0612-10W-4K-IP67-FC", "combination": ["101", "106", "108", "109", "110", "112"]}, {"sku": "SV0612-13W-TW-IP67", "combination": ["102", "107", "108", "109", "111"]}]</v>
      </c>
      <c r="Y58" s="12" t="s">
        <v>42</v>
      </c>
      <c r="Z58" s="12" t="s">
        <v>267</v>
      </c>
      <c r="AA58" s="23" t="s">
        <v>44</v>
      </c>
      <c r="AB58" s="24"/>
      <c r="AC58" s="24" t="str">
        <f>IFERROR(__xludf.DUMMYFUNCTION("AI(""Generate 6 powerful unique keywords for the product in this row"")"),"Mini side bend, Ultra-sleek neon, Seamless flexible glow, Free cut linear LED, Precise length lighting, Architectural ambiance neon")</f>
        <v>Mini side bend, Ultra-sleek neon, Seamless flexible glow, Free cut linear LED, Precise length lighting, Architectural ambiance neon</v>
      </c>
      <c r="AD58" s="24" t="s">
        <v>268</v>
      </c>
    </row>
    <row r="59" ht="30.0" customHeight="1">
      <c r="A59" s="25"/>
      <c r="B59" s="14"/>
      <c r="C59" s="14"/>
      <c r="D59" s="26"/>
      <c r="E59" s="14"/>
      <c r="F59" s="27"/>
      <c r="G59" s="14"/>
      <c r="H59" s="27"/>
      <c r="I59" s="14"/>
      <c r="J59" s="14"/>
      <c r="K59" s="14"/>
      <c r="L59" s="15" t="s">
        <v>269</v>
      </c>
      <c r="M59" s="15" t="s">
        <v>270</v>
      </c>
      <c r="N5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""&amp;M59)"),"Power Consumption Rate | Color Temperature | Voltage | IP Rating | Dimension | Cut Interval")</f>
        <v>Power Consumption Rate | Color Temperature | Voltage | IP Rating | Dimension | Cut Interval</v>
      </c>
      <c r="O59" s="17" t="s">
        <v>169</v>
      </c>
      <c r="P5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""&amp;O59&amp;"", Values: ""&amp;M59&amp; "" and SKU Code: ""&amp;"&amp;"L59)"),"{""Power Consumption Rate"": ""10W/m"", ""Color Temperature"": ""2700K"", ""Voltage"": ""24V"", ""IP Rating"": ""IP67"", ""Dimension"": ""6mm (W) x 12mm (H)"", ""Cut Interval"": ""Free Cut"", ""SKU"": ""SV0612-10W-2.7K-IP67-FC""}")</f>
        <v>{"Power Consumption Rate": "10W/m", "Color Temperature": "2700K", "Voltage": "24V", "IP Rating": "IP67", "Dimension": "6mm (W) x 12mm (H)", "Cut Interval": "Free Cut", "SKU": "SV0612-10W-2.7K-IP67-FC"}</v>
      </c>
      <c r="Q59" s="17" t="s">
        <v>271</v>
      </c>
      <c r="R59" s="28"/>
      <c r="S59" s="29"/>
      <c r="T59" s="28"/>
      <c r="U59" s="30"/>
      <c r="V59" s="28"/>
      <c r="W59" s="28"/>
      <c r="X59" s="28"/>
      <c r="Y59" s="12" t="s">
        <v>42</v>
      </c>
      <c r="Z59" s="12" t="s">
        <v>267</v>
      </c>
      <c r="AA59" s="23" t="s">
        <v>44</v>
      </c>
      <c r="AB59" s="24"/>
      <c r="AC59" s="24"/>
      <c r="AD59" s="24"/>
    </row>
    <row r="60" ht="30.0" customHeight="1">
      <c r="A60" s="25"/>
      <c r="B60" s="14"/>
      <c r="C60" s="14"/>
      <c r="D60" s="26"/>
      <c r="E60" s="14"/>
      <c r="F60" s="27"/>
      <c r="G60" s="14"/>
      <c r="H60" s="27"/>
      <c r="I60" s="14"/>
      <c r="J60" s="14"/>
      <c r="K60" s="14"/>
      <c r="L60" s="15" t="s">
        <v>272</v>
      </c>
      <c r="M60" s="15" t="s">
        <v>273</v>
      </c>
      <c r="N6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""&amp;M60)"),"Power Consumption Rate | Color Temperature | Voltage | IP Rating | Dimension | Cut Interval")</f>
        <v>Power Consumption Rate | Color Temperature | Voltage | IP Rating | Dimension | Cut Interval</v>
      </c>
      <c r="O60" s="17" t="s">
        <v>169</v>
      </c>
      <c r="P6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""&amp;O60&amp;"", Values: ""&amp;M60&amp; "" and SKU Code: ""&amp;"&amp;"L60)"),"{""Power Consumption Rate"": ""10W/m"", ""Color Temperature"": ""3000K"", ""Voltage"": ""24V"", ""IP Rating"": ""IP67"", ""Dimension"": ""6mm (W) x 12mm (H)"", ""Cut Interval"": ""Free Cut"", ""SKU"": ""SV0612-10W-3K-IP67-FC""}")</f>
        <v>{"Power Consumption Rate": "10W/m", "Color Temperature": "3000K", "Voltage": "24V", "IP Rating": "IP67", "Dimension": "6mm (W) x 12mm (H)", "Cut Interval": "Free Cut", "SKU": "SV0612-10W-3K-IP67-FC"}</v>
      </c>
      <c r="Q60" s="17" t="s">
        <v>274</v>
      </c>
      <c r="R60" s="28"/>
      <c r="S60" s="29"/>
      <c r="T60" s="28"/>
      <c r="U60" s="30"/>
      <c r="V60" s="28"/>
      <c r="W60" s="28"/>
      <c r="X60" s="28"/>
      <c r="Y60" s="12" t="s">
        <v>42</v>
      </c>
      <c r="Z60" s="12" t="s">
        <v>267</v>
      </c>
      <c r="AA60" s="23" t="s">
        <v>44</v>
      </c>
      <c r="AB60" s="24"/>
      <c r="AC60" s="24"/>
      <c r="AD60" s="24"/>
    </row>
    <row r="61" ht="30.0" customHeight="1">
      <c r="A61" s="25"/>
      <c r="B61" s="12"/>
      <c r="C61" s="12"/>
      <c r="D61" s="13"/>
      <c r="E61" s="12"/>
      <c r="F61" s="27"/>
      <c r="G61" s="14"/>
      <c r="H61" s="27"/>
      <c r="I61" s="14"/>
      <c r="J61" s="14"/>
      <c r="K61" s="14"/>
      <c r="L61" s="15" t="s">
        <v>275</v>
      </c>
      <c r="M61" s="15" t="s">
        <v>276</v>
      </c>
      <c r="N6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""&amp;M61)"),"Power Consumption Rate | Color Temperature | Voltage | IP Rating | Dimension | Cut Interval")</f>
        <v>Power Consumption Rate | Color Temperature | Voltage | IP Rating | Dimension | Cut Interval</v>
      </c>
      <c r="O61" s="17" t="s">
        <v>169</v>
      </c>
      <c r="P6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""&amp;O61&amp;"", Values: ""&amp;M61&amp; "" and SKU Code: ""&amp;"&amp;"L61)"),"{""Power Consumption Rate"": ""10W/m"", ""Color Temperature"": ""4000K"", ""Voltage"": ""24V"", ""IP Rating"": ""IP67"", ""Dimension"": ""6mm (W) x 12mm (H)"", ""Cut Interval"": ""Free Cut"", ""SKU"": ""SV0612-10W-4K-IP67-FC""}")</f>
        <v>{"Power Consumption Rate": "10W/m", "Color Temperature": "4000K", "Voltage": "24V", "IP Rating": "IP67", "Dimension": "6mm (W) x 12mm (H)", "Cut Interval": "Free Cut", "SKU": "SV0612-10W-4K-IP67-FC"}</v>
      </c>
      <c r="Q61" s="17" t="s">
        <v>277</v>
      </c>
      <c r="R61" s="28"/>
      <c r="S61" s="29"/>
      <c r="T61" s="28"/>
      <c r="U61" s="30"/>
      <c r="V61" s="28"/>
      <c r="W61" s="28"/>
      <c r="X61" s="28"/>
      <c r="Y61" s="12" t="s">
        <v>42</v>
      </c>
      <c r="Z61" s="12" t="s">
        <v>267</v>
      </c>
      <c r="AA61" s="23" t="s">
        <v>44</v>
      </c>
      <c r="AB61" s="24"/>
      <c r="AC61" s="24"/>
      <c r="AD61" s="24"/>
    </row>
    <row r="62" ht="30.0" customHeight="1">
      <c r="A62" s="25"/>
      <c r="B62" s="14"/>
      <c r="C62" s="14"/>
      <c r="D62" s="26"/>
      <c r="E62" s="14"/>
      <c r="F62" s="27"/>
      <c r="G62" s="14"/>
      <c r="H62" s="27"/>
      <c r="I62" s="14"/>
      <c r="J62" s="14"/>
      <c r="K62" s="14"/>
      <c r="L62" s="15" t="s">
        <v>278</v>
      </c>
      <c r="M62" s="15" t="s">
        <v>279</v>
      </c>
      <c r="N6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""&amp;M62)"),"Power Consumption Rate | Color Temperature | Voltage | IP Rating | Dimension")</f>
        <v>Power Consumption Rate | Color Temperature | Voltage | IP Rating | Dimension</v>
      </c>
      <c r="O62" s="17" t="s">
        <v>189</v>
      </c>
      <c r="P6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""&amp;O62&amp;"", Values: ""&amp;M62&amp; "" and SKU Code: ""&amp;"&amp;"L62)"),"{""Power Consumption Rate"": ""13W/m"", ""Color Temperature"": ""TW (2700K-5300K)"", ""Voltage"": ""24V"", ""IP Rating"": ""IP67"", ""Dimension"": ""6.8mm (W) x 12mm (H)"", ""SKU"": ""SV0612-13W-TW-IP67""}")</f>
        <v>{"Power Consumption Rate": "13W/m", "Color Temperature": "TW (2700K-5300K)", "Voltage": "24V", "IP Rating": "IP67", "Dimension": "6.8mm (W) x 12mm (H)", "SKU": "SV0612-13W-TW-IP67"}</v>
      </c>
      <c r="Q62" s="17" t="s">
        <v>280</v>
      </c>
      <c r="R62" s="28"/>
      <c r="S62" s="29"/>
      <c r="T62" s="28"/>
      <c r="U62" s="30"/>
      <c r="V62" s="28"/>
      <c r="W62" s="28"/>
      <c r="X62" s="28"/>
      <c r="Y62" s="12" t="s">
        <v>42</v>
      </c>
      <c r="Z62" s="12" t="s">
        <v>281</v>
      </c>
      <c r="AA62" s="23" t="s">
        <v>44</v>
      </c>
      <c r="AB62" s="24"/>
      <c r="AC62" s="24"/>
      <c r="AD62" s="24"/>
    </row>
    <row r="63" ht="30.0" customHeight="1">
      <c r="A63" s="11" t="s">
        <v>282</v>
      </c>
      <c r="B63" s="12" t="s">
        <v>90</v>
      </c>
      <c r="C63" s="12" t="s">
        <v>32</v>
      </c>
      <c r="D63" s="13" t="s">
        <v>283</v>
      </c>
      <c r="E63" s="12" t="s">
        <v>34</v>
      </c>
      <c r="F63" s="13" t="str">
        <f>IFERROR(__xludf.DUMMYFUNCTION("AI(""Give me a paragraph marketing spiel for product in this row, no tech specs just marketing fluff "")"),"Elevate your architectural and landscape designs with the Side View IP68, a premium linear lighting solution crafted to bring captivating elegance and fluid brilliance to any environment. Engineered for extraordinary side-bending flexibility, this luxurio"&amp;"us neon-style light curves effortlessly around contours to create stunning visual features and dramatic accents. Perfect for transforming upscale commercial venues, creating sophisticated outdoor atmospheres, or adding a touch of modern luxury to resident"&amp;"ial spaces, its uniform, flawless glow delivers an unmatched aesthetic impact. Built to withstand the elements while maintaining its pristine radiance, it is the ultimate choice for designers who demand seamless elegance, adaptability, and style.")</f>
        <v>Elevate your architectural and landscape designs with the Side View IP68, a premium linear lighting solution crafted to bring captivating elegance and fluid brilliance to any environment. Engineered for extraordinary side-bending flexibility, this luxurious neon-style light curves effortlessly around contours to create stunning visual features and dramatic accents. Perfect for transforming upscale commercial venues, creating sophisticated outdoor atmospheres, or adding a touch of modern luxury to residential spaces, its uniform, flawless glow delivers an unmatched aesthetic impact. Built to withstand the elements while maintaining its pristine radiance, it is the ultimate choice for designers who demand seamless elegance, adaptability, and style.</v>
      </c>
      <c r="G63" s="12" t="s">
        <v>284</v>
      </c>
      <c r="H63" s="13" t="str">
        <f>IFERROR(__xludf.DUMMYFUNCTION("AI(""Give me a paragraph marketing spiel for product in this row, no tech specs just marketing fluff under 180 characters "")"),"Bring fluid brilliance to any environment with Side View IP68, a premium linear light designed to deliver a flawless, uniform glow that elevates your architectural vision.")</f>
        <v>Bring fluid brilliance to any environment with Side View IP68, a premium linear light designed to deliver a flawless, uniform glow that elevates your architectural vision.</v>
      </c>
      <c r="I63" s="12" t="s">
        <v>285</v>
      </c>
      <c r="J63" s="14"/>
      <c r="K63" s="14"/>
      <c r="L63" s="15" t="s">
        <v>282</v>
      </c>
      <c r="M63" s="15" t="s">
        <v>286</v>
      </c>
      <c r="N6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""&amp;M63)"),"Power Consumption Rate | Color Temperature | Voltage | IP Rating | Dimension")</f>
        <v>Power Consumption Rate | Color Temperature | Voltage | IP Rating | Dimension</v>
      </c>
      <c r="O63" s="17" t="s">
        <v>189</v>
      </c>
      <c r="P6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""&amp;O63&amp;"", Values: ""&amp;M63&amp; "" and SKU Code: ""&amp;"&amp;"L63)"),"{""Power Consumption Rate"": ""10W/m"", ""Color Temperature"": ""2700K"", ""Voltage"": ""24V"", ""IP Rating"": ""IP68"", ""Dimension"": ""12mm (W) x 20mm (H)"", ""SKU"": ""SV1220-10W-2.7K-IP68""}")</f>
        <v>{"Power Consumption Rate": "10W/m", "Color Temperature": "2700K", "Voltage": "24V", "IP Rating": "IP68", "Dimension": "12mm (W) x 20mm (H)", "SKU": "SV1220-10W-2.7K-IP68"}</v>
      </c>
      <c r="Q63" s="17" t="s">
        <v>287</v>
      </c>
      <c r="R63"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Q63:Q69)"),"{""SKU"": [""SV1220-10W-2.7K-IP68"", ""SV1220-10W-3K-IP68"", ""SV1220-10W-4K-IP68"", ""SV1220-10W-5.3K-IP68"", ""SV1220-17W-RGBW-IP68"", ""SV1220-13W-RGB-IP68"", ""SV1220-13W-TW-IP68""], ""Power Consumption Rate"": [""10W/m"", ""17W/m"", ""13W/m""], ""Col"&amp;"or Temperature"": [""2700K"", ""3000K"", ""4000K"", ""5300K"", ""RGBW (3000K)"", ""RGB"", ""TW (2700K-5300K)""], ""Voltage"": ""24V"", ""IP Rating"": ""IP68"", ""Dimension"": ""12mm (W) x 20mm (H)""}")</f>
        <v>{"SKU": ["SV1220-10W-2.7K-IP68", "SV1220-10W-3K-IP68", "SV1220-10W-4K-IP68", "SV1220-10W-5.3K-IP68", "SV1220-17W-RGBW-IP68", "SV1220-13W-RGB-IP68", "SV1220-13W-TW-IP68"], "Power Consumption Rate": ["10W/m", "17W/m", "13W/m"], "Color Temperature": ["2700K", "3000K", "4000K", "5300K", "RGBW (3000K)", "RGB", "TW (2700K-5300K)"], "Voltage": "24V", "IP Rating": "IP68", "Dimension": "12mm (W) x 20mm (H)"}</v>
      </c>
      <c r="S63" s="19" t="s">
        <v>288</v>
      </c>
      <c r="T63"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Q63:Q69)"),"{ ""Options"": { ""Power Consumption Rate"": [ {""name"": ""10W/m"", ""id"": ""101""}, {""name"": ""17W/m"", ""id"": ""102""}, {""name"": ""13W/m"", ""id"": ""103""} ], ""Color Temperature"": [ {""name"": ""2700K"", ""id"": ""104""}, {""name"": ""3000K"","&amp;" ""id"": ""105""}, {""name"": ""4000K"", ""id"": ""106""}, {""name"": ""5300K"", ""id"": ""107""}, {""name"": ""RGBW (3000K)"", ""id"": ""108""}, {""name"": ""RGB"", ""id"": ""109""}, {""name"": ""TW (2700K-5300K)"", ""id"": ""110""} ], ""Voltage"": [ {"""&amp;"name"": ""24V"", ""id"": ""111""} ], ""IP Rating"": [ {""name"": ""IP68"", ""id"": ""112""} ], ""Dimension"": [ {""name"": ""12mm (W) x 20mm (H)"", ""id"": ""113""} ] }, ""Constraints"": { ""101"": [""108"", ""109"", ""110""], ""102"": [""104"", ""105"", "&amp;"""106"", ""107"", ""109"", ""110""], ""103"": [""104"", ""105"", ""106"", ""107"", ""108""] }, ""sku_mappings"": [ { ""sku"": ""SV1220-10W-2.7K-IP68"", ""combination"": [""101"", ""104"", ""111"", ""112"", ""113""] }, { ""sku"": ""SV1220-10W-3K-IP68"", """&amp;"combination"": [""101"", ""105"", ""111"", ""112"", ""113""] }, { ""sku"": ""SV1220-10W-4K-IP68"", ""combination"": [""101"", ""106"", ""111"", ""112"", ""113""] }, { ""sku"": ""SV1220-10W-5.3K-IP68"", ""combination"": [""101"", ""107"", ""111"", ""112"","&amp;" ""113""] }, { ""sku"": ""SV1220-17W-RGBW-IP68"", ""combination"": [""102"", ""108"", ""111"", ""112"", ""113""] }, { ""sku"": ""SV1220-13W-RGB-IP68"", ""combination"": [""103"", ""109"", ""111"", ""112"", ""113""] }, { ""sku"": ""SV1220-13W-TW-IP68"", """&amp;"combination"": [""103"", ""110"", ""111"", ""112"", ""113""] } ] }")</f>
        <v>{ "Options": { "Power Consumption Rate": [ {"name": "10W/m", "id": "101"}, {"name": "17W/m", "id": "102"}, {"name": "13W/m", "id": "103"} ], "Color Temperature": [ {"name": "2700K", "id": "104"}, {"name": "3000K", "id": "105"}, {"name": "4000K", "id": "106"}, {"name": "5300K", "id": "107"}, {"name": "RGBW (3000K)", "id": "108"}, {"name": "RGB", "id": "109"}, {"name": "TW (2700K-5300K)", "id": "110"} ], "Voltage": [ {"name": "24V", "id": "111"} ], "IP Rating": [ {"name": "IP68", "id": "112"} ], "Dimension": [ {"name": "12mm (W) x 20mm (H)", "id": "113"} ] }, "Constraints": { "101": ["108", "109", "110"], "102": ["104", "105", "106", "107", "109", "110"], "103": ["104", "105", "106", "107", "108"] }, "sku_mappings": [ { "sku": "SV1220-10W-2.7K-IP68", "combination": ["101", "104", "111", "112", "113"] }, { "sku": "SV1220-10W-3K-IP68", "combination": ["101", "105", "111", "112", "113"] }, { "sku": "SV1220-10W-4K-IP68", "combination": ["101", "106", "111", "112", "113"] }, { "sku": "SV1220-10W-5.3K-IP68", "combination": ["101", "107", "111", "112", "113"] }, { "sku": "SV1220-17W-RGBW-IP68", "combination": ["102", "108", "111", "112", "113"] }, { "sku": "SV1220-13W-RGB-IP68", "combination": ["103", "109", "111", "112", "113"] }, { "sku": "SV1220-13W-TW-IP68", "combination": ["103", "110", "111", "112", "113"] } ] }</v>
      </c>
      <c r="U63" s="20" t="s">
        <v>289</v>
      </c>
      <c r="V63" s="21" t="str">
        <f>IFERROR(__xludf.DUMMYFUNCTION("AI(""Extract options object from the json"", U63)"),"{ ""Power Consumption Rate"": [ {""name"": ""10W/m"", ""id"": ""101""}, {""name"": ""17W/m"", ""id"": ""102""}, {""name"": ""13W/m"", ""id"": ""103""} ], ""Color Temperature"": [ {""name"": ""2700K"", ""id"": ""104""}, {""name"": ""3000K"", ""id"": ""105"&amp;"""}, {""name"": ""4000K"", ""id"": ""106""}, {""name"": ""5300K"", ""id"": ""107""}, {""name"": ""RGBW (3000K)"", ""id"": ""108""}, {""name"": ""RGB"", ""id"": ""109""}, {""name"": ""TW (2700K-5300K)"", ""id"": ""110""} ], ""Voltage"": [ {""name"": ""24V"&amp;""", ""id"": ""111""} ], ""IP Rating"": [ {""name"": ""IP68"", ""id"": ""112""} ], ""Dimension"": [ {""name"": ""12mm (W) x 20mm (H)"", ""id"": ""113""} ] }")</f>
        <v>{ "Power Consumption Rate": [ {"name": "10W/m", "id": "101"}, {"name": "17W/m", "id": "102"}, {"name": "13W/m", "id": "103"} ], "Color Temperature": [ {"name": "2700K", "id": "104"}, {"name": "3000K", "id": "105"}, {"name": "4000K", "id": "106"}, {"name": "5300K", "id": "107"}, {"name": "RGBW (3000K)", "id": "108"}, {"name": "RGB", "id": "109"}, {"name": "TW (2700K-5300K)", "id": "110"} ], "Voltage": [ {"name": "24V", "id": "111"} ], "IP Rating": [ {"name": "IP68", "id": "112"} ], "Dimension": [ {"name": "12mm (W) x 20mm (H)", "id": "113"} ] }</v>
      </c>
      <c r="W63" s="21" t="str">
        <f>IFERROR(__xludf.DUMMYFUNCTION("AI(""Extract constraints object from the json"", U63)"),"{ ""101"": [""108"", ""109"", ""110""], ""102"": [""104"", ""105"", ""106"", ""107"", ""109"", ""110""], ""103"": [""104"", ""105"", ""106"", ""107"", ""108""] }")</f>
        <v>{ "101": ["108", "109", "110"], "102": ["104", "105", "106", "107", "109", "110"], "103": ["104", "105", "106", "107", "108"] }</v>
      </c>
      <c r="X63" s="21" t="str">
        <f>IFERROR(__xludf.DUMMYFUNCTION("AI(""Extract sku_mappings object from the json"", U63)"),"[{""sku"": ""SV1220-10W-2.7K-IP68"", ""combination"": [""101"", ""104"", ""111"", ""112"", ""113""]}, {""sku"": ""SV1220-10W-3K-IP68"", ""combination"": [""101"", ""105"", ""111"", ""112"", ""113""]}, {""sku"": ""SV1220-10W-4K-IP68"", ""combination"": ["""&amp;"101"", ""106"", ""111"", ""112"", ""113""]}, {""sku"": ""SV1220-10W-5.3K-IP68"", ""combination"": [""101"", ""107"", ""111"", ""112"", ""113""]}, {""sku"": ""SV1220-17W-RGBW-IP68"", ""combination"": [""102"", ""108"", ""111"", ""112"", ""113""]}, {""sku"""&amp;": ""SV1220-13W-RGB-IP68"", ""combination"": [""103"", ""109"", ""111"", ""112"", ""113""]}, {""sku"": ""SV1220-13W-TW-IP68"", ""combination"": [""103"", ""110"", ""111"", ""112"", ""113""]}]")</f>
        <v>[{"sku": "SV1220-10W-2.7K-IP68", "combination": ["101", "104", "111", "112", "113"]}, {"sku": "SV1220-10W-3K-IP68", "combination": ["101", "105", "111", "112", "113"]}, {"sku": "SV1220-10W-4K-IP68", "combination": ["101", "106", "111", "112", "113"]}, {"sku": "SV1220-10W-5.3K-IP68", "combination": ["101", "107", "111", "112", "113"]}, {"sku": "SV1220-17W-RGBW-IP68", "combination": ["102", "108", "111", "112", "113"]}, {"sku": "SV1220-13W-RGB-IP68", "combination": ["103", "109", "111", "112", "113"]}, {"sku": "SV1220-13W-TW-IP68", "combination": ["103", "110", "111", "112", "113"]}]</v>
      </c>
      <c r="Y63" s="12" t="s">
        <v>42</v>
      </c>
      <c r="Z63" s="12" t="s">
        <v>290</v>
      </c>
      <c r="AA63" s="23" t="s">
        <v>44</v>
      </c>
      <c r="AB63" s="24"/>
      <c r="AC63" s="24" t="str">
        <f>IFERROR(__xludf.DUMMYFUNCTION("AI(""Generate 6 powerful unique keywords for the product in this row"")"),"Side view neon, Flexible linear LED, Architectural accent lighting, Landscape contour light, Waterproof light ribbon, Premium commercial lighting")</f>
        <v>Side view neon, Flexible linear LED, Architectural accent lighting, Landscape contour light, Waterproof light ribbon, Premium commercial lighting</v>
      </c>
      <c r="AD63" s="24" t="s">
        <v>291</v>
      </c>
    </row>
    <row r="64" ht="30.0" customHeight="1">
      <c r="A64" s="25"/>
      <c r="B64" s="14"/>
      <c r="C64" s="14"/>
      <c r="D64" s="26"/>
      <c r="E64" s="14"/>
      <c r="F64" s="27"/>
      <c r="G64" s="14"/>
      <c r="H64" s="27"/>
      <c r="I64" s="14"/>
      <c r="J64" s="14"/>
      <c r="K64" s="14"/>
      <c r="L64" s="15" t="s">
        <v>292</v>
      </c>
      <c r="M64" s="15" t="s">
        <v>293</v>
      </c>
      <c r="N6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""&amp;M64)"),"Power Consumption Rate | Color Temperature | Voltage | IP Rating | Dimension")</f>
        <v>Power Consumption Rate | Color Temperature | Voltage | IP Rating | Dimension</v>
      </c>
      <c r="O64" s="17" t="s">
        <v>189</v>
      </c>
      <c r="P6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""&amp;O64&amp;"", Values: ""&amp;M64&amp; "" and SKU Code: ""&amp;"&amp;"L64)"),"{""SKU"": ""SV1220-10W-3K-IP68"", ""Power Consumption Rate"": ""10W/m"", ""Color Temperature"": ""3000K"", ""Voltage"": ""24V"", ""IP Rating"": ""IP68"", ""Dimension"": ""12mm (W) x 20mm (H)""}")</f>
        <v>{"SKU": "SV1220-10W-3K-IP68", "Power Consumption Rate": "10W/m", "Color Temperature": "3000K", "Voltage": "24V", "IP Rating": "IP68", "Dimension": "12mm (W) x 20mm (H)"}</v>
      </c>
      <c r="Q64" s="17" t="s">
        <v>294</v>
      </c>
      <c r="R64" s="28"/>
      <c r="S64" s="29"/>
      <c r="T64" s="28"/>
      <c r="U64" s="30"/>
      <c r="V64" s="28"/>
      <c r="W64" s="28"/>
      <c r="X64" s="28"/>
      <c r="Y64" s="12" t="s">
        <v>42</v>
      </c>
      <c r="Z64" s="12" t="s">
        <v>290</v>
      </c>
      <c r="AA64" s="23" t="s">
        <v>44</v>
      </c>
      <c r="AB64" s="24"/>
      <c r="AC64" s="24"/>
      <c r="AD64" s="24"/>
    </row>
    <row r="65" ht="30.0" customHeight="1">
      <c r="A65" s="25"/>
      <c r="B65" s="14"/>
      <c r="C65" s="14"/>
      <c r="D65" s="26"/>
      <c r="E65" s="14"/>
      <c r="F65" s="27"/>
      <c r="G65" s="14"/>
      <c r="H65" s="27"/>
      <c r="I65" s="14"/>
      <c r="J65" s="14"/>
      <c r="K65" s="14"/>
      <c r="L65" s="15" t="s">
        <v>295</v>
      </c>
      <c r="M65" s="15" t="s">
        <v>296</v>
      </c>
      <c r="N6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""&amp;M65)"),"Power Consumption Rate | Color Temperature | Voltage | IP Rating | Dimension")</f>
        <v>Power Consumption Rate | Color Temperature | Voltage | IP Rating | Dimension</v>
      </c>
      <c r="O65" s="17" t="s">
        <v>189</v>
      </c>
      <c r="P6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""&amp;O65&amp;"", Values: ""&amp;M65&amp; "" and SKU Code: ""&amp;"&amp;"L65)"),"{""SKU"": ""SV1220-10W-4K-IP68"", ""Power Consumption Rate"": ""10W/m"", ""Color Temperature"": ""4000K"", ""Voltage"": ""24V"", ""IP Rating"": ""IP68"", ""Dimension"": ""12mm (W) x 20mm (H)""}")</f>
        <v>{"SKU": "SV1220-10W-4K-IP68", "Power Consumption Rate": "10W/m", "Color Temperature": "4000K", "Voltage": "24V", "IP Rating": "IP68", "Dimension": "12mm (W) x 20mm (H)"}</v>
      </c>
      <c r="Q65" s="17" t="s">
        <v>297</v>
      </c>
      <c r="R65" s="28"/>
      <c r="S65" s="29"/>
      <c r="T65" s="28"/>
      <c r="U65" s="30"/>
      <c r="V65" s="28"/>
      <c r="W65" s="28"/>
      <c r="X65" s="28"/>
      <c r="Y65" s="12" t="s">
        <v>42</v>
      </c>
      <c r="Z65" s="12" t="s">
        <v>290</v>
      </c>
      <c r="AA65" s="23" t="s">
        <v>44</v>
      </c>
      <c r="AB65" s="24"/>
      <c r="AC65" s="24"/>
      <c r="AD65" s="24"/>
    </row>
    <row r="66" ht="30.0" customHeight="1">
      <c r="A66" s="25"/>
      <c r="B66" s="14"/>
      <c r="C66" s="14"/>
      <c r="D66" s="26"/>
      <c r="E66" s="14"/>
      <c r="F66" s="27"/>
      <c r="G66" s="14"/>
      <c r="H66" s="27"/>
      <c r="I66" s="14"/>
      <c r="J66" s="14"/>
      <c r="K66" s="14"/>
      <c r="L66" s="15" t="s">
        <v>298</v>
      </c>
      <c r="M66" s="15" t="s">
        <v>299</v>
      </c>
      <c r="N6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""&amp;M66)"),"Power Consumption Rate | Color Temperature | Voltage | IP Rating | Dimension")</f>
        <v>Power Consumption Rate | Color Temperature | Voltage | IP Rating | Dimension</v>
      </c>
      <c r="O66" s="17" t="s">
        <v>189</v>
      </c>
      <c r="P6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""&amp;O66&amp;"", Values: ""&amp;M66&amp; "" and SKU Code: ""&amp;"&amp;"L66)"),"{""Power Consumption Rate"": ""10W/m"", ""Color Temperature"": ""5300K"", ""Voltage"": ""24V"", ""IP Rating"": ""IP68"", ""Dimension"": ""12mm (W) x 20mm (H)"", ""SKU"": ""SV1220-10W-5.3K-IP68""}")</f>
        <v>{"Power Consumption Rate": "10W/m", "Color Temperature": "5300K", "Voltage": "24V", "IP Rating": "IP68", "Dimension": "12mm (W) x 20mm (H)", "SKU": "SV1220-10W-5.3K-IP68"}</v>
      </c>
      <c r="Q66" s="17" t="s">
        <v>300</v>
      </c>
      <c r="R66" s="28"/>
      <c r="S66" s="29"/>
      <c r="T66" s="28"/>
      <c r="U66" s="30"/>
      <c r="V66" s="28"/>
      <c r="W66" s="28"/>
      <c r="X66" s="28"/>
      <c r="Y66" s="12" t="s">
        <v>42</v>
      </c>
      <c r="Z66" s="12" t="s">
        <v>290</v>
      </c>
      <c r="AA66" s="23" t="s">
        <v>44</v>
      </c>
      <c r="AB66" s="24"/>
      <c r="AC66" s="24"/>
      <c r="AD66" s="24"/>
    </row>
    <row r="67" ht="30.0" customHeight="1">
      <c r="A67" s="25"/>
      <c r="B67" s="14"/>
      <c r="C67" s="14"/>
      <c r="D67" s="26"/>
      <c r="E67" s="14"/>
      <c r="F67" s="27"/>
      <c r="G67" s="14"/>
      <c r="H67" s="27"/>
      <c r="I67" s="14"/>
      <c r="J67" s="14"/>
      <c r="K67" s="14"/>
      <c r="L67" s="15" t="s">
        <v>301</v>
      </c>
      <c r="M67" s="15" t="s">
        <v>302</v>
      </c>
      <c r="N6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""&amp;M67)"),"Power Consumption Rate | Color Temperature | Voltage | IP Rating | Dimension")</f>
        <v>Power Consumption Rate | Color Temperature | Voltage | IP Rating | Dimension</v>
      </c>
      <c r="O67" s="17" t="s">
        <v>189</v>
      </c>
      <c r="P6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""&amp;O67&amp;"", Values: ""&amp;M67&amp; "" and SKU Code: ""&amp;"&amp;"L67)"),"{""Power Consumption Rate"": ""17W/m"", ""Color Temperature"": ""RGBW (3000K)"", ""Voltage"": ""24V"", ""IP Rating"": ""IP68"", ""Dimension"": ""12mm (W) x 20mm (H)"", ""SKU"": ""SV1220-17W-RGBW-IP68""}")</f>
        <v>{"Power Consumption Rate": "17W/m", "Color Temperature": "RGBW (3000K)", "Voltage": "24V", "IP Rating": "IP68", "Dimension": "12mm (W) x 20mm (H)", "SKU": "SV1220-17W-RGBW-IP68"}</v>
      </c>
      <c r="Q67" s="17" t="s">
        <v>303</v>
      </c>
      <c r="R67" s="28"/>
      <c r="S67" s="29"/>
      <c r="T67" s="28"/>
      <c r="U67" s="30"/>
      <c r="V67" s="28"/>
      <c r="W67" s="28"/>
      <c r="X67" s="28"/>
      <c r="Y67" s="12" t="s">
        <v>42</v>
      </c>
      <c r="Z67" s="12" t="s">
        <v>304</v>
      </c>
      <c r="AA67" s="23" t="s">
        <v>44</v>
      </c>
      <c r="AB67" s="24"/>
      <c r="AC67" s="24"/>
      <c r="AD67" s="24"/>
    </row>
    <row r="68" ht="30.0" customHeight="1">
      <c r="A68" s="25"/>
      <c r="B68" s="14"/>
      <c r="C68" s="14"/>
      <c r="D68" s="26"/>
      <c r="E68" s="14"/>
      <c r="F68" s="27"/>
      <c r="G68" s="14"/>
      <c r="H68" s="27"/>
      <c r="I68" s="14"/>
      <c r="J68" s="14"/>
      <c r="K68" s="14"/>
      <c r="L68" s="15" t="s">
        <v>305</v>
      </c>
      <c r="M68" s="15" t="s">
        <v>306</v>
      </c>
      <c r="N6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""&amp;M68)"),"Power Consumption Rate | Color Temperature | Voltage | IP Rating | Dimension")</f>
        <v>Power Consumption Rate | Color Temperature | Voltage | IP Rating | Dimension</v>
      </c>
      <c r="O68" s="17" t="s">
        <v>189</v>
      </c>
      <c r="P6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""&amp;O68&amp;"", Values: ""&amp;M68&amp; "" and SKU Code: ""&amp;"&amp;"L68)"),"{""SKU"": ""SV1220-13W-RGB-IP68"", ""Power Consumption Rate"": ""13W/m"", ""Color Temperature"": ""RGB"", ""Voltage"": ""24V"", ""IP Rating"": ""IP68"", ""Dimension"": ""12mm (W) x 20mm (H)""}")</f>
        <v>{"SKU": "SV1220-13W-RGB-IP68", "Power Consumption Rate": "13W/m", "Color Temperature": "RGB", "Voltage": "24V", "IP Rating": "IP68", "Dimension": "12mm (W) x 20mm (H)"}</v>
      </c>
      <c r="Q68" s="17" t="s">
        <v>307</v>
      </c>
      <c r="R68" s="28"/>
      <c r="S68" s="29"/>
      <c r="T68" s="28"/>
      <c r="U68" s="30"/>
      <c r="V68" s="28"/>
      <c r="W68" s="28"/>
      <c r="X68" s="28"/>
      <c r="Y68" s="12" t="s">
        <v>42</v>
      </c>
      <c r="Z68" s="12" t="s">
        <v>308</v>
      </c>
      <c r="AA68" s="23" t="s">
        <v>44</v>
      </c>
      <c r="AB68" s="24"/>
      <c r="AC68" s="24"/>
      <c r="AD68" s="24"/>
    </row>
    <row r="69" ht="30.0" customHeight="1">
      <c r="A69" s="25"/>
      <c r="B69" s="14"/>
      <c r="C69" s="14"/>
      <c r="D69" s="26"/>
      <c r="E69" s="14"/>
      <c r="F69" s="27"/>
      <c r="G69" s="14"/>
      <c r="H69" s="27"/>
      <c r="I69" s="14"/>
      <c r="J69" s="14"/>
      <c r="K69" s="14"/>
      <c r="L69" s="15" t="s">
        <v>309</v>
      </c>
      <c r="M69" s="15" t="s">
        <v>310</v>
      </c>
      <c r="N6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""&amp;M69)"),"Power Consumption Rate | Color Temperature | Voltage | IP Rating | Dimension")</f>
        <v>Power Consumption Rate | Color Temperature | Voltage | IP Rating | Dimension</v>
      </c>
      <c r="O69" s="17" t="s">
        <v>189</v>
      </c>
      <c r="P6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""&amp;O69&amp;"", Values: ""&amp;M69&amp; "" and SKU Code: ""&amp;"&amp;"L69)"),"{""Power Consumption Rate"": ""13W/m"", ""Color Temperature"": ""TW (2700K-5300K)"", ""Voltage"": ""24V"", ""IP Rating"": ""IP68"", ""Dimension"": ""12mm (W) x 20mm (H)"", ""SKU"": ""SV1220-13W-TW-IP68""}")</f>
        <v>{"Power Consumption Rate": "13W/m", "Color Temperature": "TW (2700K-5300K)", "Voltage": "24V", "IP Rating": "IP68", "Dimension": "12mm (W) x 20mm (H)", "SKU": "SV1220-13W-TW-IP68"}</v>
      </c>
      <c r="Q69" s="17" t="s">
        <v>311</v>
      </c>
      <c r="R69" s="28"/>
      <c r="S69" s="29"/>
      <c r="T69" s="28"/>
      <c r="U69" s="30"/>
      <c r="V69" s="28"/>
      <c r="W69" s="28"/>
      <c r="X69" s="28"/>
      <c r="Y69" s="12" t="s">
        <v>42</v>
      </c>
      <c r="Z69" s="12" t="s">
        <v>312</v>
      </c>
      <c r="AA69" s="23" t="s">
        <v>44</v>
      </c>
      <c r="AB69" s="24"/>
      <c r="AC69" s="24"/>
      <c r="AD69" s="24"/>
    </row>
    <row r="70" ht="30.0" customHeight="1">
      <c r="A70" s="11" t="s">
        <v>313</v>
      </c>
      <c r="B70" s="12" t="s">
        <v>90</v>
      </c>
      <c r="C70" s="12" t="s">
        <v>32</v>
      </c>
      <c r="D70" s="13" t="s">
        <v>283</v>
      </c>
      <c r="E70" s="12" t="s">
        <v>34</v>
      </c>
      <c r="F70" s="13" t="str">
        <f>IFERROR(__xludf.DUMMYFUNCTION("AI(""Give me a paragraph marketing spiel for product in this row, no tech specs just marketing fluff "")"),"Elevate your architectural and landscape designs with the Side Bend, a premium linear lighting solution crafted to bring captivating elegance and fluid brilliance to any environment. Engineered for extraordinary side-bending flexibility, this luxurious ne"&amp;"on-style light curves effortlessly around architectural contours to create stunning visual features and dramatic accents. Whether you are transforming a high-end commercial venue or adding a sophisticated atmosphere to an outdoor landscape, its pristine, "&amp;"uniform glow delivers unmatched aesthetic elegance. Built to withstand demanding environments while maintaining its flawless brilliance, it is the ultimate choice for designers who refuse to compromise on beauty, adaptability, and style.")</f>
        <v>Elevate your architectural and landscape designs with the Side Bend, a premium linear lighting solution crafted to bring captivating elegance and fluid brilliance to any environment. Engineered for extraordinary side-bending flexibility, this luxurious neon-style light curves effortlessly around architectural contours to create stunning visual features and dramatic accents. Whether you are transforming a high-end commercial venue or adding a sophisticated atmosphere to an outdoor landscape, its pristine, uniform glow delivers unmatched aesthetic elegance. Built to withstand demanding environments while maintaining its flawless brilliance, it is the ultimate choice for designers who refuse to compromise on beauty, adaptability, and style.</v>
      </c>
      <c r="G70" s="12" t="s">
        <v>314</v>
      </c>
      <c r="H70" s="13" t="str">
        <f>IFERROR(__xludf.DUMMYFUNCTION("AI(""Give me a paragraph marketing spiel for product in this row, no tech specs just marketing fluff under 180 characters "")"),"Bring fluid brilliance to any space with Side Bend, curving effortlessly to deliver a flawless, uniform glow that elevates your architectural vision.")</f>
        <v>Bring fluid brilliance to any space with Side Bend, curving effortlessly to deliver a flawless, uniform glow that elevates your architectural vision.</v>
      </c>
      <c r="I70" s="12" t="s">
        <v>315</v>
      </c>
      <c r="J70" s="14"/>
      <c r="K70" s="14"/>
      <c r="L70" s="15" t="s">
        <v>313</v>
      </c>
      <c r="M70" s="15" t="s">
        <v>316</v>
      </c>
      <c r="N7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""&amp;M70)"),"Power Consumption Rate | Color Temperature | Voltage | IP Rating | Dimension | Control Protocol | Pixel")</f>
        <v>Power Consumption Rate | Color Temperature | Voltage | IP Rating | Dimension | Control Protocol | Pixel</v>
      </c>
      <c r="O70" s="17" t="s">
        <v>317</v>
      </c>
      <c r="P7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""&amp;O70&amp;"", Values: ""&amp;M70&amp; "" and SKU Code: ""&amp;"&amp;"L70)"),"{""Power Consumption Rate"": ""15W/m"", ""Color Temperature"": ""RGBW (3000K)"", ""Voltage"": ""24V"", ""IP Rating"": ""IP68"", ""Dimension"": ""12mm (W) x 20mm (H)"", ""Control Protocol"": ""DMX"", ""Pixel"": ""12 Pixels/m"", ""SKU"": ""SV1220-15W-RGBW-I"&amp;"P68-DMX""}")</f>
        <v>{"Power Consumption Rate": "15W/m", "Color Temperature": "RGBW (3000K)", "Voltage": "24V", "IP Rating": "IP68", "Dimension": "12mm (W) x 20mm (H)", "Control Protocol": "DMX", "Pixel": "12 Pixels/m", "SKU": "SV1220-15W-RGBW-IP68-DMX"}</v>
      </c>
      <c r="Q70" s="17" t="s">
        <v>318</v>
      </c>
      <c r="R70"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Q70:Q73)"),"{""Power Consumption Rate"": [""15W/m"", ""22W/m"", ""16W/m""], ""Color Temperature"": [""RGBW (3000K)"", ""RGB""], ""Voltage"": ""24V"", ""IP Rating"": ""IP68"", ""Dimension"": ""12mm (W) x 20mm (H)"", ""Control Protocol"": [""DMX"", ""SPI""], ""Pixel"":"&amp;" ""12 Pixels/m"", ""SKU"": [""SV1220-15W-RGBW-IP68-DMX"", ""SV1220-15W-RGB-IP68-DMX"", ""SV1220-22W-RGBW-IP68-SPI"", ""SV1220-16W-RGB-IP68-SPI""]}")</f>
        <v>{"Power Consumption Rate": ["15W/m", "22W/m", "16W/m"], "Color Temperature": ["RGBW (3000K)", "RGB"], "Voltage": "24V", "IP Rating": "IP68", "Dimension": "12mm (W) x 20mm (H)", "Control Protocol": ["DMX", "SPI"], "Pixel": "12 Pixels/m", "SKU": ["SV1220-15W-RGBW-IP68-DMX", "SV1220-15W-RGB-IP68-DMX", "SV1220-22W-RGBW-IP68-SPI", "SV1220-16W-RGB-IP68-SPI"]}</v>
      </c>
      <c r="S70" s="19" t="s">
        <v>319</v>
      </c>
      <c r="T70"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Q70:Q73)"),"{ ""Options"": { ""Power Consumption Rate"": [ {""name"": ""15W/m"", ""id"": ""101""}, {""name"": ""22W/m"", ""id"": ""102""}, {""name"": ""16W/m"", ""id"": ""103""} ], ""Color Temperature"": [ {""name"": ""RGBW (3000K)"", ""id"": ""104""}, {""name"": ""R"&amp;"GB"", ""id"": ""105""} ], ""Voltage"": [ {""name"": ""24V"", ""id"": ""106""} ], ""IP Rating"": [ {""name"": ""IP68"", ""id"": ""107""} ], ""Dimension"": [ {""name"": ""12mm (W) x 20mm (H)"", ""id"": ""108""} ], ""Control Protocol"": [ {""name"": ""DMX"","&amp;" ""id"": ""109""}, {""name"": ""SPI"", ""id"": ""110""} ], ""Pixel"": [ {""name"": ""12 Pixels/m"", ""id"": ""111""} ] }, ""Constraints"": { ""101"": [""110""], ""102"": [""105"", ""109""], ""103"": [""104"", ""109""], ""109"": [""102"", ""103""], ""110"""&amp;": [""101""] }, ""sku_mappings"": [ { ""sku"": ""SV1220-15W-RGBW-IP68-DMX"", ""combination"": [""101"", ""104"", ""106"", ""107"", ""108"", ""109"", ""111""] }, { ""sku"": ""SV1220-15W-RGB-IP68-DMX"", ""combination"": [""101"", ""105"", ""106"", ""107"", "&amp;"""108"", ""109"", ""111""] }, { ""sku"": ""SV1220-22W-RGBW-IP68-SPI"", ""combination"": [""102"", ""104"", ""106"", ""107"", ""108"", ""110"", ""111""] }, { ""sku"": ""SV1220-16W-RGB-IP68-SPI"", ""combination"": [""103"", ""105"", ""106"", ""107"", ""108"&amp;""", ""110"", ""111""] } ] }")</f>
        <v>{ "Options": { "Power Consumption Rate": [ {"name": "15W/m", "id": "101"}, {"name": "22W/m", "id": "102"}, {"name": "16W/m", "id": "103"} ], "Color Temperature": [ {"name": "RGBW (3000K)", "id": "104"}, {"name": "RGB", "id": "105"} ], "Voltage": [ {"name": "24V", "id": "106"} ], "IP Rating": [ {"name": "IP68", "id": "107"} ], "Dimension": [ {"name": "12mm (W) x 20mm (H)", "id": "108"} ], "Control Protocol": [ {"name": "DMX", "id": "109"}, {"name": "SPI", "id": "110"} ], "Pixel": [ {"name": "12 Pixels/m", "id": "111"} ] }, "Constraints": { "101": ["110"], "102": ["105", "109"], "103": ["104", "109"], "109": ["102", "103"], "110": ["101"] }, "sku_mappings": [ { "sku": "SV1220-15W-RGBW-IP68-DMX", "combination": ["101", "104", "106", "107", "108", "109", "111"] }, { "sku": "SV1220-15W-RGB-IP68-DMX", "combination": ["101", "105", "106", "107", "108", "109", "111"] }, { "sku": "SV1220-22W-RGBW-IP68-SPI", "combination": ["102", "104", "106", "107", "108", "110", "111"] }, { "sku": "SV1220-16W-RGB-IP68-SPI", "combination": ["103", "105", "106", "107", "108", "110", "111"] } ] }</v>
      </c>
      <c r="U70" s="20" t="s">
        <v>320</v>
      </c>
      <c r="V70" s="21" t="str">
        <f>IFERROR(__xludf.DUMMYFUNCTION("AI(""Extract options object from the json"", U70)"),"{ ""Power Consumption Rate"": [ {""name"": ""15W/m"", ""id"": ""101""}, {""name"": ""22W/m"", ""id"": ""102""}, {""name"": ""16W/m"", ""id"": ""103""} ], ""Color Temperature"": [ {""name"": ""RGBW (3000K)"", ""id"": ""104""}, {""name"": ""RGB"", ""id"": "&amp;"""105""} ], ""Voltage"": [ {""name"": ""24V"", ""id"": ""106""} ], ""IP Rating"": [ {""name"": ""IP68"", ""id"": ""107""} ], ""Dimension"": [ {""name"": ""12mm (W) x 20mm (H)"", ""id"": ""108""} ], ""Control Protocol"": [ {""name"": ""DMX"", ""id"": ""109"&amp;"""}, {""name"": ""SPI"", ""id"": ""110""} ], ""Pixel"": [ {""name"": ""12 Pixels/m"", ""id"": ""111""} ] }")</f>
        <v>{ "Power Consumption Rate": [ {"name": "15W/m", "id": "101"}, {"name": "22W/m", "id": "102"}, {"name": "16W/m", "id": "103"} ], "Color Temperature": [ {"name": "RGBW (3000K)", "id": "104"}, {"name": "RGB", "id": "105"} ], "Voltage": [ {"name": "24V", "id": "106"} ], "IP Rating": [ {"name": "IP68", "id": "107"} ], "Dimension": [ {"name": "12mm (W) x 20mm (H)", "id": "108"} ], "Control Protocol": [ {"name": "DMX", "id": "109"}, {"name": "SPI", "id": "110"} ], "Pixel": [ {"name": "12 Pixels/m", "id": "111"} ] }</v>
      </c>
      <c r="W70" s="21" t="str">
        <f>IFERROR(__xludf.DUMMYFUNCTION("AI(""Extract constraints object from the json"", U70)"),"{ ""101"": [""110""], ""102"": [""105"", ""109""], ""103"": [""104"", ""109""], ""109"": [""102"", ""103""], ""110"": [""101""] }")</f>
        <v>{ "101": ["110"], "102": ["105", "109"], "103": ["104", "109"], "109": ["102", "103"], "110": ["101"] }</v>
      </c>
      <c r="X70" s="21" t="str">
        <f>IFERROR(__xludf.DUMMYFUNCTION("AI(""Extract sku_mappings object from the json"", U70)"),"[{""sku"": ""SV1220-15W-RGBW-IP68-DMX"", ""combination"": [""101"", ""104"", ""106"", ""107"", ""108"", ""109"", ""111""]}, {""sku"": ""SV1220-15W-RGB-IP68-DMX"", ""combination"": [""101"", ""105"", ""106"", ""107"", ""108"", ""109"", ""111""]}, {""sku"":"&amp;" ""SV1220-22W-RGBW-IP68-SPI"", ""combination"": [""102"", ""104"", ""106"", ""107"", ""108"", ""110"", ""111""]}, {""sku"": ""SV1220-16W-RGB-IP68-SPI"", ""combination"": [""103"", ""105"", ""106"", ""107"", ""108"", ""110"", ""111""]}]")</f>
        <v>[{"sku": "SV1220-15W-RGBW-IP68-DMX", "combination": ["101", "104", "106", "107", "108", "109", "111"]}, {"sku": "SV1220-15W-RGB-IP68-DMX", "combination": ["101", "105", "106", "107", "108", "109", "111"]}, {"sku": "SV1220-22W-RGBW-IP68-SPI", "combination": ["102", "104", "106", "107", "108", "110", "111"]}, {"sku": "SV1220-16W-RGB-IP68-SPI", "combination": ["103", "105", "106", "107", "108", "110", "111"]}]</v>
      </c>
      <c r="Y70" s="12" t="s">
        <v>42</v>
      </c>
      <c r="Z70" s="12" t="s">
        <v>321</v>
      </c>
      <c r="AA70" s="23" t="s">
        <v>44</v>
      </c>
      <c r="AB70" s="24"/>
      <c r="AC70" s="24"/>
      <c r="AD70" s="24"/>
    </row>
    <row r="71" ht="30.0" customHeight="1">
      <c r="A71" s="25"/>
      <c r="B71" s="14"/>
      <c r="C71" s="14"/>
      <c r="D71" s="26"/>
      <c r="E71" s="14"/>
      <c r="F71" s="27"/>
      <c r="G71" s="14"/>
      <c r="H71" s="27"/>
      <c r="I71" s="14"/>
      <c r="J71" s="14"/>
      <c r="K71" s="14"/>
      <c r="L71" s="15" t="s">
        <v>322</v>
      </c>
      <c r="M71" s="15" t="s">
        <v>323</v>
      </c>
      <c r="N7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""&amp;M71)"),"Power Consumption Rate | Color Temperature | Voltage | IP Rating | Dimension | Control Protocol | Pixel")</f>
        <v>Power Consumption Rate | Color Temperature | Voltage | IP Rating | Dimension | Control Protocol | Pixel</v>
      </c>
      <c r="O71" s="17" t="s">
        <v>317</v>
      </c>
      <c r="P7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""&amp;O71&amp;"", Values: ""&amp;M71&amp; "" and SKU Code: ""&amp;"&amp;"L71)"),"{""Power Consumption Rate"": ""15W/m"", ""Color Temperature"": ""RGB"", ""Voltage"": ""24V"", ""IP Rating"": ""IP68"", ""Dimension"": ""12mm (W) x 20mm (H)"", ""Control Protocol"": ""DMX"", ""Pixel"": ""12 Pixels/m"", ""SKU"": ""SV1220-15W-RGB-IP68-DMX""}")</f>
        <v>{"Power Consumption Rate": "15W/m", "Color Temperature": "RGB", "Voltage": "24V", "IP Rating": "IP68", "Dimension": "12mm (W) x 20mm (H)", "Control Protocol": "DMX", "Pixel": "12 Pixels/m", "SKU": "SV1220-15W-RGB-IP68-DMX"}</v>
      </c>
      <c r="Q71" s="17" t="s">
        <v>324</v>
      </c>
      <c r="R71" s="28"/>
      <c r="S71" s="29"/>
      <c r="T71" s="28"/>
      <c r="U71" s="30"/>
      <c r="V71" s="28"/>
      <c r="W71" s="28"/>
      <c r="X71" s="28"/>
      <c r="Y71" s="12" t="s">
        <v>42</v>
      </c>
      <c r="Z71" s="12" t="s">
        <v>325</v>
      </c>
      <c r="AA71" s="23" t="s">
        <v>44</v>
      </c>
      <c r="AB71" s="24"/>
      <c r="AC71" s="24"/>
      <c r="AD71" s="24"/>
    </row>
    <row r="72" ht="30.0" customHeight="1">
      <c r="A72" s="25"/>
      <c r="B72" s="14"/>
      <c r="C72" s="14"/>
      <c r="D72" s="26"/>
      <c r="E72" s="14"/>
      <c r="F72" s="27"/>
      <c r="G72" s="14"/>
      <c r="H72" s="27"/>
      <c r="I72" s="14"/>
      <c r="J72" s="14"/>
      <c r="K72" s="14"/>
      <c r="L72" s="15" t="s">
        <v>326</v>
      </c>
      <c r="M72" s="15" t="s">
        <v>327</v>
      </c>
      <c r="N7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""&amp;M72)"),"Power Consumption Rate | Color Temperature | Voltage | IP Rating | Dimension | Control Protocol | Pixel")</f>
        <v>Power Consumption Rate | Color Temperature | Voltage | IP Rating | Dimension | Control Protocol | Pixel</v>
      </c>
      <c r="O72" s="17" t="s">
        <v>317</v>
      </c>
      <c r="P7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""&amp;O72&amp;"", Values: ""&amp;M72&amp; "" and SKU Code: ""&amp;"&amp;"L72)"),"{""Power Consumption Rate"": ""22W/m"", ""Color Temperature"": ""RGBW (3000K)"", ""Voltage"": ""24V"", ""IP Rating"": ""IP68"", ""Dimension"": ""12mm (W) x 20mm (H)"", ""Control Protocol"": ""SPI"", ""Pixel"": ""12 Pixels/m"", ""SKU"": ""SV1220-22W-RGBW-I"&amp;"P68-SPI""}")</f>
        <v>{"Power Consumption Rate": "22W/m", "Color Temperature": "RGBW (3000K)", "Voltage": "24V", "IP Rating": "IP68", "Dimension": "12mm (W) x 20mm (H)", "Control Protocol": "SPI", "Pixel": "12 Pixels/m", "SKU": "SV1220-22W-RGBW-IP68-SPI"}</v>
      </c>
      <c r="Q72" s="17" t="s">
        <v>328</v>
      </c>
      <c r="R72" s="28"/>
      <c r="S72" s="29"/>
      <c r="T72" s="28"/>
      <c r="U72" s="30"/>
      <c r="V72" s="28"/>
      <c r="W72" s="28"/>
      <c r="X72" s="28"/>
      <c r="Y72" s="12" t="s">
        <v>42</v>
      </c>
      <c r="Z72" s="12" t="s">
        <v>329</v>
      </c>
      <c r="AA72" s="23" t="s">
        <v>44</v>
      </c>
      <c r="AB72" s="24"/>
      <c r="AC72" s="24"/>
      <c r="AD72" s="24"/>
    </row>
    <row r="73" ht="30.0" customHeight="1">
      <c r="A73" s="25"/>
      <c r="B73" s="14"/>
      <c r="C73" s="14"/>
      <c r="D73" s="26"/>
      <c r="E73" s="14"/>
      <c r="F73" s="27"/>
      <c r="G73" s="14"/>
      <c r="H73" s="27"/>
      <c r="I73" s="14"/>
      <c r="J73" s="14"/>
      <c r="K73" s="14"/>
      <c r="L73" s="15" t="s">
        <v>330</v>
      </c>
      <c r="M73" s="15" t="s">
        <v>331</v>
      </c>
      <c r="N7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""&amp;M73)"),"Power Consumption Rate | Color Temperature | Voltage | IP Rating | Dimension | Control Protocol | Pixel")</f>
        <v>Power Consumption Rate | Color Temperature | Voltage | IP Rating | Dimension | Control Protocol | Pixel</v>
      </c>
      <c r="O73" s="17" t="s">
        <v>317</v>
      </c>
      <c r="P7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""&amp;O73&amp;"", Values: ""&amp;M73&amp; "" and SKU Code: ""&amp;"&amp;"L73)"),"{""Power Consumption Rate"": ""16W/m"", ""Color Temperature"": ""RGB"", ""Voltage"": ""24V"", ""IP Rating"": ""IP68"", ""Dimension"": ""12mm (W) x 20mm (H)"", ""Control Protocol"": ""SPI"", ""Pixel"": ""12 Pixels/m"", ""SKU"": ""SV1220-16W-RGB-IP68-SPI""}")</f>
        <v>{"Power Consumption Rate": "16W/m", "Color Temperature": "RGB", "Voltage": "24V", "IP Rating": "IP68", "Dimension": "12mm (W) x 20mm (H)", "Control Protocol": "SPI", "Pixel": "12 Pixels/m", "SKU": "SV1220-16W-RGB-IP68-SPI"}</v>
      </c>
      <c r="Q73" s="17" t="s">
        <v>332</v>
      </c>
      <c r="R73" s="28"/>
      <c r="S73" s="29"/>
      <c r="T73" s="28"/>
      <c r="U73" s="30"/>
      <c r="V73" s="28"/>
      <c r="W73" s="28"/>
      <c r="X73" s="28"/>
      <c r="Y73" s="12" t="s">
        <v>42</v>
      </c>
      <c r="Z73" s="12" t="s">
        <v>333</v>
      </c>
      <c r="AA73" s="23" t="s">
        <v>44</v>
      </c>
      <c r="AB73" s="24"/>
      <c r="AC73" s="24"/>
      <c r="AD73" s="24"/>
    </row>
    <row r="74" ht="30.0" customHeight="1">
      <c r="A74" s="11" t="s">
        <v>334</v>
      </c>
      <c r="B74" s="12" t="s">
        <v>335</v>
      </c>
      <c r="C74" s="12" t="s">
        <v>32</v>
      </c>
      <c r="D74" s="13" t="s">
        <v>336</v>
      </c>
      <c r="E74" s="12" t="s">
        <v>34</v>
      </c>
      <c r="F74" s="13" t="str">
        <f>IFERROR(__xludf.DUMMYFUNCTION("AI(""Give me a paragraph marketing spiel for product in this row, no tech specs just marketing fluff "")"),"Experience the ultimate in design versatility with the Three-sided Emitting Mini Neon, a revolutionary linear lighting choice crafted to redefine modern luxury. Engineered to radiate a brilliant, uniform glow from three distinct sides, this remarkable neo"&amp;"n-style masterpiece wraps any environment in a seamless blanket of sophisticated light. Its highly flexible profile effortlessly contours around architectural features, making it the perfect choice for designers looking to elevate spaces with dramatic amb"&amp;"iance and striking visual impact. Elevate your next project with an unmatched aesthetic elegance that blends artistic freedom with flawless illumination.")</f>
        <v>Experience the ultimate in design versatility with the Three-sided Emitting Mini Neon, a revolutionary linear lighting choice crafted to redefine modern luxury. Engineered to radiate a brilliant, uniform glow from three distinct sides, this remarkable neon-style masterpiece wraps any environment in a seamless blanket of sophisticated light. Its highly flexible profile effortlessly contours around architectural features, making it the perfect choice for designers looking to elevate spaces with dramatic ambiance and striking visual impact. Elevate your next project with an unmatched aesthetic elegance that blends artistic freedom with flawless illumination.</v>
      </c>
      <c r="G74" s="12" t="s">
        <v>337</v>
      </c>
      <c r="H74" s="13" t="str">
        <f>IFERROR(__xludf.DUMMYFUNCTION("AI(""Give me a paragraph marketing spiel for product in this row, no tech specs just marketing fluff under 180 characters "")"),"Wrap your space in pure luxury with the Three-sided Emitting Mini Neon, radiating a stunning, uniform glow from three sides for ultimate design freedom.")</f>
        <v>Wrap your space in pure luxury with the Three-sided Emitting Mini Neon, radiating a stunning, uniform glow from three sides for ultimate design freedom.</v>
      </c>
      <c r="I74" s="12" t="s">
        <v>338</v>
      </c>
      <c r="J74" s="14"/>
      <c r="K74" s="14"/>
      <c r="L74" s="15" t="s">
        <v>334</v>
      </c>
      <c r="M74" s="15" t="s">
        <v>339</v>
      </c>
      <c r="N7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""&amp;M74)"),"Power Consumption Rate | Color Temperature | Voltage | IP Rating | Dimension")</f>
        <v>Power Consumption Rate | Color Temperature | Voltage | IP Rating | Dimension</v>
      </c>
      <c r="O74" s="17" t="s">
        <v>189</v>
      </c>
      <c r="P7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""&amp;O74&amp;"", Values: ""&amp;M74&amp; "" and SKU Code: ""&amp;"&amp;"L74)"),"{""Power Consumption Rate"": ""12W/m"", ""Color Temperature"": ""TW (2700K-5300K)"", ""Voltage"": ""24V"", ""IP Rating"": ""IP68"", ""Dimension"": ""10mm (W) x 10mm (H)"", ""SKU"": ""TV1010-12W-TW-IP68-270""}")</f>
        <v>{"Power Consumption Rate": "12W/m", "Color Temperature": "TW (2700K-5300K)", "Voltage": "24V", "IP Rating": "IP68", "Dimension": "10mm (W) x 10mm (H)", "SKU": "TV1010-12W-TW-IP68-270"}</v>
      </c>
      <c r="Q74" s="17" t="s">
        <v>340</v>
      </c>
      <c r="R7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Q74:Q78)"),"{""Power Consumption Rate"": [""12W/m"", ""11W/m""], ""Color Temperature"": [""TW (2700K-5300K)"", ""2200K"", ""2700K"", ""3000K"", ""4000K""], ""Voltage"": ""24V"", ""IP Rating"": ""IP68"", ""Dimension"": ""10mm (W) x 10mm (H)"", ""SKU"": [""TV1010-12W-T"&amp;"W-IP68-270"", ""TV1010-11W-2.2K-IP68-270"", ""TV1010-11W-2.7K-IP68-270"", ""TV1010-11W-3K-IP68-270"", ""TV1010-11W-4K-IP68-270""]}")</f>
        <v>{"Power Consumption Rate": ["12W/m", "11W/m"], "Color Temperature": ["TW (2700K-5300K)", "2200K", "2700K", "3000K", "4000K"], "Voltage": "24V", "IP Rating": "IP68", "Dimension": "10mm (W) x 10mm (H)", "SKU": ["TV1010-12W-TW-IP68-270", "TV1010-11W-2.2K-IP68-270", "TV1010-11W-2.7K-IP68-270", "TV1010-11W-3K-IP68-270", "TV1010-11W-4K-IP68-270"]}</v>
      </c>
      <c r="S74" s="19" t="s">
        <v>341</v>
      </c>
      <c r="T7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Q74:Q78)"),"{ ""Options"": { ""Power Consumption Rate"": [ {""name"": ""12W/m"", ""id"": ""101""}, {""name"": ""11W/m"", ""id"": ""102""} ], ""Color Temperature"": [ {""name"": ""TW (2700K-5300K)"", ""id"": ""103""}, {""name"": ""2200K"", ""id"": ""104""}, {""name"":"&amp;" ""2700K"", ""id"": ""105""}, {""name"": ""3000K"", ""id"": ""106""}, {""name"": ""4000K"", ""id"": ""107""} ], ""Voltage"": [ {""name"": ""24V"", ""id"": ""108""} ], ""IP Rating"": [ {""name"": ""IP68"", ""id"": ""109""} ], ""Dimension"": [ {""name"": """&amp;"10mm (W) x 10mm (H)"", ""id"": ""110""} ] }, ""Constraints"": { ""101"": [""104"", ""105"", ""106"", ""107""], ""102"": [""103""] }, ""sku_mappings"": [ { ""sku"": ""TV1010-12W-TW-IP68-270"", ""combination"": [""101"", ""103"", ""108"", ""109"", ""110""] "&amp;"}, { ""sku"": ""TV1010-11W-2.2K-IP68-270"", ""combination"": [""102"", ""104"", ""108"", ""109"", ""110""] }, { ""sku"": ""TV1010-11W-2.7K-IP68-270"", ""combination"": [""102"", ""105"", ""108"", ""109"", ""110""] }, { ""sku"": ""TV1010-11W-3K-IP68-270"","&amp;" ""combination"": [""102"", ""106"", ""108"", ""109"", ""110""] }, { ""sku"": ""TV1010-11W-4K-IP68-270"", ""combination"": [""102"", ""107"", ""108"", ""109"", ""110""] } ] }")</f>
        <v>{ "Options": { "Power Consumption Rate": [ {"name": "12W/m", "id": "101"}, {"name": "11W/m", "id": "102"} ], "Color Temperature": [ {"name": "TW (2700K-5300K)", "id": "103"}, {"name": "2200K", "id": "104"}, {"name": "2700K", "id": "105"}, {"name": "3000K", "id": "106"}, {"name": "4000K", "id": "107"} ], "Voltage": [ {"name": "24V", "id": "108"} ], "IP Rating": [ {"name": "IP68", "id": "109"} ], "Dimension": [ {"name": "10mm (W) x 10mm (H)", "id": "110"} ] }, "Constraints": { "101": ["104", "105", "106", "107"], "102": ["103"] }, "sku_mappings": [ { "sku": "TV1010-12W-TW-IP68-270", "combination": ["101", "103", "108", "109", "110"] }, { "sku": "TV1010-11W-2.2K-IP68-270", "combination": ["102", "104", "108", "109", "110"] }, { "sku": "TV1010-11W-2.7K-IP68-270", "combination": ["102", "105", "108", "109", "110"] }, { "sku": "TV1010-11W-3K-IP68-270", "combination": ["102", "106", "108", "109", "110"] }, { "sku": "TV1010-11W-4K-IP68-270", "combination": ["102", "107", "108", "109", "110"] } ] }</v>
      </c>
      <c r="U74" s="20" t="s">
        <v>342</v>
      </c>
      <c r="V74" s="21" t="str">
        <f>IFERROR(__xludf.DUMMYFUNCTION("AI(""Extract options object from the json"", U74)"),"{ ""Power Consumption Rate"": [ {""name"": ""12W/m"", ""id"": ""101""}, {""name"": ""11W/m"", ""id"": ""102""} ], ""Color Temperature"": [ {""name"": ""TW (2700K-5300K)"", ""id"": ""103""}, {""name"": ""2200K"", ""id"": ""104""}, {""name"": ""2700K"", ""i"&amp;"d"": ""105""}, {""name"": ""3000K"", ""id"": ""106""}, {""name"": ""4000K"", ""id"": ""107""} ], ""Voltage"": [ {""name"": ""24V"", ""id"": ""108""} ], ""IP Rating"": [ {""name"": ""IP68"", ""id"": ""109""} ], ""Dimension"": [ {""name"": ""10mm (W) x 10mm"&amp;" (H)"", ""id"": ""110""} ] }")</f>
        <v>{ "Power Consumption Rate": [ {"name": "12W/m", "id": "101"}, {"name": "11W/m", "id": "102"} ], "Color Temperature": [ {"name": "TW (2700K-5300K)", "id": "103"}, {"name": "2200K", "id": "104"}, {"name": "2700K", "id": "105"}, {"name": "3000K", "id": "106"}, {"name": "4000K", "id": "107"} ], "Voltage": [ {"name": "24V", "id": "108"} ], "IP Rating": [ {"name": "IP68", "id": "109"} ], "Dimension": [ {"name": "10mm (W) x 10mm (H)", "id": "110"} ] }</v>
      </c>
      <c r="W74" s="21" t="str">
        <f>IFERROR(__xludf.DUMMYFUNCTION("AI(""Extract constraints object from the json"", U74)"),"{ ""101"": [""104"", ""105"", ""106"", ""107""], ""102"": [""103""] }")</f>
        <v>{ "101": ["104", "105", "106", "107"], "102": ["103"] }</v>
      </c>
      <c r="X74" s="21" t="str">
        <f>IFERROR(__xludf.DUMMYFUNCTION("AI(""Extract sku_mappings object from the json"", U74)"),"[{""sku"": ""TV1010-12W-TW-IP68-270"", ""combination"": [""101"", ""103"", ""108"", ""109"", ""110""]}, {""sku"": ""TV1010-11W-2.2K-IP68-270"", ""combination"": [""102"", ""104"", ""108"", ""109"", ""110""]}, {""sku"": ""TV1010-11W-2.7K-IP68-270"", ""comb"&amp;"ination"": [""102"", ""105"", ""108"", ""109"", ""110""]}, {""sku"": ""TV1010-11W-3K-IP68-270"", ""combination"": [""102"", ""106"", ""108"", ""109"", ""110""]}, {""sku"": ""TV1010-11W-4K-IP68-270"", ""combination"": [""102"", ""107"", ""108"", ""109"", "&amp;"""110""]}]")</f>
        <v>[{"sku": "TV1010-12W-TW-IP68-270", "combination": ["101", "103", "108", "109", "110"]}, {"sku": "TV1010-11W-2.2K-IP68-270", "combination": ["102", "104", "108", "109", "110"]}, {"sku": "TV1010-11W-2.7K-IP68-270", "combination": ["102", "105", "108", "109", "110"]}, {"sku": "TV1010-11W-3K-IP68-270", "combination": ["102", "106", "108", "109", "110"]}, {"sku": "TV1010-11W-4K-IP68-270", "combination": ["102", "107", "108", "109", "110"]}]</v>
      </c>
      <c r="Y74" s="12" t="s">
        <v>42</v>
      </c>
      <c r="Z74" s="12" t="s">
        <v>343</v>
      </c>
      <c r="AA74" s="23" t="s">
        <v>44</v>
      </c>
      <c r="AB74" s="24"/>
      <c r="AC74" s="24" t="str">
        <f>IFERROR(__xludf.DUMMYFUNCTION("AI(""Generate 6 powerful unique keywords for the product in this row"")"),"Three-sided emitting neon, Mini neon strip, Flexible contour light, Top View LED, Uniform glow ribbon, Luxury linear illumination")</f>
        <v>Three-sided emitting neon, Mini neon strip, Flexible contour light, Top View LED, Uniform glow ribbon, Luxury linear illumination</v>
      </c>
      <c r="AD74" s="24" t="s">
        <v>344</v>
      </c>
    </row>
    <row r="75" ht="30.0" customHeight="1">
      <c r="A75" s="25"/>
      <c r="B75" s="14"/>
      <c r="C75" s="14"/>
      <c r="D75" s="26"/>
      <c r="E75" s="14"/>
      <c r="F75" s="27"/>
      <c r="G75" s="14"/>
      <c r="H75" s="27"/>
      <c r="I75" s="14"/>
      <c r="J75" s="14"/>
      <c r="K75" s="14"/>
      <c r="L75" s="15" t="s">
        <v>345</v>
      </c>
      <c r="M75" s="15" t="s">
        <v>346</v>
      </c>
      <c r="N7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""&amp;M75)"),"Power Consumption Rate | Color Temperature | Voltage | IP Rating | Dimension")</f>
        <v>Power Consumption Rate | Color Temperature | Voltage | IP Rating | Dimension</v>
      </c>
      <c r="O75" s="17" t="s">
        <v>189</v>
      </c>
      <c r="P7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""&amp;O75&amp;"", Values: ""&amp;M75&amp; "" and SKU Code: ""&amp;"&amp;"L75)"),"{""Power Consumption Rate"": ""11W/m"", ""Color Temperature"": ""2200K"", ""Voltage"": ""24V"", ""IP Rating"": ""IP68"", ""Dimension"": ""10mm (W) x 10mm (H)"", ""SKU"": ""TV1010-11W-2.2K-IP68-270""}")</f>
        <v>{"Power Consumption Rate": "11W/m", "Color Temperature": "2200K", "Voltage": "24V", "IP Rating": "IP68", "Dimension": "10mm (W) x 10mm (H)", "SKU": "TV1010-11W-2.2K-IP68-270"}</v>
      </c>
      <c r="Q75" s="17" t="s">
        <v>347</v>
      </c>
      <c r="R75" s="28"/>
      <c r="S75" s="29"/>
      <c r="T75" s="28"/>
      <c r="U75" s="30"/>
      <c r="V75" s="28"/>
      <c r="W75" s="28"/>
      <c r="X75" s="28"/>
      <c r="Y75" s="12" t="s">
        <v>42</v>
      </c>
      <c r="Z75" s="12" t="s">
        <v>348</v>
      </c>
      <c r="AA75" s="23" t="s">
        <v>44</v>
      </c>
      <c r="AB75" s="24"/>
      <c r="AC75" s="24"/>
      <c r="AD75" s="24"/>
    </row>
    <row r="76" ht="30.0" customHeight="1">
      <c r="A76" s="25"/>
      <c r="B76" s="12"/>
      <c r="C76" s="12"/>
      <c r="D76" s="13"/>
      <c r="E76" s="12"/>
      <c r="F76" s="27"/>
      <c r="G76" s="14"/>
      <c r="H76" s="27"/>
      <c r="I76" s="14"/>
      <c r="J76" s="14"/>
      <c r="K76" s="14"/>
      <c r="L76" s="15" t="s">
        <v>349</v>
      </c>
      <c r="M76" s="15" t="s">
        <v>350</v>
      </c>
      <c r="N7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""&amp;M76)"),"Power Consumption Rate | Color Temperature | Voltage | IP Rating | Dimension")</f>
        <v>Power Consumption Rate | Color Temperature | Voltage | IP Rating | Dimension</v>
      </c>
      <c r="O76" s="17" t="s">
        <v>189</v>
      </c>
      <c r="P7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""&amp;O76&amp;"", Values: ""&amp;M76&amp; "" and SKU Code: ""&amp;"&amp;"L76)"),"{""Power Consumption Rate"": ""11W/m"", ""Color Temperature"": ""2700K"", ""Voltage"": ""24V"", ""IP Rating"": ""IP68"", ""Dimension"": ""10mm (W) x 10mm (H)"", ""SKU"": ""TV1010-11W-2.7K-IP68-270""}")</f>
        <v>{"Power Consumption Rate": "11W/m", "Color Temperature": "2700K", "Voltage": "24V", "IP Rating": "IP68", "Dimension": "10mm (W) x 10mm (H)", "SKU": "TV1010-11W-2.7K-IP68-270"}</v>
      </c>
      <c r="Q76" s="17" t="s">
        <v>351</v>
      </c>
      <c r="R76" s="28"/>
      <c r="S76" s="29"/>
      <c r="T76" s="28"/>
      <c r="U76" s="30"/>
      <c r="V76" s="28"/>
      <c r="W76" s="28"/>
      <c r="X76" s="28"/>
      <c r="Y76" s="12" t="s">
        <v>42</v>
      </c>
      <c r="Z76" s="12" t="s">
        <v>348</v>
      </c>
      <c r="AA76" s="23" t="s">
        <v>44</v>
      </c>
      <c r="AB76" s="24"/>
      <c r="AC76" s="24"/>
      <c r="AD76" s="24"/>
    </row>
    <row r="77" ht="30.0" customHeight="1">
      <c r="A77" s="25"/>
      <c r="B77" s="14"/>
      <c r="C77" s="14"/>
      <c r="D77" s="26"/>
      <c r="E77" s="14"/>
      <c r="F77" s="27"/>
      <c r="G77" s="14"/>
      <c r="H77" s="27"/>
      <c r="I77" s="14"/>
      <c r="J77" s="14"/>
      <c r="K77" s="14"/>
      <c r="L77" s="15" t="s">
        <v>352</v>
      </c>
      <c r="M77" s="15" t="s">
        <v>353</v>
      </c>
      <c r="N7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""&amp;M77)"),"Power Consumption Rate | Color Temperature | Voltage | IP Rating | Dimension")</f>
        <v>Power Consumption Rate | Color Temperature | Voltage | IP Rating | Dimension</v>
      </c>
      <c r="O77" s="17" t="s">
        <v>189</v>
      </c>
      <c r="P7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""&amp;O77&amp;"", Values: ""&amp;M77&amp; "" and SKU Code: ""&amp;"&amp;"L77)"),"{""Power Consumption Rate"": ""11W/m"", ""Color Temperature"": ""3000K"", ""Voltage"": ""24V"", ""IP Rating"": ""IP68"", ""Dimension"": ""10mm (W) x 10mm (H)"", ""SKU"": ""TV1010-11W-3K-IP68-270""}")</f>
        <v>{"Power Consumption Rate": "11W/m", "Color Temperature": "3000K", "Voltage": "24V", "IP Rating": "IP68", "Dimension": "10mm (W) x 10mm (H)", "SKU": "TV1010-11W-3K-IP68-270"}</v>
      </c>
      <c r="Q77" s="17" t="s">
        <v>354</v>
      </c>
      <c r="R77" s="28"/>
      <c r="S77" s="29"/>
      <c r="T77" s="28"/>
      <c r="U77" s="30"/>
      <c r="V77" s="28"/>
      <c r="W77" s="28"/>
      <c r="X77" s="28"/>
      <c r="Y77" s="12" t="s">
        <v>42</v>
      </c>
      <c r="Z77" s="12" t="s">
        <v>348</v>
      </c>
      <c r="AA77" s="23" t="s">
        <v>44</v>
      </c>
      <c r="AB77" s="24"/>
      <c r="AC77" s="24"/>
      <c r="AD77" s="24"/>
    </row>
    <row r="78" ht="30.0" customHeight="1">
      <c r="A78" s="25"/>
      <c r="B78" s="14"/>
      <c r="C78" s="14"/>
      <c r="D78" s="26"/>
      <c r="E78" s="14"/>
      <c r="F78" s="27"/>
      <c r="G78" s="14"/>
      <c r="H78" s="27"/>
      <c r="I78" s="14"/>
      <c r="J78" s="14"/>
      <c r="K78" s="14"/>
      <c r="L78" s="15" t="s">
        <v>355</v>
      </c>
      <c r="M78" s="15" t="s">
        <v>356</v>
      </c>
      <c r="N7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""&amp;M78)"),"Power Consumption Rate | Color Temperature | Voltage | IP Rating | Dimension")</f>
        <v>Power Consumption Rate | Color Temperature | Voltage | IP Rating | Dimension</v>
      </c>
      <c r="O78" s="17" t="s">
        <v>189</v>
      </c>
      <c r="P7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""&amp;O78&amp;"", Values: ""&amp;M78&amp; "" and SKU Code: ""&amp;"&amp;"L78)"),"{""Power Consumption Rate"": ""11W/m"", ""Color Temperature"": ""4000K"", ""Voltage"": ""24V"", ""IP Rating"": ""IP68"", ""Dimension"": ""10mm (W) x 10mm (H)"", ""SKU"": ""TV1010-11W-4K-IP68-270""}")</f>
        <v>{"Power Consumption Rate": "11W/m", "Color Temperature": "4000K", "Voltage": "24V", "IP Rating": "IP68", "Dimension": "10mm (W) x 10mm (H)", "SKU": "TV1010-11W-4K-IP68-270"}</v>
      </c>
      <c r="Q78" s="17" t="s">
        <v>357</v>
      </c>
      <c r="R78" s="28"/>
      <c r="S78" s="29"/>
      <c r="T78" s="28"/>
      <c r="U78" s="30"/>
      <c r="V78" s="28"/>
      <c r="W78" s="28"/>
      <c r="X78" s="28"/>
      <c r="Y78" s="12" t="s">
        <v>42</v>
      </c>
      <c r="Z78" s="12" t="s">
        <v>348</v>
      </c>
      <c r="AA78" s="23" t="s">
        <v>44</v>
      </c>
      <c r="AB78" s="24"/>
      <c r="AC78" s="24"/>
      <c r="AD78" s="24"/>
    </row>
    <row r="79" ht="30.0" customHeight="1">
      <c r="A79" s="11" t="s">
        <v>358</v>
      </c>
      <c r="B79" s="12" t="s">
        <v>359</v>
      </c>
      <c r="C79" s="12" t="s">
        <v>32</v>
      </c>
      <c r="D79" s="13" t="s">
        <v>360</v>
      </c>
      <c r="E79" s="12" t="s">
        <v>34</v>
      </c>
      <c r="F79" s="13" t="str">
        <f>IFERROR(__xludf.DUMMYFUNCTION("AI(""Give me a paragraph marketing spiel for product in this row, no tech specs just marketing fluff "")"),"Step into a sanctuary of pure relaxation and elevated luxury with the Side View IP68 Sauna, a premium linear lighting solution crafted to transform wellness spaces into serene havens. Designed to wrap seamlessly around structural curves, this elegant acce"&amp;"nt light bathes your environment in a smooth, uniform glow that enhances tranquility and soothes the senses. Perfect for creating a high-end spa atmosphere, it brings a touch of sophisticated radiance and comforting warmth, inviting you to completely unwi"&amp;"nd and escape from the everyday world.")</f>
        <v>Step into a sanctuary of pure relaxation and elevated luxury with the Side View IP68 Sauna, a premium linear lighting solution crafted to transform wellness spaces into serene havens. Designed to wrap seamlessly around structural curves, this elegant accent light bathes your environment in a smooth, uniform glow that enhances tranquility and soothes the senses. Perfect for creating a high-end spa atmosphere, it brings a touch of sophisticated radiance and comforting warmth, inviting you to completely unwind and escape from the everyday world.</v>
      </c>
      <c r="G79" s="12" t="s">
        <v>361</v>
      </c>
      <c r="H79" s="13" t="str">
        <f>IFERROR(__xludf.DUMMYFUNCTION("AI(""Give me a paragraph marketing spiel for product in this row, no tech specs just marketing fluff under 180 characters "")"),"Transform your wellness space into a luxurious haven with Side View Sauna, offering a comforting, uniform glow that invites pure relaxation and elegant tranquility.")</f>
        <v>Transform your wellness space into a luxurious haven with Side View Sauna, offering a comforting, uniform glow that invites pure relaxation and elegant tranquility.</v>
      </c>
      <c r="I79" s="12" t="s">
        <v>362</v>
      </c>
      <c r="J79" s="14"/>
      <c r="K79" s="14"/>
      <c r="L79" s="15" t="s">
        <v>358</v>
      </c>
      <c r="M79" s="15" t="s">
        <v>363</v>
      </c>
      <c r="N7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""&amp;M79)"),"Power Consumption Rate | Color Temperature | Voltage | IP Rating | Dimension")</f>
        <v>Power Consumption Rate | Color Temperature | Voltage | IP Rating | Dimension</v>
      </c>
      <c r="O79" s="17" t="s">
        <v>189</v>
      </c>
      <c r="P7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""&amp;O79&amp;"", Values: ""&amp;M79&amp; "" and SKU Code: ""&amp;"&amp;"L79)"),"{""Power Consumption Rate"": ""6W/m"", ""Color Temperature"": ""1600K"", ""Voltage"": ""24V"", ""IP Rating"": ""IP68"", ""Dimension"": ""16mm (W) x 17mm (H)"", ""SKU"": ""SV1617-6W-1.6K-IP68-Sauna""}")</f>
        <v>{"Power Consumption Rate": "6W/m", "Color Temperature": "1600K", "Voltage": "24V", "IP Rating": "IP68", "Dimension": "16mm (W) x 17mm (H)", "SKU": "SV1617-6W-1.6K-IP68-Sauna"}</v>
      </c>
      <c r="Q79" s="17" t="s">
        <v>364</v>
      </c>
      <c r="R79"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Q79:Q85)"),"{""Power Consumption Rate"": ""6W/m"", ""Color Temperature"": [""1600K"", ""2200K"", ""2700K"", ""3000K"", ""4000K"", ""5300K"", ""TW (2700K-5300K)""], ""Voltage"": ""24V"", ""IP Rating"": ""IP68"", ""Dimension"": ""16mm (W) x 17mm (H)"", ""SKU"": [""SV16"&amp;"17-6W-1.6K-IP68-Sauna"", ""SV1617-6W-2.2K-IP68-Sauna"", ""SV1617-6W-2.7K-IP68-Sauna"", ""SV1617-6W-3K-IP68-Sauna"", ""SV1617-6W-4K-IP68-Sauna"", ""SV1617-6W-5.3K-IP68-Sauna"", ""SV1617-6W-TW-IP68-Sauna""]}")</f>
        <v>{"Power Consumption Rate": "6W/m", "Color Temperature": ["1600K", "2200K", "2700K", "3000K", "4000K", "5300K", "TW (2700K-5300K)"], "Voltage": "24V", "IP Rating": "IP68", "Dimension": "16mm (W) x 17mm (H)", "SKU": ["SV1617-6W-1.6K-IP68-Sauna", "SV1617-6W-2.2K-IP68-Sauna", "SV1617-6W-2.7K-IP68-Sauna", "SV1617-6W-3K-IP68-Sauna", "SV1617-6W-4K-IP68-Sauna", "SV1617-6W-5.3K-IP68-Sauna", "SV1617-6W-TW-IP68-Sauna"]}</v>
      </c>
      <c r="S79" s="19" t="s">
        <v>365</v>
      </c>
      <c r="T79"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Q79:Q85)"),"{ ""Options"": { ""Power Consumption Rate"": [ {""name"": ""6W/m"", ""id"": ""101""} ], ""Color Temperature"": [ {""name"": ""1600K"", ""id"": ""102""}, {""name"": ""2200K"", ""id"": ""103""}, {""name"": ""2700K"", ""id"": ""104""}, {""name"": ""3000K"", "&amp;"""id"": ""105""}, {""name"": ""4000K"", ""id"": ""106""}, {""name"": ""5300K"", ""id"": ""107""}, {""name"": ""TW (2700K-5300K)"", ""id"": ""108""} ], ""Voltage"": [ {""name"": ""24V"", ""id"": ""109""} ], ""IP Rating"": [ {""name"": ""IP68"", ""id"": ""1"&amp;"10""} ], ""Dimension"": [ {""name"": ""16mm (W) x 17mm (H)"", ""id"": ""111""} ] }, ""Constraints"": {}, ""sku_mappings"": [ { ""sku"": ""SV1617-6W-1.6K-IP68-Sauna"", ""combination"": [""101"", ""102"", ""109"", ""110"", ""111""] }, { ""sku"": ""SV1617-6W"&amp;"-2.2K-IP68-Sauna"", ""combination"": [""101"", ""103"", ""109"", ""110"", ""111""] }, { ""sku"": ""SV1617-6W-2.7K-IP68-Sauna"", ""combination"": [""101"", ""104"", ""109"", ""110"", ""111""] }, { ""sku"": ""SV1617-6W-3K-IP68-Sauna"", ""combination"": [""1"&amp;"01"", ""105"", ""109"", ""110"", ""111""] }, { ""sku"": ""SV1617-6W-4K-IP68-Sauna"", ""combination"": [""101"", ""106"", ""109"", ""110"", ""111""] }, { ""sku"": ""SV1617-6W-5.3K-IP68-Sauna"", ""combination"": [""101"", ""107"", ""109"", ""110"", ""111""]"&amp;" }, { ""sku"": ""SV1617-6W-TW-IP68-Sauna"", ""combination"": [""101"", ""108"", ""109"", ""110"", ""111""] } ] }")</f>
        <v>{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 "Constraints": {}, "sku_mappings": [ { "sku": "SV1617-6W-1.6K-IP68-Sauna", "combination": ["101", "102", "109", "110", "111"] }, { "sku": "SV1617-6W-2.2K-IP68-Sauna", "combination": ["101", "103", "109", "110", "111"] }, { "sku": "SV1617-6W-2.7K-IP68-Sauna", "combination": ["101", "104", "109", "110", "111"] }, { "sku": "SV1617-6W-3K-IP68-Sauna", "combination": ["101", "105", "109", "110", "111"] }, { "sku": "SV1617-6W-4K-IP68-Sauna", "combination": ["101", "106", "109", "110", "111"] }, { "sku": "SV1617-6W-5.3K-IP68-Sauna", "combination": ["101", "107", "109", "110", "111"] }, { "sku": "SV1617-6W-TW-IP68-Sauna", "combination": ["101", "108", "109", "110", "111"] } ] }</v>
      </c>
      <c r="U79" s="20" t="s">
        <v>366</v>
      </c>
      <c r="V79" s="21" t="str">
        <f>IFERROR(__xludf.DUMMYFUNCTION("AI(""Extract options object from the json"", U79)"),"{ ""Power Consumption Rate"": [ {""name"": ""6W/m"", ""id"": ""101""} ], ""Color Temperature"": [ {""name"": ""1600K"", ""id"": ""102""}, {""name"": ""2200K"", ""id"": ""103""}, {""name"": ""2700K"", ""id"": ""104""}, {""name"": ""3000K"", ""id"": ""105"""&amp;"}, {""name"": ""4000K"", ""id"": ""106""}, {""name"": ""5300K"", ""id"": ""107""}, {""name"": ""TW (2700K-5300K)"", ""id"": ""108""} ], ""Voltage"": [ {""name"": ""24V"", ""id"": ""109""} ], ""IP Rating"": [ {""name"": ""IP68"", ""id"": ""110""} ], ""Dime"&amp;"nsion"": [ {""name"": ""16mm (W) x 17mm (H)"", ""id"": ""111""} ] }")</f>
        <v>{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v>
      </c>
      <c r="W79" s="21" t="str">
        <f>IFERROR(__xludf.DUMMYFUNCTION("AI(""Extract constraints object from the json"", U79)"),"{}")</f>
        <v>{}</v>
      </c>
      <c r="X79" s="21" t="str">
        <f>IFERROR(__xludf.DUMMYFUNCTION("AI(""Extract sku_mappings object from the json"", U79)"),"[{""sku"": ""SV1617-6W-1.6K-IP68-Sauna"", ""combination"": [""101"", ""102"", ""109"", ""110"", ""111""]}, {""sku"": ""SV1617-6W-2.2K-IP68-Sauna"", ""combination"": [""101"", ""103"", ""109"", ""110"", ""111""]}, {""sku"": ""SV1617-6W-2.7K-IP68-Sauna"", "&amp;"""combination"": [""101"", ""104"", ""109"", ""110"", ""111""]}, {""sku"": ""SV1617-6W-3K-IP68-Sauna"", ""combination"": [""101"", ""105"", ""109"", ""110"", ""111""]}, {""sku"": ""SV1617-6W-4K-IP68-Sauna"", ""combination"": [""101"", ""106"", ""109"", """&amp;"110"", ""111""]}, {""sku"": ""SV1617-6W-5.3K-IP68-Sauna"", ""combination"": [""101"", ""107"", ""109"", ""110"", ""111""]}, {""sku"": ""SV1617-6W-TW-IP68-Sauna"", ""combination"": [""101"", ""108"", ""109"", ""110"", ""111""]}]")</f>
        <v>[{"sku": "SV1617-6W-1.6K-IP68-Sauna", "combination": ["101", "102", "109", "110", "111"]}, {"sku": "SV1617-6W-2.2K-IP68-Sauna", "combination": ["101", "103", "109", "110", "111"]}, {"sku": "SV1617-6W-2.7K-IP68-Sauna", "combination": ["101", "104", "109", "110", "111"]}, {"sku": "SV1617-6W-3K-IP68-Sauna", "combination": ["101", "105", "109", "110", "111"]}, {"sku": "SV1617-6W-4K-IP68-Sauna", "combination": ["101", "106", "109", "110", "111"]}, {"sku": "SV1617-6W-5.3K-IP68-Sauna", "combination": ["101", "107", "109", "110", "111"]}, {"sku": "SV1617-6W-TW-IP68-Sauna", "combination": ["101", "108", "109", "110", "111"]}]</v>
      </c>
      <c r="Y79" s="12" t="s">
        <v>42</v>
      </c>
      <c r="Z79" s="12" t="s">
        <v>367</v>
      </c>
      <c r="AA79" s="23" t="s">
        <v>44</v>
      </c>
      <c r="AB79" s="24"/>
      <c r="AC79" s="24" t="str">
        <f>IFERROR(__xludf.DUMMYFUNCTION("AI(""Generate 6 powerful unique keywords for the product in this row"")"),"Sauna lighting, Spa linear LED, Side View neon, Waterproof light ribbon, Wellness space accent, Flexible contour illumination")</f>
        <v>Sauna lighting, Spa linear LED, Side View neon, Waterproof light ribbon, Wellness space accent, Flexible contour illumination</v>
      </c>
      <c r="AD79" s="24" t="s">
        <v>368</v>
      </c>
    </row>
    <row r="80" ht="30.0" customHeight="1">
      <c r="A80" s="25"/>
      <c r="B80" s="14"/>
      <c r="C80" s="14"/>
      <c r="D80" s="26"/>
      <c r="E80" s="14"/>
      <c r="F80" s="27"/>
      <c r="G80" s="14"/>
      <c r="H80" s="27"/>
      <c r="I80" s="14"/>
      <c r="J80" s="14"/>
      <c r="K80" s="14"/>
      <c r="L80" s="15" t="s">
        <v>369</v>
      </c>
      <c r="M80" s="15" t="s">
        <v>370</v>
      </c>
      <c r="N8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""&amp;M80)"),"Power Consumption Rate | Color Temperature | Voltage | IP Rating | Dimension")</f>
        <v>Power Consumption Rate | Color Temperature | Voltage | IP Rating | Dimension</v>
      </c>
      <c r="O80" s="17" t="s">
        <v>189</v>
      </c>
      <c r="P8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""&amp;O80&amp;"", Values: ""&amp;M80&amp; "" and SKU Code: ""&amp;"&amp;"L80)"),"{""Power Consumption Rate"": ""6W/m"", ""Color Temperature"": ""2200K"", ""Voltage"": ""24V"", ""IP Rating"": ""IP68"", ""Dimension"": ""16mm (W) x 17mm (H)"", ""SKU"": ""SV1617-6W-2.2K-IP68-Sauna""}")</f>
        <v>{"Power Consumption Rate": "6W/m", "Color Temperature": "2200K", "Voltage": "24V", "IP Rating": "IP68", "Dimension": "16mm (W) x 17mm (H)", "SKU": "SV1617-6W-2.2K-IP68-Sauna"}</v>
      </c>
      <c r="Q80" s="17" t="s">
        <v>371</v>
      </c>
      <c r="R80" s="28"/>
      <c r="S80" s="29"/>
      <c r="T80" s="28"/>
      <c r="U80" s="30"/>
      <c r="V80" s="28"/>
      <c r="W80" s="28"/>
      <c r="X80" s="28"/>
      <c r="Y80" s="12" t="s">
        <v>42</v>
      </c>
      <c r="Z80" s="12" t="s">
        <v>367</v>
      </c>
      <c r="AA80" s="23" t="s">
        <v>44</v>
      </c>
      <c r="AB80" s="24"/>
      <c r="AC80" s="24"/>
      <c r="AD80" s="24"/>
    </row>
    <row r="81" ht="30.0" customHeight="1">
      <c r="A81" s="25"/>
      <c r="B81" s="14"/>
      <c r="C81" s="14"/>
      <c r="D81" s="26"/>
      <c r="E81" s="14"/>
      <c r="F81" s="27"/>
      <c r="G81" s="14"/>
      <c r="H81" s="27"/>
      <c r="I81" s="14"/>
      <c r="J81" s="14"/>
      <c r="K81" s="14"/>
      <c r="L81" s="15" t="s">
        <v>372</v>
      </c>
      <c r="M81" s="15" t="s">
        <v>373</v>
      </c>
      <c r="N8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""&amp;M81)"),"Power Consumption Rate | Color Temperature | Voltage | IP Rating | Dimension")</f>
        <v>Power Consumption Rate | Color Temperature | Voltage | IP Rating | Dimension</v>
      </c>
      <c r="O81" s="17" t="s">
        <v>189</v>
      </c>
      <c r="P8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""&amp;O81&amp;"", Values: ""&amp;M81&amp; "" and SKU Code: ""&amp;"&amp;"L81)"),"{""Power Consumption Rate"": ""6W/m"", ""Color Temperature"": ""2700K"", ""Voltage"": ""24V"", ""IP Rating"": ""IP68"", ""Dimension"": ""16mm (W) x 17mm (H)"", ""SKU"": ""SV1617-6W-2.7K-IP68-Sauna""}")</f>
        <v>{"Power Consumption Rate": "6W/m", "Color Temperature": "2700K", "Voltage": "24V", "IP Rating": "IP68", "Dimension": "16mm (W) x 17mm (H)", "SKU": "SV1617-6W-2.7K-IP68-Sauna"}</v>
      </c>
      <c r="Q81" s="17" t="s">
        <v>374</v>
      </c>
      <c r="R81" s="28"/>
      <c r="S81" s="29"/>
      <c r="T81" s="28"/>
      <c r="U81" s="30"/>
      <c r="V81" s="28"/>
      <c r="W81" s="28"/>
      <c r="X81" s="28"/>
      <c r="Y81" s="12" t="s">
        <v>42</v>
      </c>
      <c r="Z81" s="12" t="s">
        <v>367</v>
      </c>
      <c r="AA81" s="23" t="s">
        <v>44</v>
      </c>
      <c r="AB81" s="24"/>
      <c r="AC81" s="24"/>
      <c r="AD81" s="24"/>
    </row>
    <row r="82" ht="30.0" customHeight="1">
      <c r="A82" s="25"/>
      <c r="B82" s="14"/>
      <c r="C82" s="14"/>
      <c r="D82" s="26"/>
      <c r="E82" s="14"/>
      <c r="F82" s="27"/>
      <c r="G82" s="14"/>
      <c r="H82" s="27"/>
      <c r="I82" s="14"/>
      <c r="J82" s="14"/>
      <c r="K82" s="14"/>
      <c r="L82" s="15" t="s">
        <v>375</v>
      </c>
      <c r="M82" s="15" t="s">
        <v>376</v>
      </c>
      <c r="N8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""&amp;M82)"),"Power Consumption Rate | Color Temperature | Voltage | IP Rating | Dimension")</f>
        <v>Power Consumption Rate | Color Temperature | Voltage | IP Rating | Dimension</v>
      </c>
      <c r="O82" s="17" t="s">
        <v>189</v>
      </c>
      <c r="P8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""&amp;O82&amp;"", Values: ""&amp;M82&amp; "" and SKU Code: ""&amp;"&amp;"L82)"),"{""Power Consumption Rate"": ""6W/m"", ""Color Temperature"": ""3000K"", ""Voltage"": ""24V"", ""IP Rating"": ""IP68"", ""Dimension"": ""16mm (W) x 17mm (H)"", ""SKU"": ""SV1617-6W-3K-IP68-Sauna""}")</f>
        <v>{"Power Consumption Rate": "6W/m", "Color Temperature": "3000K", "Voltage": "24V", "IP Rating": "IP68", "Dimension": "16mm (W) x 17mm (H)", "SKU": "SV1617-6W-3K-IP68-Sauna"}</v>
      </c>
      <c r="Q82" s="17" t="s">
        <v>377</v>
      </c>
      <c r="R82" s="28"/>
      <c r="S82" s="29"/>
      <c r="T82" s="28"/>
      <c r="U82" s="30"/>
      <c r="V82" s="28"/>
      <c r="W82" s="28"/>
      <c r="X82" s="28"/>
      <c r="Y82" s="12" t="s">
        <v>42</v>
      </c>
      <c r="Z82" s="12" t="s">
        <v>367</v>
      </c>
      <c r="AA82" s="23" t="s">
        <v>44</v>
      </c>
      <c r="AB82" s="24"/>
      <c r="AC82" s="24"/>
      <c r="AD82" s="24"/>
    </row>
    <row r="83" ht="30.0" customHeight="1">
      <c r="A83" s="25"/>
      <c r="B83" s="14"/>
      <c r="C83" s="14"/>
      <c r="D83" s="26"/>
      <c r="E83" s="14"/>
      <c r="F83" s="27"/>
      <c r="G83" s="14"/>
      <c r="H83" s="27"/>
      <c r="I83" s="14"/>
      <c r="J83" s="14"/>
      <c r="K83" s="14"/>
      <c r="L83" s="15" t="s">
        <v>378</v>
      </c>
      <c r="M83" s="15" t="s">
        <v>379</v>
      </c>
      <c r="N8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""&amp;M83)"),"Power Consumption Rate | Color Temperature | Voltage | IP Rating | Dimension")</f>
        <v>Power Consumption Rate | Color Temperature | Voltage | IP Rating | Dimension</v>
      </c>
      <c r="O83" s="17" t="s">
        <v>189</v>
      </c>
      <c r="P8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""&amp;O83&amp;"", Values: ""&amp;M83&amp; "" and SKU Code: ""&amp;"&amp;"L83)"),"{""Power Consumption Rate"": ""6W/m"", ""Color Temperature"": ""4000K"", ""Voltage"": ""24V"", ""IP Rating"": ""IP68"", ""Dimension"": ""16mm (W) x 17mm (H)"", ""SKU"": ""SV1617-6W-4K-IP68-Sauna""}")</f>
        <v>{"Power Consumption Rate": "6W/m", "Color Temperature": "4000K", "Voltage": "24V", "IP Rating": "IP68", "Dimension": "16mm (W) x 17mm (H)", "SKU": "SV1617-6W-4K-IP68-Sauna"}</v>
      </c>
      <c r="Q83" s="17" t="s">
        <v>380</v>
      </c>
      <c r="R83" s="28"/>
      <c r="S83" s="29"/>
      <c r="T83" s="28"/>
      <c r="U83" s="30"/>
      <c r="V83" s="28"/>
      <c r="W83" s="28"/>
      <c r="X83" s="28"/>
      <c r="Y83" s="12" t="s">
        <v>42</v>
      </c>
      <c r="Z83" s="12" t="s">
        <v>367</v>
      </c>
      <c r="AA83" s="23" t="s">
        <v>44</v>
      </c>
      <c r="AB83" s="24"/>
      <c r="AC83" s="24"/>
      <c r="AD83" s="24"/>
    </row>
    <row r="84" ht="30.0" customHeight="1">
      <c r="A84" s="25"/>
      <c r="B84" s="14"/>
      <c r="C84" s="14"/>
      <c r="D84" s="26"/>
      <c r="E84" s="14"/>
      <c r="F84" s="27"/>
      <c r="G84" s="14"/>
      <c r="H84" s="27"/>
      <c r="I84" s="14"/>
      <c r="J84" s="14"/>
      <c r="K84" s="14"/>
      <c r="L84" s="15" t="s">
        <v>381</v>
      </c>
      <c r="M84" s="15" t="s">
        <v>382</v>
      </c>
      <c r="N8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""&amp;M84)"),"Power Consumption Rate | Color Temperature | Voltage | IP Rating | Dimension")</f>
        <v>Power Consumption Rate | Color Temperature | Voltage | IP Rating | Dimension</v>
      </c>
      <c r="O84" s="17" t="s">
        <v>189</v>
      </c>
      <c r="P8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""&amp;O84&amp;"", Values: ""&amp;M84&amp; "" and SKU Code: ""&amp;"&amp;"L84)"),"{""Power Consumption Rate"": ""6W/m"", ""Color Temperature"": ""5300K"", ""Voltage"": ""24V"", ""IP Rating"": ""IP68"", ""Dimension"": ""16mm (W) x 17mm (H)"", ""SKU"": ""SV1617-6W-5.3K-IP68-Sauna""}")</f>
        <v>{"Power Consumption Rate": "6W/m", "Color Temperature": "5300K", "Voltage": "24V", "IP Rating": "IP68", "Dimension": "16mm (W) x 17mm (H)", "SKU": "SV1617-6W-5.3K-IP68-Sauna"}</v>
      </c>
      <c r="Q84" s="17" t="s">
        <v>383</v>
      </c>
      <c r="R84" s="28"/>
      <c r="S84" s="29"/>
      <c r="T84" s="28"/>
      <c r="U84" s="30"/>
      <c r="V84" s="28"/>
      <c r="W84" s="28"/>
      <c r="X84" s="28"/>
      <c r="Y84" s="12" t="s">
        <v>42</v>
      </c>
      <c r="Z84" s="12" t="s">
        <v>367</v>
      </c>
      <c r="AA84" s="23" t="s">
        <v>44</v>
      </c>
      <c r="AB84" s="24"/>
      <c r="AC84" s="24"/>
      <c r="AD84" s="24"/>
    </row>
    <row r="85" ht="30.0" customHeight="1">
      <c r="A85" s="25"/>
      <c r="B85" s="14"/>
      <c r="C85" s="14"/>
      <c r="D85" s="26"/>
      <c r="E85" s="14"/>
      <c r="F85" s="27"/>
      <c r="G85" s="14"/>
      <c r="H85" s="27"/>
      <c r="I85" s="14"/>
      <c r="J85" s="14"/>
      <c r="K85" s="14"/>
      <c r="L85" s="15" t="s">
        <v>384</v>
      </c>
      <c r="M85" s="15" t="s">
        <v>385</v>
      </c>
      <c r="N8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""&amp;M85)"),"Power Consumption Rate | Color Temperature | Voltage | IP Rating | Dimension")</f>
        <v>Power Consumption Rate | Color Temperature | Voltage | IP Rating | Dimension</v>
      </c>
      <c r="O85" s="17" t="s">
        <v>189</v>
      </c>
      <c r="P8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""&amp;O85&amp;"", Values: ""&amp;M85&amp; "" and SKU Code: ""&amp;"&amp;"L85)"),"{""SKU"": ""SV1617-6W-TW-IP68-Sauna"", ""Power Consumption Rate"": ""6W/m"", ""Color Temperature"": ""TW (2700K-5300K)"", ""Voltage"": ""24V"", ""IP Rating"": ""IP68"", ""Dimension"": ""16mm (W) x 17mm (H)""}")</f>
        <v>{"SKU": "SV1617-6W-TW-IP68-Sauna", "Power Consumption Rate": "6W/m", "Color Temperature": "TW (2700K-5300K)", "Voltage": "24V", "IP Rating": "IP68", "Dimension": "16mm (W) x 17mm (H)"}</v>
      </c>
      <c r="Q85" s="17" t="s">
        <v>386</v>
      </c>
      <c r="R85" s="28"/>
      <c r="S85" s="29"/>
      <c r="T85" s="28"/>
      <c r="U85" s="30"/>
      <c r="V85" s="28"/>
      <c r="W85" s="28"/>
      <c r="X85" s="28"/>
      <c r="Y85" s="12" t="s">
        <v>42</v>
      </c>
      <c r="Z85" s="12" t="s">
        <v>367</v>
      </c>
      <c r="AA85" s="23" t="s">
        <v>44</v>
      </c>
      <c r="AB85" s="24"/>
      <c r="AC85" s="24"/>
      <c r="AD85" s="24"/>
    </row>
    <row r="86" ht="30.0" customHeight="1">
      <c r="A86" s="11" t="s">
        <v>387</v>
      </c>
      <c r="B86" s="12" t="s">
        <v>31</v>
      </c>
      <c r="C86" s="12" t="s">
        <v>32</v>
      </c>
      <c r="D86" s="13" t="s">
        <v>388</v>
      </c>
      <c r="E86" s="12" t="s">
        <v>34</v>
      </c>
      <c r="F86" s="13" t="str">
        <f>IFERROR(__xludf.DUMMYFUNCTION("AI(""Give me a paragraph marketing spiel for product in this row, no tech specs just marketing fluff "")"),"Elevate your architectural designs with the Top View IP68 Honeycomb, a sophisticated linear lighting solution crafted to deliver seamless radiance and ultimate visual comfort. Featuring a dramatic black finish that blends beautifully with modern aesthetic"&amp;"s, this top-bending masterpiece gracefully follows elegant contours while its innovative anti-glare technology ensures a soft, flawless glow. Perfect for luxury commercial venues, minimalist interiors, or high-end landscape designs, it brings an atmospher"&amp;"e of pure mystery and contemporary elegance to any environment, making it the ultimate selection for designers who demand breathtaking impact without compromising on comfort.")</f>
        <v>Elevate your architectural designs with the Top View IP68 Honeycomb, a sophisticated linear lighting solution crafted to deliver seamless radiance and ultimate visual comfort. Featuring a dramatic black finish that blends beautifully with modern aesthetics, this top-bending masterpiece gracefully follows elegant contours while its innovative anti-glare technology ensures a soft, flawless glow. Perfect for luxury commercial venues, minimalist interiors, or high-end landscape designs, it brings an atmosphere of pure mystery and contemporary elegance to any environment, making it the ultimate selection for designers who demand breathtaking impact without compromising on comfort.</v>
      </c>
      <c r="G86" s="12" t="s">
        <v>389</v>
      </c>
      <c r="H86" s="13" t="str">
        <f>IFERROR(__xludf.DUMMYFUNCTION("AI(""Give me a paragraph marketing spiel for product in this row, no tech specs just marketing fluff under 180 characters "")"),"Elevate your designs with Top View Honeycomb, blending seamless radiance and sleek contemporary elegance to bring ultimate visual luxury and mystery to any modern space.")</f>
        <v>Elevate your designs with Top View Honeycomb, blending seamless radiance and sleek contemporary elegance to bring ultimate visual luxury and mystery to any modern space.</v>
      </c>
      <c r="I86" s="12" t="s">
        <v>390</v>
      </c>
      <c r="J86" s="14"/>
      <c r="K86" s="14"/>
      <c r="L86" s="15" t="s">
        <v>387</v>
      </c>
      <c r="M86" s="15" t="s">
        <v>391</v>
      </c>
      <c r="N8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""&amp;M86)"),"Power Consumption Rate | Color Temperature | Voltage | IP Rating | Dimension | Glare Control | Finish")</f>
        <v>Power Consumption Rate | Color Temperature | Voltage | IP Rating | Dimension | Glare Control | Finish</v>
      </c>
      <c r="O86" s="17" t="s">
        <v>392</v>
      </c>
      <c r="P8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""&amp;O86&amp;"", Values: ""&amp;M86&amp; "" and SKU Code: ""&amp;"&amp;"L86)"),"{""SKU"": ""TV1617-10W-2.2K-IP68-HC-BLK"", ""Power Consumption Rate"": ""10W/m"", ""Color Temperature"": ""2200K"", ""Voltage"": ""24V"", ""IP Rating"": ""IP68"", ""Dimension"": ""16mm (W) x 17mm (H)"", ""Glare Control"": ""Honeycomb Anti Glare Louvre"", "&amp;"""Finish"": ""Black""}")</f>
        <v>{"SKU": "TV1617-10W-2.2K-IP68-HC-BLK", "Power Consumption Rate": "10W/m", "Color Temperature": "2200K", "Voltage": "24V", "IP Rating": "IP68", "Dimension": "16mm (W) x 17mm (H)", "Glare Control": "Honeycomb Anti Glare Louvre", "Finish": "Black"}</v>
      </c>
      <c r="Q86" s="17" t="s">
        <v>393</v>
      </c>
      <c r="R86"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Q86:Q103)"),"{""SKU"": [""TV1617-10W-2.2K-IP68-HC-BLK"", ""TV1617-10W-2.7K-IP68-HC-BLK"", ""TV1617-10W-3K-IP68-HC-BLK"", ""TV1617-10W-4K-IP68-HC-BLK"", ""TV1617-15W-2.2K-IP68-HC-BLK"", ""TV1617-15W-2.7K-IP68-HC-BLK"", ""TV1617-15W-3K-IP68-HC-BLK"", ""TV1617-15W-4K-IP6"&amp;"8-HC-BLK"", ""TV1617-13W-TW-IP68-HC-BLK"", ""TV1617-10W-2.2K-IP68-HC"", ""TV1617-10W-2.7K-IP68-HC"", ""TV1617-10W-3K-IP68-HC"", ""TV1617-10W-4K-IP68-HC"", ""TV1617-15W-2.2K-IP68-HC"", ""TV1617-15W-2.7K-IP68-HC"", ""TV1617-15W-3K-IP68-HC"", ""TV1617-15W-4K"&amp;"-IP68-HC"", ""TV1617-13W-TW-IP68-HC""], ""Power Consumption Rate"": [""10W/m"", ""15W/m"", ""13W/m""], ""Color Temperature"": [""2200K"", ""2700K"", ""3000K"", ""4000K"", ""TW (2700K-5300K)""], ""Voltage"": ""24V"", ""IP Rating"": ""IP68"", ""Dimension"":"&amp;" ""16mm (W) x 17mm (H)"", ""Glare Control"": ""Honeycomb Anti Glare Louvre"", ""Finish"": ""Black""}")</f>
        <v>{"SKU": ["TV1617-10W-2.2K-IP68-HC-BLK", "TV1617-10W-2.7K-IP68-HC-BLK", "TV1617-10W-3K-IP68-HC-BLK", "TV1617-10W-4K-IP68-HC-BLK", "TV1617-15W-2.2K-IP68-HC-BLK", "TV1617-15W-2.7K-IP68-HC-BLK", "TV1617-15W-3K-IP68-HC-BLK", "TV1617-15W-4K-IP68-HC-BLK", "TV1617-13W-TW-IP68-HC-BLK", "TV1617-10W-2.2K-IP68-HC", "TV1617-10W-2.7K-IP68-HC", "TV1617-10W-3K-IP68-HC", "TV1617-10W-4K-IP68-HC", "TV1617-15W-2.2K-IP68-HC", "TV1617-15W-2.7K-IP68-HC", "TV1617-15W-3K-IP68-HC", "TV1617-15W-4K-IP68-HC", "TV1617-13W-TW-IP68-HC"], "Power Consumption Rate": ["10W/m", "15W/m", "13W/m"], "Color Temperature": ["2200K", "2700K", "3000K", "4000K", "TW (2700K-5300K)"], "Voltage": "24V", "IP Rating": "IP68", "Dimension": "16mm (W) x 17mm (H)", "Glare Control": "Honeycomb Anti Glare Louvre", "Finish": "Black"}</v>
      </c>
      <c r="S86" s="19" t="s">
        <v>394</v>
      </c>
      <c r="T86"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Q86:Q103)"),"{
""Options"": {
""Power Consumption Rate"": [
{""name"": ""10W/m"", ""id"": ""101""},
{""name"": ""15W/m"", ""id"": ""102""},
{""name"": ""13W/m"", ""id"": ""103""}
],
""Color Temperature"": [
{""name"": ""2200K"", ""id"": ""104""},
{""name"": ""2700K"","&amp;" ""id"": ""105""},
{""name"": ""3000K"", ""id"": ""106""},
{""name"": ""4000K"", ""id"": ""107""},
{""name"": ""TW (2700K-5300K)"", ""id"": ""108""}
],
""Voltage"": [
{""name"": ""24V"", ""id"": ""109""}
],
""IP Rating"": [
{""name"": ""IP68"", ""id"": """&amp;"110""}
],
""Dimension"": [
{""name"": ""16mm (W) x 17mm (H)"", ""id"": ""111""}
],
""Glare Control"": [
{""name"": ""Honeycomb Anti Glare Louvre"", ""id"": ""112""}
],
""Finish"": [
{""name"": ""Black"", ""id"": ""113""}
]
},
""Constraints"": {
""101"": ["&amp;"""108""],
""102"": [""108""],
""103"": [""104"", ""105"", ""106"", ""107""]
},
""sku_mappings"": [
{""sku"": ""TV1617-10W-2.2K-IP68-HC-BLK"", ""combination"": [""101"", ""104"", ""109"", ""110"", ""111"", ""112"", ""113""]},
{""sku"": ""TV1617-10W-2.7K-IP"&amp;"68-HC-BLK"", ""combination"": [""101"", ""105"", ""109"", ""110"", ""111"", ""112"", ""113""]},
{""sku"": ""TV1617-10W-3K-IP68-HC-BLK"", ""combination"": [""101"", ""106"", ""109"", ""110"", ""111"", ""112"", ""113""]},
{""sku"": ""TV1617-10W-4K-IP68-HC-B"&amp;"LK"", ""combination"": [""101"", ""107"", ""109"", ""110"", ""111"", ""112"", ""113""]},
{""sku"": ""TV1617-15W-2.2K-IP68-HC-BLK"", ""combination"": [""102"", ""104"", ""109"", ""110"", ""111"", ""112"", ""113""]},
{""sku"": ""TV1617-15W-2.7K-IP68-HC-BLK"&amp;""", ""combination"": [""102"", ""105"", ""109"", ""110"", ""111"", ""112"", ""113""]},
{""sku"": ""TV1617-15W-3K-IP68-HC-BLK"", ""combination"": [""102"", ""106"", ""109"", ""110"", ""111"", ""112"", ""113""]},
{""sku"": ""TV1617-15W-4K-IP68-HC-BLK"", ""c"&amp;"ombination"": [""102"", ""107"", ""109"", ""110"", ""111"", ""112"", ""113""]},
{""sku"": ""TV1617-13W-TW-IP68-HC-BLK"", ""combination"": [""103"", ""108"", ""109"", ""110"", ""111"", ""112"", ""113""]},
{""sku"": ""TV1617-10W-2.2K-IP68-HC"", ""combinatio"&amp;"n"": [""101"", ""104"", ""109"", ""110"", ""111"", ""112""]},
{""sku"": ""TV1617-10W-2.7K-IP68-HC"", ""combination"": [""101"", ""105"", ""109"", ""110"", ""111"", ""112""]},
{""sku"": ""TV1617-10W-3K-IP68-HC"", ""combination"": [""101"", ""106"", ""109"""&amp;", ""110"", ""111"", ""112""]},
{""sku"": ""TV1617-10W-4K-IP68-HC"", ""combination"": [""101"", ""107"", ""109"", ""110"", ""111"", ""112""]},
{""sku"": ""TV1617-15W-2.2K-IP68-HC"", ""combination"": [""102"", ""104"", ""109"", ""110"", ""111"", ""112""]},
"&amp;"{""sku"": ""TV1617-15W-2.7K-IP68-HC"", ""combination"": [""102"", ""105"", ""109"", ""110"", ""111"", ""112""]},
{""sku"": ""TV1617-15W-3K-IP68-HC"", ""combination"": [""102"", ""106"", ""109"", ""110"", ""111"", ""112""]},
{""sku"": ""TV1617-15W-4K-IP68-"&amp;"HC"", ""combination"": [""102"", ""107"", ""109"", ""110"", ""111"", ""112""]},
{""sku"": ""TV1617-13W-TW-IP68-HC"", ""combination"": [""103"", ""108"", ""109"", ""110"", ""111"", ""112""]}
]
}")</f>
        <v>{
"Options": {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"Glare Control": [
{"name": "Honeycomb Anti Glare Louvre", "id": "112"}
],
"Finish": [
{"name": "Black", "id": "113"}
]
},
"Constraints": {
"101": ["108"],
"102": ["108"],
"103": ["104", "105", "106", "107"]
},
"sku_mappings": [
{"sku": "TV1617-10W-2.2K-IP68-HC-BLK", "combination": ["101", "104", "109", "110", "111", "112", "113"]},
{"sku": "TV1617-10W-2.7K-IP68-HC-BLK", "combination": ["101", "105", "109", "110", "111", "112", "113"]},
{"sku": "TV1617-10W-3K-IP68-HC-BLK", "combination": ["101", "106", "109", "110", "111", "112", "113"]},
{"sku": "TV1617-10W-4K-IP68-HC-BLK", "combination": ["101", "107", "109", "110", "111", "112", "113"]},
{"sku": "TV1617-15W-2.2K-IP68-HC-BLK", "combination": ["102", "104", "109", "110", "111", "112", "113"]},
{"sku": "TV1617-15W-2.7K-IP68-HC-BLK", "combination": ["102", "105", "109", "110", "111", "112", "113"]},
{"sku": "TV1617-15W-3K-IP68-HC-BLK", "combination": ["102", "106", "109", "110", "111", "112", "113"]},
{"sku": "TV1617-15W-4K-IP68-HC-BLK", "combination": ["102", "107", "109", "110", "111", "112", "113"]},
{"sku": "TV1617-13W-TW-IP68-HC-BLK", "combination": ["103", "108", "109", "110", "111", "112", "113"]},
{"sku": "TV1617-10W-2.2K-IP68-HC", "combination": ["101", "104", "109", "110", "111", "112"]},
{"sku": "TV1617-10W-2.7K-IP68-HC", "combination": ["101", "105", "109", "110", "111", "112"]},
{"sku": "TV1617-10W-3K-IP68-HC", "combination": ["101", "106", "109", "110", "111", "112"]},
{"sku": "TV1617-10W-4K-IP68-HC", "combination": ["101", "107", "109", "110", "111", "112"]},
{"sku": "TV1617-15W-2.2K-IP68-HC", "combination": ["102", "104", "109", "110", "111", "112"]},
{"sku": "TV1617-15W-2.7K-IP68-HC", "combination": ["102", "105", "109", "110", "111", "112"]},
{"sku": "TV1617-15W-3K-IP68-HC", "combination": ["102", "106", "109", "110", "111", "112"]},
{"sku": "TV1617-15W-4K-IP68-HC", "combination": ["102", "107", "109", "110", "111", "112"]},
{"sku": "TV1617-13W-TW-IP68-HC", "combination": ["103", "108", "109", "110", "111", "112"]}
]
}</v>
      </c>
      <c r="U86" s="20" t="s">
        <v>395</v>
      </c>
      <c r="V86" s="21" t="str">
        <f>IFERROR(__xludf.DUMMYFUNCTION("AI(""Extract options object from the json"", U86)"),"{ ""Power Consumption Rate"": [ {""name"": ""10W/m"", ""id"": ""101""}, {""name"": ""15W/m"", ""id"": ""102""}, {""name"": ""13W/m"", ""id"": ""103""} ], ""Color Temperature"": [ {""name"": ""2200K"", ""id"": ""104""}, {""name"": ""2700K"", ""id"": ""105"&amp;"""}, {""name"": ""3000K"", ""id"": ""106""}, {""name"": ""4000K"", ""id"": ""107""}, {""name"": ""TW (2700K-5300K)"", ""id"": ""108""} ], ""Voltage"": [ {""name"": ""24V"", ""id"": ""109""} ], ""IP Rating"": [ {""name"": ""IP68"", ""id"": ""110""} ], ""Di"&amp;"mension"": [ {""name"": ""16mm (W) x 17mm (H)"", ""id"": ""111""} ], ""Glare Control"": [ {""name"": ""Honeycomb Anti Glare Louvre"", ""id"": ""112""} ], ""Finish"": [ {""name"": ""Black"", ""id"": ""113""} ] }")</f>
        <v>{ "Power Consumption Rate": [ {"name": "10W/m", "id": "101"}, {"name": "15W/m", "id": "102"}, {"name": "13W/m", "id": "103"} ], "Color Temperature": [ {"name": "2200K", "id": "104"}, {"name": "2700K", "id": "105"}, {"name": "3000K", "id": "106"}, {"name": "4000K", "id": "107"}, {"name": "TW (2700K-5300K)", "id": "108"} ], "Voltage": [ {"name": "24V", "id": "109"} ], "IP Rating": [ {"name": "IP68", "id": "110"} ], "Dimension": [ {"name": "16mm (W) x 17mm (H)", "id": "111"} ], "Glare Control": [ {"name": "Honeycomb Anti Glare Louvre", "id": "112"} ], "Finish": [ {"name": "Black", "id": "113"} ] }</v>
      </c>
      <c r="W86" s="21" t="str">
        <f>IFERROR(__xludf.DUMMYFUNCTION("AI(""Extract constraints object from the json"", U86)"),"{ ""101"": [""108""], ""102"": [""108""], ""103"": [""104"", ""105"", ""106"", ""107""] }")</f>
        <v>{ "101": ["108"], "102": ["108"], "103": ["104", "105", "106", "107"] }</v>
      </c>
      <c r="X86" s="21" t="str">
        <f>IFERROR(__xludf.DUMMYFUNCTION("AI(""Extract sku_mappings object from the json"", U86)"),"[{""sku"": ""TV1617-10W-2.2K-IP68-HC-BLK"", ""combination"": [""101"", ""104"", ""109"", ""110"", ""111"", ""112"", ""113""]}, {""sku"": ""TV1617-10W-2.7K-IP68-HC-BLK"", ""combination"": [""101"", ""105"", ""109"", ""110"", ""111"", ""112"", ""113""]}, {"&amp;"""sku"": ""TV1617-10W-3K-IP68-HC-BLK"", ""combination"": [""101"", ""106"", ""109"", ""110"", ""111"", ""112"", ""113""]}, {""sku"": ""TV1617-10W-4K-IP68-HC-BLK"", ""combination"": [""101"", ""107"", ""109"", ""110"", ""111"", ""112"", ""113""]}, {""sku"""&amp;": ""TV1617-15W-2.2K-IP68-HC-BLK"", ""combination"": [""102"", ""104"", ""109"", ""110"", ""111"", ""112"", ""113""]}, {""sku"": ""TV1617-15W-2.7K-IP68-HC-BLK"", ""combination"": [""102"", ""105"", ""109"", ""110"", ""111"", ""112"", ""113""]}, {""sku"": "&amp;"""TV1617-15W-3K-IP68-HC-BLK"", ""combination"": [""102"", ""106"", ""109"", ""110"", ""111"", ""112"", ""113""]}, {""sku"": ""TV1617-15W-4K-IP68-HC-BLK"", ""combination"": [""102"", ""107"", ""109"", ""110"", ""111"", ""112"", ""113""]}, {""sku"": ""TV161"&amp;"7-13W-TW-IP68-HC-BLK"", ""combination"": [""103"", ""108"", ""109"", ""110"", ""111"", ""112"", ""113""]}, {""sku"": ""TV1617-10W-2.2K-IP68-HC"", ""combination"": [""101"", ""104"", ""109"", ""110"", ""111"", ""112""]}, {""sku"": ""TV1617-10W-2.7K-IP68-HC"&amp;""", ""combination"": [""101"", ""105"", ""109"", ""110"", ""111"", ""112""]}, {""sku"": ""TV1617-10W-3K-IP68-HC"", ""combination"": [""101"", ""106"", ""109"", ""110"", ""111"", ""112""]}, {""sku"": ""TV1617-10W-4K-IP68-HC"", ""combination"": [""101"", """&amp;"107"", ""109"", ""110"", ""111"", ""112""]}, {""sku"": ""TV1617-15W-2.2K-IP68-HC"", ""combination"": [""102"", ""104"", ""109"", ""110"", ""111"", ""112""]}, {""sku"": ""TV1617-15W-2.7K-IP68-HC"", ""combination"": [""102"", ""105"", ""109"", ""110"", ""11"&amp;"1"", ""112""]}, {""sku"": ""TV1617-15W-3K-IP68-HC"", ""combination"": [""102"", ""106"", ""109"", ""110"", ""111"", ""112""]}, {""sku"": ""TV1617-15W-4K-IP68-HC"", ""combination"": [""102"", ""107"", ""109"", ""110"", ""111"", ""112""]}, {""sku"": ""TV161"&amp;"7-13W-TW-IP68-HC"", ""combination"": [""103"", ""108"", ""109"", ""110"", ""111"", ""112""]}]")</f>
        <v>[{"sku": "TV1617-10W-2.2K-IP68-HC-BLK", "combination": ["101", "104", "109", "110", "111", "112", "113"]}, {"sku": "TV1617-10W-2.7K-IP68-HC-BLK", "combination": ["101", "105", "109", "110", "111", "112", "113"]}, {"sku": "TV1617-10W-3K-IP68-HC-BLK", "combination": ["101", "106", "109", "110", "111", "112", "113"]}, {"sku": "TV1617-10W-4K-IP68-HC-BLK", "combination": ["101", "107", "109", "110", "111", "112", "113"]}, {"sku": "TV1617-15W-2.2K-IP68-HC-BLK", "combination": ["102", "104", "109", "110", "111", "112", "113"]}, {"sku": "TV1617-15W-2.7K-IP68-HC-BLK", "combination": ["102", "105", "109", "110", "111", "112", "113"]}, {"sku": "TV1617-15W-3K-IP68-HC-BLK", "combination": ["102", "106", "109", "110", "111", "112", "113"]}, {"sku": "TV1617-15W-4K-IP68-HC-BLK", "combination": ["102", "107", "109", "110", "111", "112", "113"]}, {"sku": "TV1617-13W-TW-IP68-HC-BLK", "combination": ["103", "108", "109", "110", "111", "112", "113"]}, {"sku": "TV1617-10W-2.2K-IP68-HC", "combination": ["101", "104", "109", "110", "111", "112"]}, {"sku": "TV1617-10W-2.7K-IP68-HC", "combination": ["101", "105", "109", "110", "111", "112"]}, {"sku": "TV1617-10W-3K-IP68-HC", "combination": ["101", "106", "109", "110", "111", "112"]}, {"sku": "TV1617-10W-4K-IP68-HC", "combination": ["101", "107", "109", "110", "111", "112"]}, {"sku": "TV1617-15W-2.2K-IP68-HC", "combination": ["102", "104", "109", "110", "111", "112"]}, {"sku": "TV1617-15W-2.7K-IP68-HC", "combination": ["102", "105", "109", "110", "111", "112"]}, {"sku": "TV1617-15W-3K-IP68-HC", "combination": ["102", "106", "109", "110", "111", "112"]}, {"sku": "TV1617-15W-4K-IP68-HC", "combination": ["102", "107", "109", "110", "111", "112"]}, {"sku": "TV1617-13W-TW-IP68-HC", "combination": ["103", "108", "109", "110", "111", "112"]}]</v>
      </c>
      <c r="Y86" s="12" t="s">
        <v>42</v>
      </c>
      <c r="Z86" s="12" t="s">
        <v>396</v>
      </c>
      <c r="AA86" s="23" t="s">
        <v>44</v>
      </c>
      <c r="AB86" s="24"/>
      <c r="AC86" s="24" t="str">
        <f>IFERROR(__xludf.DUMMYFUNCTION("AI(""Generate 6 powerful unique keywords for the product in this row"")"),"Top View Honeycomb, Anti-glare linear lighting, Waterproof light ribbon, Flexible black contour illumination, Luxury architectural LED, Premium commercial light")</f>
        <v>Top View Honeycomb, Anti-glare linear lighting, Waterproof light ribbon, Flexible black contour illumination, Luxury architectural LED, Premium commercial light</v>
      </c>
      <c r="AD86" s="24" t="s">
        <v>397</v>
      </c>
    </row>
    <row r="87" ht="30.0" customHeight="1">
      <c r="A87" s="25"/>
      <c r="B87" s="12"/>
      <c r="C87" s="12"/>
      <c r="D87" s="13"/>
      <c r="E87" s="12"/>
      <c r="F87" s="27"/>
      <c r="G87" s="14"/>
      <c r="H87" s="27"/>
      <c r="I87" s="14"/>
      <c r="J87" s="14"/>
      <c r="K87" s="14"/>
      <c r="L87" s="15" t="s">
        <v>398</v>
      </c>
      <c r="M87" s="15" t="s">
        <v>399</v>
      </c>
      <c r="N8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""&amp;M87)"),"Power Consumption Rate | Color Temperature | Voltage | IP Rating | Dimension | Glare Control | Finish")</f>
        <v>Power Consumption Rate | Color Temperature | Voltage | IP Rating | Dimension | Glare Control | Finish</v>
      </c>
      <c r="O87" s="17" t="s">
        <v>392</v>
      </c>
      <c r="P8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""&amp;O87&amp;"", Values: ""&amp;M87&amp; "" and SKU Code: ""&amp;"&amp;"L87)"),"{""Power Consumption Rate"": ""10W/m"", ""Color Temperature"": ""2700K"", ""Voltage"": ""24V"", ""IP Rating"": ""IP68"", ""Dimension"": ""16mm (W) x 17mm (H)"", ""Glare Control"": ""Honeycomb Anti Glare Louvre"", ""Finish"": ""Black"", ""SKU"": ""TV1617-1"&amp;"0W-2.7K-IP68-HC-BLK""}")</f>
        <v>{"Power Consumption Rate": "10W/m", "Color Temperature": "2700K", "Voltage": "24V", "IP Rating": "IP68", "Dimension": "16mm (W) x 17mm (H)", "Glare Control": "Honeycomb Anti Glare Louvre", "Finish": "Black", "SKU": "TV1617-10W-2.7K-IP68-HC-BLK"}</v>
      </c>
      <c r="Q87" s="17" t="s">
        <v>400</v>
      </c>
      <c r="R87" s="28"/>
      <c r="S87" s="29"/>
      <c r="T87" s="33"/>
      <c r="U87" s="34"/>
      <c r="V87" s="33"/>
      <c r="W87" s="33"/>
      <c r="X87" s="33"/>
      <c r="Y87" s="12" t="s">
        <v>42</v>
      </c>
      <c r="Z87" s="12" t="s">
        <v>396</v>
      </c>
      <c r="AA87" s="23" t="s">
        <v>44</v>
      </c>
      <c r="AB87" s="24"/>
      <c r="AC87" s="24"/>
      <c r="AD87" s="24"/>
    </row>
    <row r="88" ht="30.0" customHeight="1">
      <c r="A88" s="25"/>
      <c r="B88" s="14"/>
      <c r="C88" s="14"/>
      <c r="D88" s="26"/>
      <c r="E88" s="14"/>
      <c r="F88" s="27"/>
      <c r="G88" s="14"/>
      <c r="H88" s="27"/>
      <c r="I88" s="14"/>
      <c r="J88" s="14"/>
      <c r="K88" s="14"/>
      <c r="L88" s="15" t="s">
        <v>401</v>
      </c>
      <c r="M88" s="15" t="s">
        <v>402</v>
      </c>
      <c r="N8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""&amp;M88)"),"Power Consumption Rate | Color Temperature | Voltage | IP Rating | Dimension | Glare Control | Finish")</f>
        <v>Power Consumption Rate | Color Temperature | Voltage | IP Rating | Dimension | Glare Control | Finish</v>
      </c>
      <c r="O88" s="17" t="s">
        <v>392</v>
      </c>
      <c r="P8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""&amp;O88&amp;"", Values: ""&amp;M88&amp; "" and SKU Code: ""&amp;"&amp;"L88)"),"{""Power Consumption Rate"": ""10W/m"", ""Color Temperature"": ""3000K"", ""Voltage"": ""24V"", ""IP Rating"": ""IP68"", ""Dimension"": ""16mm (W) x 17mm (H)"", ""Glare Control"": ""Honeycomb Anti Glare Louvre"", ""Finish"": ""Black"", ""SKU"": ""TV1617-1"&amp;"0W-3K-IP68-HC-BLK""}")</f>
        <v>{"Power Consumption Rate": "10W/m", "Color Temperature": "3000K", "Voltage": "24V", "IP Rating": "IP68", "Dimension": "16mm (W) x 17mm (H)", "Glare Control": "Honeycomb Anti Glare Louvre", "Finish": "Black", "SKU": "TV1617-10W-3K-IP68-HC-BLK"}</v>
      </c>
      <c r="Q88" s="17" t="s">
        <v>403</v>
      </c>
      <c r="R88" s="28"/>
      <c r="S88" s="29"/>
      <c r="T88" s="33"/>
      <c r="U88" s="34"/>
      <c r="V88" s="33"/>
      <c r="W88" s="33"/>
      <c r="X88" s="33"/>
      <c r="Y88" s="12" t="s">
        <v>42</v>
      </c>
      <c r="Z88" s="12" t="s">
        <v>396</v>
      </c>
      <c r="AA88" s="23" t="s">
        <v>44</v>
      </c>
      <c r="AB88" s="24"/>
      <c r="AC88" s="24"/>
      <c r="AD88" s="24"/>
    </row>
    <row r="89" ht="30.0" customHeight="1">
      <c r="A89" s="25"/>
      <c r="B89" s="14"/>
      <c r="C89" s="14"/>
      <c r="D89" s="26"/>
      <c r="E89" s="14"/>
      <c r="F89" s="27"/>
      <c r="G89" s="14"/>
      <c r="H89" s="27"/>
      <c r="I89" s="14"/>
      <c r="J89" s="14"/>
      <c r="K89" s="14"/>
      <c r="L89" s="15" t="s">
        <v>404</v>
      </c>
      <c r="M89" s="15" t="s">
        <v>405</v>
      </c>
      <c r="N8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""&amp;M89)"),"Power Consumption Rate | Color Temperature | Voltage | IP Rating | Dimension | Glare Control | Finish")</f>
        <v>Power Consumption Rate | Color Temperature | Voltage | IP Rating | Dimension | Glare Control | Finish</v>
      </c>
      <c r="O89" s="17" t="s">
        <v>392</v>
      </c>
      <c r="P8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""&amp;O89&amp;"", Values: ""&amp;M89&amp; "" and SKU Code: ""&amp;"&amp;"L89)"),"{""Power Consumption Rate"": ""10W/m"", ""Color Temperature"": ""4000K"", ""Voltage"": ""24V"", ""IP Rating"": ""IP68"", ""Dimension"": ""16mm (W) x 17mm (H)"", ""Glare Control"": ""Honeycomb Anti Glare Louvre"", ""Finish"": ""Black"", ""SKU"": ""TV1617-1"&amp;"0W-4K-IP68-HC-BLK""}")</f>
        <v>{"Power Consumption Rate": "10W/m", "Color Temperature": "4000K", "Voltage": "24V", "IP Rating": "IP68", "Dimension": "16mm (W) x 17mm (H)", "Glare Control": "Honeycomb Anti Glare Louvre", "Finish": "Black", "SKU": "TV1617-10W-4K-IP68-HC-BLK"}</v>
      </c>
      <c r="Q89" s="17" t="s">
        <v>406</v>
      </c>
      <c r="R89" s="28"/>
      <c r="S89" s="29"/>
      <c r="T89" s="33"/>
      <c r="U89" s="34"/>
      <c r="V89" s="33"/>
      <c r="W89" s="33"/>
      <c r="X89" s="33"/>
      <c r="Y89" s="12" t="s">
        <v>42</v>
      </c>
      <c r="Z89" s="12" t="s">
        <v>396</v>
      </c>
      <c r="AA89" s="23" t="s">
        <v>44</v>
      </c>
      <c r="AB89" s="24"/>
      <c r="AC89" s="24"/>
      <c r="AD89" s="24"/>
    </row>
    <row r="90" ht="30.0" customHeight="1">
      <c r="A90" s="25"/>
      <c r="B90" s="14"/>
      <c r="C90" s="14"/>
      <c r="D90" s="26"/>
      <c r="E90" s="14"/>
      <c r="F90" s="27"/>
      <c r="G90" s="14"/>
      <c r="H90" s="27"/>
      <c r="I90" s="14"/>
      <c r="J90" s="14"/>
      <c r="K90" s="14"/>
      <c r="L90" s="15" t="s">
        <v>407</v>
      </c>
      <c r="M90" s="15" t="s">
        <v>408</v>
      </c>
      <c r="N9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""&amp;M90)"),"Power Consumption Rate | Color Temperature | Voltage | IP Rating | Dimension | Glare Control | Finish")</f>
        <v>Power Consumption Rate | Color Temperature | Voltage | IP Rating | Dimension | Glare Control | Finish</v>
      </c>
      <c r="O90" s="17" t="s">
        <v>392</v>
      </c>
      <c r="P9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""&amp;O90&amp;"", Values: ""&amp;M90&amp; "" and SKU Code: ""&amp;"&amp;"L90)"),"{""Power Consumption Rate"": ""15W/m"", ""Color Temperature"": ""2200K"", ""Voltage"": ""24V"", ""IP Rating"": ""IP68"", ""Dimension"": ""16mm (W) x 17mm (H)"", ""Glare Control"": ""Honeycomb Anti Glare Louvre"", ""Finish"": ""Black"", ""SKU"": ""TV1617-1"&amp;"5W-2.2K-IP68-HC-BLK""}")</f>
        <v>{"Power Consumption Rate": "15W/m", "Color Temperature": "2200K", "Voltage": "24V", "IP Rating": "IP68", "Dimension": "16mm (W) x 17mm (H)", "Glare Control": "Honeycomb Anti Glare Louvre", "Finish": "Black", "SKU": "TV1617-15W-2.2K-IP68-HC-BLK"}</v>
      </c>
      <c r="Q90" s="17" t="s">
        <v>409</v>
      </c>
      <c r="R90" s="28"/>
      <c r="S90" s="29"/>
      <c r="T90" s="33"/>
      <c r="U90" s="34"/>
      <c r="V90" s="33"/>
      <c r="W90" s="33"/>
      <c r="X90" s="33"/>
      <c r="Y90" s="12" t="s">
        <v>42</v>
      </c>
      <c r="Z90" s="12" t="s">
        <v>396</v>
      </c>
      <c r="AA90" s="23" t="s">
        <v>44</v>
      </c>
      <c r="AB90" s="24"/>
      <c r="AC90" s="24"/>
      <c r="AD90" s="24"/>
    </row>
    <row r="91" ht="30.0" customHeight="1">
      <c r="A91" s="25"/>
      <c r="B91" s="14"/>
      <c r="C91" s="14"/>
      <c r="D91" s="26"/>
      <c r="E91" s="14"/>
      <c r="F91" s="27"/>
      <c r="G91" s="14"/>
      <c r="H91" s="27"/>
      <c r="I91" s="14"/>
      <c r="J91" s="14"/>
      <c r="K91" s="14"/>
      <c r="L91" s="15" t="s">
        <v>410</v>
      </c>
      <c r="M91" s="15" t="s">
        <v>411</v>
      </c>
      <c r="N9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""&amp;M91)"),"Power Consumption Rate | Color Temperature | Voltage | IP Rating | Dimension | Glare Control | Finish")</f>
        <v>Power Consumption Rate | Color Temperature | Voltage | IP Rating | Dimension | Glare Control | Finish</v>
      </c>
      <c r="O91" s="17" t="s">
        <v>392</v>
      </c>
      <c r="P9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""&amp;O91&amp;"", Values: ""&amp;M91&amp; "" and SKU Code: ""&amp;"&amp;"L91)"),"{""Power Consumption Rate"": ""15W/m"", ""Color Temperature"": ""2700K"", ""Voltage"": ""24V"", ""IP Rating"": ""IP68"", ""Dimension"": ""16mm (W) x 17mm (H)"", ""Glare Control"": ""Honeycomb Anti Glare Louvre"", ""Finish"": ""Black"", ""SKU"": ""TV1617-1"&amp;"5W-2.7K-IP68-HC-BLK""}")</f>
        <v>{"Power Consumption Rate": "15W/m", "Color Temperature": "2700K", "Voltage": "24V", "IP Rating": "IP68", "Dimension": "16mm (W) x 17mm (H)", "Glare Control": "Honeycomb Anti Glare Louvre", "Finish": "Black", "SKU": "TV1617-15W-2.7K-IP68-HC-BLK"}</v>
      </c>
      <c r="Q91" s="17" t="s">
        <v>412</v>
      </c>
      <c r="R91" s="28"/>
      <c r="S91" s="29"/>
      <c r="T91" s="33"/>
      <c r="U91" s="34"/>
      <c r="V91" s="33"/>
      <c r="W91" s="33"/>
      <c r="X91" s="33"/>
      <c r="Y91" s="12" t="s">
        <v>42</v>
      </c>
      <c r="Z91" s="12" t="s">
        <v>396</v>
      </c>
      <c r="AA91" s="23" t="s">
        <v>44</v>
      </c>
      <c r="AB91" s="24"/>
      <c r="AC91" s="24"/>
      <c r="AD91" s="24"/>
    </row>
    <row r="92" ht="30.0" customHeight="1">
      <c r="A92" s="25"/>
      <c r="B92" s="12"/>
      <c r="C92" s="12"/>
      <c r="D92" s="13"/>
      <c r="E92" s="12"/>
      <c r="F92" s="27"/>
      <c r="G92" s="14"/>
      <c r="H92" s="27"/>
      <c r="I92" s="14"/>
      <c r="J92" s="14"/>
      <c r="K92" s="14"/>
      <c r="L92" s="15" t="s">
        <v>413</v>
      </c>
      <c r="M92" s="15" t="s">
        <v>414</v>
      </c>
      <c r="N9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""&amp;M92)"),"Power Consumption Rate | Color Temperature | Voltage | IP Rating | Dimension | Glare Control | Finish")</f>
        <v>Power Consumption Rate | Color Temperature | Voltage | IP Rating | Dimension | Glare Control | Finish</v>
      </c>
      <c r="O92" s="17" t="s">
        <v>392</v>
      </c>
      <c r="P9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""&amp;O92&amp;"", Values: ""&amp;M92&amp; "" and SKU Code: ""&amp;"&amp;"L92)"),"{""Power Consumption Rate"": ""15W/m"", ""Color Temperature"": ""3000K"", ""Voltage"": ""24V"", ""IP Rating"": ""IP68"", ""Dimension"": ""16mm (W) x 17mm (H)"", ""Glare Control"": ""Honeycomb Anti Glare Louvre"", ""Finish"": ""Black"", ""SKU"": ""TV1617-1"&amp;"5W-3K-IP68-HC-BLK""}")</f>
        <v>{"Power Consumption Rate": "15W/m", "Color Temperature": "3000K", "Voltage": "24V", "IP Rating": "IP68", "Dimension": "16mm (W) x 17mm (H)", "Glare Control": "Honeycomb Anti Glare Louvre", "Finish": "Black", "SKU": "TV1617-15W-3K-IP68-HC-BLK"}</v>
      </c>
      <c r="Q92" s="17" t="s">
        <v>415</v>
      </c>
      <c r="R92" s="28"/>
      <c r="S92" s="29"/>
      <c r="T92" s="33"/>
      <c r="U92" s="34"/>
      <c r="V92" s="33"/>
      <c r="W92" s="33"/>
      <c r="X92" s="33"/>
      <c r="Y92" s="12" t="s">
        <v>42</v>
      </c>
      <c r="Z92" s="12" t="s">
        <v>396</v>
      </c>
      <c r="AA92" s="23" t="s">
        <v>44</v>
      </c>
      <c r="AB92" s="24"/>
      <c r="AC92" s="24"/>
      <c r="AD92" s="24"/>
    </row>
    <row r="93" ht="30.0" customHeight="1">
      <c r="A93" s="25"/>
      <c r="B93" s="14"/>
      <c r="C93" s="14"/>
      <c r="D93" s="26"/>
      <c r="E93" s="14"/>
      <c r="F93" s="27"/>
      <c r="G93" s="14"/>
      <c r="H93" s="27"/>
      <c r="I93" s="14"/>
      <c r="J93" s="14"/>
      <c r="K93" s="14"/>
      <c r="L93" s="15" t="s">
        <v>416</v>
      </c>
      <c r="M93" s="15" t="s">
        <v>417</v>
      </c>
      <c r="N9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""&amp;M93)"),"Power Consumption Rate | Color Temperature | Voltage | IP Rating | Dimension | Glare Control | Finish")</f>
        <v>Power Consumption Rate | Color Temperature | Voltage | IP Rating | Dimension | Glare Control | Finish</v>
      </c>
      <c r="O93" s="17" t="s">
        <v>392</v>
      </c>
      <c r="P9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""&amp;O93&amp;"", Values: ""&amp;M93&amp; "" and SKU Code: ""&amp;"&amp;"L93)"),"{""SKU"": ""TV1617-15W-4K-IP68-HC-BLK"", ""Power Consumption Rate"": ""15W/m"", ""Color Temperature"": ""4000K"", ""Voltage"": ""24V"", ""IP Rating"": ""IP68"", ""Dimension"": ""16mm (W) x 17mm (H)"", ""Glare Control"": ""Honeycomb Anti Glare Louvre"", """&amp;"Finish"": ""Black""}")</f>
        <v>{"SKU": "TV1617-15W-4K-IP68-HC-BLK", "Power Consumption Rate": "15W/m", "Color Temperature": "4000K", "Voltage": "24V", "IP Rating": "IP68", "Dimension": "16mm (W) x 17mm (H)", "Glare Control": "Honeycomb Anti Glare Louvre", "Finish": "Black"}</v>
      </c>
      <c r="Q93" s="17" t="s">
        <v>418</v>
      </c>
      <c r="R93" s="28"/>
      <c r="S93" s="29"/>
      <c r="T93" s="33"/>
      <c r="U93" s="34"/>
      <c r="V93" s="33"/>
      <c r="W93" s="33"/>
      <c r="X93" s="33"/>
      <c r="Y93" s="12" t="s">
        <v>42</v>
      </c>
      <c r="Z93" s="12" t="s">
        <v>396</v>
      </c>
      <c r="AA93" s="23" t="s">
        <v>44</v>
      </c>
      <c r="AB93" s="24"/>
      <c r="AC93" s="24"/>
      <c r="AD93" s="24"/>
    </row>
    <row r="94" ht="30.0" customHeight="1">
      <c r="A94" s="25"/>
      <c r="B94" s="14"/>
      <c r="C94" s="14"/>
      <c r="D94" s="26"/>
      <c r="E94" s="14"/>
      <c r="F94" s="27"/>
      <c r="G94" s="14"/>
      <c r="H94" s="27"/>
      <c r="I94" s="14"/>
      <c r="J94" s="14"/>
      <c r="K94" s="14"/>
      <c r="L94" s="15" t="s">
        <v>419</v>
      </c>
      <c r="M94" s="15" t="s">
        <v>420</v>
      </c>
      <c r="N9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""&amp;M94)"),"Power Consumption Rate | Color Temperature | Voltage | IP Rating | Dimension | Glare Control | Finish")</f>
        <v>Power Consumption Rate | Color Temperature | Voltage | IP Rating | Dimension | Glare Control | Finish</v>
      </c>
      <c r="O94" s="17" t="s">
        <v>392</v>
      </c>
      <c r="P9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""&amp;O94&amp;"", Values: ""&amp;M94&amp; "" and SKU Code: ""&amp;"&amp;"L94)"),"{""Power Consumption Rate"": ""13W/m"", ""Color Temperature"": ""TW (2700K-5300K)"", ""Voltage"": ""24V"", ""IP Rating"": ""IP68"", ""Dimension"": ""16mm (W) x 17mm (H)"", ""Glare Control"": ""Honeycomb Anti Glare Louvre"", ""Finish"": ""Black"", ""SKU"":"&amp;" ""TV1617-13W-TW-IP68-HC-BLK""}")</f>
        <v>{"Power Consumption Rate": "13W/m", "Color Temperature": "TW (2700K-5300K)", "Voltage": "24V", "IP Rating": "IP68", "Dimension": "16mm (W) x 17mm (H)", "Glare Control": "Honeycomb Anti Glare Louvre", "Finish": "Black", "SKU": "TV1617-13W-TW-IP68-HC-BLK"}</v>
      </c>
      <c r="Q94" s="17" t="s">
        <v>421</v>
      </c>
      <c r="R94" s="28"/>
      <c r="S94" s="29"/>
      <c r="T94" s="33"/>
      <c r="U94" s="34"/>
      <c r="V94" s="33"/>
      <c r="W94" s="33"/>
      <c r="X94" s="33"/>
      <c r="Y94" s="12" t="s">
        <v>42</v>
      </c>
      <c r="Z94" s="12" t="s">
        <v>396</v>
      </c>
      <c r="AA94" s="23" t="s">
        <v>44</v>
      </c>
      <c r="AB94" s="24"/>
      <c r="AC94" s="24"/>
      <c r="AD94" s="24"/>
    </row>
    <row r="95" ht="30.0" customHeight="1">
      <c r="A95" s="25"/>
      <c r="B95" s="14"/>
      <c r="C95" s="14"/>
      <c r="D95" s="26"/>
      <c r="E95" s="14"/>
      <c r="F95" s="27"/>
      <c r="G95" s="14"/>
      <c r="H95" s="27"/>
      <c r="I95" s="14"/>
      <c r="J95" s="14"/>
      <c r="K95" s="14"/>
      <c r="L95" s="15" t="s">
        <v>422</v>
      </c>
      <c r="M95" s="15" t="s">
        <v>423</v>
      </c>
      <c r="N9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""&amp;M95)"),"Power Consumption Rate | Color Temperature | Voltage | IP Rating | Dimension | Glare Control")</f>
        <v>Power Consumption Rate | Color Temperature | Voltage | IP Rating | Dimension | Glare Control</v>
      </c>
      <c r="O95" s="17" t="s">
        <v>424</v>
      </c>
      <c r="P9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""&amp;O95&amp;"", Values: ""&amp;M95&amp; "" and SKU Code: ""&amp;"&amp;"L95)"),"{""Power Consumption Rate"": ""10W/m"", ""Color Temperature"": ""2200K"", ""Voltage"": ""24V"", ""IP Rating"": ""IP68"", ""Dimension"": ""16mm (W) x 17mm (H)"", ""Glare Control"": ""Honeycomb Anti Glare Louvre"", ""SKU"": ""TV1617-10W-2.2K-IP68-HC""}")</f>
        <v>{"Power Consumption Rate": "10W/m", "Color Temperature": "2200K", "Voltage": "24V", "IP Rating": "IP68", "Dimension": "16mm (W) x 17mm (H)", "Glare Control": "Honeycomb Anti Glare Louvre", "SKU": "TV1617-10W-2.2K-IP68-HC"}</v>
      </c>
      <c r="Q95" s="17" t="s">
        <v>425</v>
      </c>
      <c r="R95" s="28"/>
      <c r="S95" s="29"/>
      <c r="T95" s="33"/>
      <c r="U95" s="34"/>
      <c r="V95" s="33"/>
      <c r="W95" s="33"/>
      <c r="X95" s="33"/>
      <c r="Y95" s="12" t="s">
        <v>42</v>
      </c>
      <c r="Z95" s="12" t="s">
        <v>426</v>
      </c>
      <c r="AA95" s="23" t="s">
        <v>44</v>
      </c>
      <c r="AB95" s="24"/>
      <c r="AC95" s="24"/>
      <c r="AD95" s="24"/>
    </row>
    <row r="96" ht="30.0" customHeight="1">
      <c r="A96" s="25"/>
      <c r="B96" s="14"/>
      <c r="C96" s="14"/>
      <c r="D96" s="26"/>
      <c r="E96" s="14"/>
      <c r="F96" s="27"/>
      <c r="G96" s="14"/>
      <c r="H96" s="27"/>
      <c r="I96" s="14"/>
      <c r="J96" s="14"/>
      <c r="K96" s="14"/>
      <c r="L96" s="15" t="s">
        <v>427</v>
      </c>
      <c r="M96" s="15" t="s">
        <v>428</v>
      </c>
      <c r="N9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""&amp;M96)"),"Power Consumption Rate | Color Temperature | Voltage | IP Rating | Dimension | Glare Control")</f>
        <v>Power Consumption Rate | Color Temperature | Voltage | IP Rating | Dimension | Glare Control</v>
      </c>
      <c r="O96" s="17" t="s">
        <v>424</v>
      </c>
      <c r="P9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""&amp;O96&amp;"", Values: ""&amp;M96&amp; "" and SKU Code: ""&amp;"&amp;"L96)"),"{""SKU"": ""TV1617-10W-2.7K-IP68-HC"", ""Power Consumption Rate"": ""10W/m"", ""Color Temperature"": ""2700K"", ""Voltage"": ""24V"", ""IP Rating"": ""IP68"", ""Dimension"": ""16mm (W) x 17mm (H)"", ""Glare Control"": ""Honeycomb Anti Glare Louvre""}")</f>
        <v>{"SKU": "TV1617-10W-2.7K-IP68-HC", "Power Consumption Rate": "10W/m", "Color Temperature": "2700K", "Voltage": "24V", "IP Rating": "IP68", "Dimension": "16mm (W) x 17mm (H)", "Glare Control": "Honeycomb Anti Glare Louvre"}</v>
      </c>
      <c r="Q96" s="17" t="s">
        <v>429</v>
      </c>
      <c r="R96" s="28"/>
      <c r="S96" s="29"/>
      <c r="T96" s="33"/>
      <c r="U96" s="34"/>
      <c r="V96" s="33"/>
      <c r="W96" s="33"/>
      <c r="X96" s="33"/>
      <c r="Y96" s="12" t="s">
        <v>42</v>
      </c>
      <c r="Z96" s="12" t="s">
        <v>426</v>
      </c>
      <c r="AA96" s="23" t="s">
        <v>44</v>
      </c>
      <c r="AB96" s="24"/>
      <c r="AC96" s="24"/>
      <c r="AD96" s="24"/>
    </row>
    <row r="97" ht="30.0" customHeight="1">
      <c r="A97" s="25"/>
      <c r="B97" s="14"/>
      <c r="C97" s="14"/>
      <c r="D97" s="26"/>
      <c r="E97" s="14"/>
      <c r="F97" s="27"/>
      <c r="G97" s="14"/>
      <c r="H97" s="27"/>
      <c r="I97" s="14"/>
      <c r="J97" s="14"/>
      <c r="K97" s="14"/>
      <c r="L97" s="15" t="s">
        <v>430</v>
      </c>
      <c r="M97" s="15" t="s">
        <v>431</v>
      </c>
      <c r="N9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""&amp;M97)"),"Power Consumption Rate | Color Temperature | Voltage | IP Rating | Dimension | Glare Control")</f>
        <v>Power Consumption Rate | Color Temperature | Voltage | IP Rating | Dimension | Glare Control</v>
      </c>
      <c r="O97" s="17" t="s">
        <v>424</v>
      </c>
      <c r="P9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""&amp;O97&amp;"", Values: ""&amp;M97&amp; "" and SKU Code: ""&amp;"&amp;"L97)"),"{""Power Consumption Rate"": ""10W/m"", ""Color Temperature"": ""3000K"", ""Voltage"": ""24V"", ""IP Rating"": ""IP68"", ""Dimension"": ""16mm (W) x 17mm (H)"", ""Glare Control"": ""Honeycomb Anti Glare Louvre"", ""SKU"": ""TV1617-10W-3K-IP68-HC""}")</f>
        <v>{"Power Consumption Rate": "10W/m", "Color Temperature": "3000K", "Voltage": "24V", "IP Rating": "IP68", "Dimension": "16mm (W) x 17mm (H)", "Glare Control": "Honeycomb Anti Glare Louvre", "SKU": "TV1617-10W-3K-IP68-HC"}</v>
      </c>
      <c r="Q97" s="17" t="s">
        <v>432</v>
      </c>
      <c r="R97" s="28"/>
      <c r="S97" s="29"/>
      <c r="T97" s="33"/>
      <c r="U97" s="34"/>
      <c r="V97" s="33"/>
      <c r="W97" s="33"/>
      <c r="X97" s="33"/>
      <c r="Y97" s="12" t="s">
        <v>42</v>
      </c>
      <c r="Z97" s="12" t="s">
        <v>426</v>
      </c>
      <c r="AA97" s="23" t="s">
        <v>44</v>
      </c>
      <c r="AB97" s="24"/>
      <c r="AC97" s="24"/>
      <c r="AD97" s="24"/>
    </row>
    <row r="98" ht="30.0" customHeight="1">
      <c r="A98" s="25"/>
      <c r="B98" s="14"/>
      <c r="C98" s="14"/>
      <c r="D98" s="26"/>
      <c r="E98" s="14"/>
      <c r="F98" s="27"/>
      <c r="G98" s="14"/>
      <c r="H98" s="27"/>
      <c r="I98" s="14"/>
      <c r="J98" s="14"/>
      <c r="K98" s="14"/>
      <c r="L98" s="15" t="s">
        <v>433</v>
      </c>
      <c r="M98" s="15" t="s">
        <v>434</v>
      </c>
      <c r="N9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""&amp;M98)"),"Power Consumption Rate | Color Temperature | Voltage | IP Rating | Dimension | Glare Control")</f>
        <v>Power Consumption Rate | Color Temperature | Voltage | IP Rating | Dimension | Glare Control</v>
      </c>
      <c r="O98" s="17" t="s">
        <v>424</v>
      </c>
      <c r="P9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""&amp;O98&amp;"", Values: ""&amp;M98&amp; "" and SKU Code: ""&amp;"&amp;"L98)"),"{""Power Consumption Rate"": ""10W/m"", ""Color Temperature"": ""4000K"", ""Voltage"": ""24V"", ""IP Rating"": ""IP68"", ""Dimension"": ""16mm (W) x 17mm (H)"", ""Glare Control"": ""Honeycomb Anti Glare Louvre"", ""SKU"": ""TV1617-10W-4K-IP68-HC""}")</f>
        <v>{"Power Consumption Rate": "10W/m", "Color Temperature": "4000K", "Voltage": "24V", "IP Rating": "IP68", "Dimension": "16mm (W) x 17mm (H)", "Glare Control": "Honeycomb Anti Glare Louvre", "SKU": "TV1617-10W-4K-IP68-HC"}</v>
      </c>
      <c r="Q98" s="17" t="s">
        <v>435</v>
      </c>
      <c r="R98" s="28"/>
      <c r="S98" s="29"/>
      <c r="T98" s="33"/>
      <c r="U98" s="34"/>
      <c r="V98" s="33"/>
      <c r="W98" s="33"/>
      <c r="X98" s="33"/>
      <c r="Y98" s="12" t="s">
        <v>42</v>
      </c>
      <c r="Z98" s="12" t="s">
        <v>426</v>
      </c>
      <c r="AA98" s="23" t="s">
        <v>44</v>
      </c>
      <c r="AB98" s="24"/>
      <c r="AC98" s="24"/>
      <c r="AD98" s="24"/>
    </row>
    <row r="99" ht="30.0" customHeight="1">
      <c r="A99" s="25"/>
      <c r="B99" s="12"/>
      <c r="C99" s="12"/>
      <c r="D99" s="13"/>
      <c r="E99" s="12"/>
      <c r="F99" s="27"/>
      <c r="G99" s="14"/>
      <c r="H99" s="27"/>
      <c r="I99" s="14"/>
      <c r="J99" s="14"/>
      <c r="K99" s="14"/>
      <c r="L99" s="15" t="s">
        <v>436</v>
      </c>
      <c r="M99" s="15" t="s">
        <v>437</v>
      </c>
      <c r="N9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""&amp;M99)"),"Power Consumption Rate | Color Temperature | Voltage | IP Rating | Dimension | Glare Control")</f>
        <v>Power Consumption Rate | Color Temperature | Voltage | IP Rating | Dimension | Glare Control</v>
      </c>
      <c r="O99" s="17" t="s">
        <v>424</v>
      </c>
      <c r="P9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""&amp;O99&amp;"", Values: ""&amp;M99&amp; "" and SKU Code: ""&amp;"&amp;"L99)"),"{""Power Consumption Rate"": ""15W/m"", ""Color Temperature"": ""2200K"", ""Voltage"": ""24V"", ""IP Rating"": ""IP68"", ""Dimension"": ""16mm (W) x 17mm (H)"", ""Glare Control"": ""Honeycomb Anti Glare Louvre"", ""SKU"": ""TV1617-15W-2.2K-IP68-HC""}")</f>
        <v>{"Power Consumption Rate": "15W/m", "Color Temperature": "2200K", "Voltage": "24V", "IP Rating": "IP68", "Dimension": "16mm (W) x 17mm (H)", "Glare Control": "Honeycomb Anti Glare Louvre", "SKU": "TV1617-15W-2.2K-IP68-HC"}</v>
      </c>
      <c r="Q99" s="17" t="s">
        <v>438</v>
      </c>
      <c r="R99" s="28"/>
      <c r="S99" s="29"/>
      <c r="T99" s="33"/>
      <c r="U99" s="34"/>
      <c r="V99" s="33"/>
      <c r="W99" s="33"/>
      <c r="X99" s="33"/>
      <c r="Y99" s="12" t="s">
        <v>42</v>
      </c>
      <c r="Z99" s="12" t="s">
        <v>426</v>
      </c>
      <c r="AA99" s="23" t="s">
        <v>44</v>
      </c>
      <c r="AB99" s="24"/>
      <c r="AC99" s="24"/>
      <c r="AD99" s="24"/>
    </row>
    <row r="100" ht="30.0" customHeight="1">
      <c r="A100" s="25"/>
      <c r="B100" s="14"/>
      <c r="C100" s="14"/>
      <c r="D100" s="26"/>
      <c r="E100" s="14"/>
      <c r="F100" s="27"/>
      <c r="G100" s="14"/>
      <c r="H100" s="27"/>
      <c r="I100" s="14"/>
      <c r="J100" s="14"/>
      <c r="K100" s="14"/>
      <c r="L100" s="15" t="s">
        <v>439</v>
      </c>
      <c r="M100" s="15" t="s">
        <v>440</v>
      </c>
      <c r="N10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""&amp;M100)"),"Power Consumption Rate | Color Temperature | Voltage | IP Rating | Dimension | Glare Control")</f>
        <v>Power Consumption Rate | Color Temperature | Voltage | IP Rating | Dimension | Glare Control</v>
      </c>
      <c r="O100" s="17" t="s">
        <v>424</v>
      </c>
      <c r="P10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""&amp;O100&amp;"", Values: ""&amp;M100&amp; "" and SKU Code: "&amp;"""&amp;L100)"),"{""Power Consumption Rate"": ""15W/m"", ""Color Temperature"": ""2700K"", ""Voltage"": ""24V"", ""IP Rating"": ""IP68"", ""Dimension"": ""16mm (W) x 17mm (H)"", ""Glare Control"": ""Honeycomb Anti Glare Louvre"", ""SKU"": ""TV1617-15W-2.7K-IP68-HC""}")</f>
        <v>{"Power Consumption Rate": "15W/m", "Color Temperature": "2700K", "Voltage": "24V", "IP Rating": "IP68", "Dimension": "16mm (W) x 17mm (H)", "Glare Control": "Honeycomb Anti Glare Louvre", "SKU": "TV1617-15W-2.7K-IP68-HC"}</v>
      </c>
      <c r="Q100" s="17" t="s">
        <v>441</v>
      </c>
      <c r="R100" s="28"/>
      <c r="S100" s="29"/>
      <c r="T100" s="33"/>
      <c r="U100" s="34"/>
      <c r="V100" s="33"/>
      <c r="W100" s="33"/>
      <c r="X100" s="33"/>
      <c r="Y100" s="12" t="s">
        <v>42</v>
      </c>
      <c r="Z100" s="12" t="s">
        <v>426</v>
      </c>
      <c r="AA100" s="23" t="s">
        <v>44</v>
      </c>
      <c r="AB100" s="24"/>
      <c r="AC100" s="24"/>
      <c r="AD100" s="24"/>
    </row>
    <row r="101" ht="30.0" customHeight="1">
      <c r="A101" s="25"/>
      <c r="B101" s="14"/>
      <c r="C101" s="14"/>
      <c r="D101" s="26"/>
      <c r="E101" s="14"/>
      <c r="F101" s="27"/>
      <c r="G101" s="14"/>
      <c r="H101" s="27"/>
      <c r="I101" s="14"/>
      <c r="J101" s="14"/>
      <c r="K101" s="14"/>
      <c r="L101" s="15" t="s">
        <v>442</v>
      </c>
      <c r="M101" s="15" t="s">
        <v>443</v>
      </c>
      <c r="N10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""&amp;M101)"),"Power Consumption Rate | Color Temperature | Voltage | IP Rating | Dimension | Glare Control")</f>
        <v>Power Consumption Rate | Color Temperature | Voltage | IP Rating | Dimension | Glare Control</v>
      </c>
      <c r="O101" s="17" t="s">
        <v>424</v>
      </c>
      <c r="P10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""&amp;O101&amp;"", Values: ""&amp;M101&amp; "" and SKU Code: "&amp;"""&amp;L101)"),"{""Power Consumption Rate"": ""15W/m"", ""Color Temperature"": ""3000K"", ""Voltage"": ""24V"", ""IP Rating"": ""IP68"", ""Dimension"": ""16mm (W) x 17mm (H)"", ""Glare Control"": ""Honeycomb Anti Glare Louvre"", ""SKU"": ""TV1617-15W-3K-IP68-HC""}")</f>
        <v>{"Power Consumption Rate": "15W/m", "Color Temperature": "3000K", "Voltage": "24V", "IP Rating": "IP68", "Dimension": "16mm (W) x 17mm (H)", "Glare Control": "Honeycomb Anti Glare Louvre", "SKU": "TV1617-15W-3K-IP68-HC"}</v>
      </c>
      <c r="Q101" s="17" t="s">
        <v>444</v>
      </c>
      <c r="R101" s="28"/>
      <c r="S101" s="29"/>
      <c r="T101" s="33"/>
      <c r="U101" s="34"/>
      <c r="V101" s="33"/>
      <c r="W101" s="33"/>
      <c r="X101" s="33"/>
      <c r="Y101" s="12" t="s">
        <v>42</v>
      </c>
      <c r="Z101" s="12" t="s">
        <v>426</v>
      </c>
      <c r="AA101" s="23" t="s">
        <v>44</v>
      </c>
      <c r="AB101" s="24"/>
      <c r="AC101" s="24"/>
      <c r="AD101" s="24"/>
    </row>
    <row r="102" ht="30.0" customHeight="1">
      <c r="A102" s="25"/>
      <c r="B102" s="14"/>
      <c r="C102" s="14"/>
      <c r="D102" s="26"/>
      <c r="E102" s="14"/>
      <c r="F102" s="27"/>
      <c r="G102" s="14"/>
      <c r="H102" s="27"/>
      <c r="I102" s="14"/>
      <c r="J102" s="14"/>
      <c r="K102" s="14"/>
      <c r="L102" s="15" t="s">
        <v>445</v>
      </c>
      <c r="M102" s="15" t="s">
        <v>446</v>
      </c>
      <c r="N10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""&amp;M102)"),"Power Consumption Rate | Color Temperature | Voltage | IP Rating | Dimension | Glare Control")</f>
        <v>Power Consumption Rate | Color Temperature | Voltage | IP Rating | Dimension | Glare Control</v>
      </c>
      <c r="O102" s="17" t="s">
        <v>424</v>
      </c>
      <c r="P10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""&amp;O102&amp;"", Values: ""&amp;M102&amp; "" and SKU Code: "&amp;"""&amp;L102)"),"{""Power Consumption Rate"": ""15W/m"", ""Color Temperature"": ""4000K"", ""Voltage"": ""24V"", ""IP Rating"": ""IP68"", ""Dimension"": ""16mm (W) x 17mm (H)"", ""Glare Control"": ""Honeycomb Anti Glare Louvre"", ""SKU"": ""TV1617-15W-4K-IP68-HC""}")</f>
        <v>{"Power Consumption Rate": "15W/m", "Color Temperature": "4000K", "Voltage": "24V", "IP Rating": "IP68", "Dimension": "16mm (W) x 17mm (H)", "Glare Control": "Honeycomb Anti Glare Louvre", "SKU": "TV1617-15W-4K-IP68-HC"}</v>
      </c>
      <c r="Q102" s="17" t="s">
        <v>447</v>
      </c>
      <c r="R102" s="28"/>
      <c r="S102" s="29"/>
      <c r="T102" s="33"/>
      <c r="U102" s="34"/>
      <c r="V102" s="33"/>
      <c r="W102" s="33"/>
      <c r="X102" s="33"/>
      <c r="Y102" s="12" t="s">
        <v>42</v>
      </c>
      <c r="Z102" s="12" t="s">
        <v>426</v>
      </c>
      <c r="AA102" s="23" t="s">
        <v>44</v>
      </c>
      <c r="AB102" s="24"/>
      <c r="AC102" s="24"/>
      <c r="AD102" s="24"/>
    </row>
    <row r="103" ht="30.0" customHeight="1">
      <c r="A103" s="25"/>
      <c r="B103" s="14"/>
      <c r="C103" s="14"/>
      <c r="D103" s="26"/>
      <c r="E103" s="14"/>
      <c r="F103" s="27"/>
      <c r="G103" s="14"/>
      <c r="H103" s="27"/>
      <c r="I103" s="14"/>
      <c r="J103" s="14"/>
      <c r="K103" s="14"/>
      <c r="L103" s="15" t="s">
        <v>448</v>
      </c>
      <c r="M103" s="15" t="s">
        <v>449</v>
      </c>
      <c r="N10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""&amp;M103)"),"Power Consumption Rate | Color Temperature | Voltage | IP Rating | Dimension | Glare Control")</f>
        <v>Power Consumption Rate | Color Temperature | Voltage | IP Rating | Dimension | Glare Control</v>
      </c>
      <c r="O103" s="17" t="s">
        <v>424</v>
      </c>
      <c r="P10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""&amp;O103&amp;"", Values: ""&amp;M103&amp; "" and SKU Code: "&amp;"""&amp;L103)"),"{""SKU"": ""TV1617-13W-TW-IP68-HC"", ""Power Consumption Rate"": ""13W/m"", ""Color Temperature"": ""TW (2700K-5300K)"", ""Voltage"": ""24V"", ""IP Rating"": ""IP68"", ""Dimension"": ""16mm (W) x 17mm (H)"", ""Glare Control"": ""Honeycomb Anti Glare Louvr"&amp;"e""}")</f>
        <v>{"SKU": "TV1617-13W-TW-IP68-HC", "Power Consumption Rate": "13W/m", "Color Temperature": "TW (2700K-5300K)", "Voltage": "24V", "IP Rating": "IP68", "Dimension": "16mm (W) x 17mm (H)", "Glare Control": "Honeycomb Anti Glare Louvre"}</v>
      </c>
      <c r="Q103" s="17" t="s">
        <v>450</v>
      </c>
      <c r="R103" s="28"/>
      <c r="S103" s="29"/>
      <c r="T103" s="33"/>
      <c r="U103" s="34"/>
      <c r="V103" s="33"/>
      <c r="W103" s="33"/>
      <c r="X103" s="33"/>
      <c r="Y103" s="12" t="s">
        <v>42</v>
      </c>
      <c r="Z103" s="12" t="s">
        <v>426</v>
      </c>
      <c r="AA103" s="23" t="s">
        <v>44</v>
      </c>
      <c r="AB103" s="24"/>
      <c r="AC103" s="24"/>
      <c r="AD103" s="24"/>
    </row>
    <row r="104" ht="30.0" customHeight="1">
      <c r="A104" s="11" t="s">
        <v>451</v>
      </c>
      <c r="B104" s="12" t="s">
        <v>90</v>
      </c>
      <c r="C104" s="12" t="s">
        <v>32</v>
      </c>
      <c r="D104" s="13" t="s">
        <v>388</v>
      </c>
      <c r="E104" s="12" t="s">
        <v>34</v>
      </c>
      <c r="F104" s="13" t="str">
        <f>IFERROR(__xludf.DUMMYFUNCTION("AI(""Give me a paragraph marketing spiel for product in this row, no tech specs just marketing fluff "")"),"Elevate your architectural designs with the Side View IP68 Honeycomb, a premium linear lighting solution crafted to bring captivating elegance and fluid brilliance to any environment. Engineered with advanced honeycomb anti-glare technology, this luxuriou"&amp;"s neon-style light delivers a beautifully softened, uniform glow that effortlessly enhances spaces without any harsh glare. Perfectly adapted for seamless side-bending flexibility, it gracefully curves around contours to create stunning visual features, d"&amp;"ramatic accents, and a sophisticated atmosphere. Built to withstand demanding elements while maintaining its flawless aesthetic, it represents the ultimate fusion of contemporary style, innovative visual comfort, and breathtaking design freedom.")</f>
        <v>Elevate your architectural designs with the Side View IP68 Honeycomb, a premium linear lighting solution crafted to bring captivating elegance and fluid brilliance to any environment. Engineered with advanced honeycomb anti-glare technology, this luxurious neon-style light delivers a beautifully softened, uniform glow that effortlessly enhances spaces without any harsh glare. Perfectly adapted for seamless side-bending flexibility, it gracefully curves around contours to create stunning visual features, dramatic accents, and a sophisticated atmosphere. Built to withstand demanding elements while maintaining its flawless aesthetic, it represents the ultimate fusion of contemporary style, innovative visual comfort, and breathtaking design freedom.</v>
      </c>
      <c r="G104" s="12" t="s">
        <v>452</v>
      </c>
      <c r="H104" s="13" t="str">
        <f>IFERROR(__xludf.DUMMYFUNCTION("AI(""Give me a paragraph marketing spiel for product in this row, no tech specs just marketing fluff under 180 characters "")"),"Bring fluid brilliance and glare-free elegance to your design with Side View Honeycomb, offering a beautifully softened glow and ultimate flexibility.")</f>
        <v>Bring fluid brilliance and glare-free elegance to your design with Side View Honeycomb, offering a beautifully softened glow and ultimate flexibility.</v>
      </c>
      <c r="I104" s="12" t="s">
        <v>453</v>
      </c>
      <c r="J104" s="14"/>
      <c r="K104" s="14"/>
      <c r="L104" s="15" t="s">
        <v>451</v>
      </c>
      <c r="M104" s="15" t="s">
        <v>423</v>
      </c>
      <c r="N10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""&amp;M104)"),"Power Consumption Rate | Color Temperature | Voltage | IP Rating | Dimension | Glare Control")</f>
        <v>Power Consumption Rate | Color Temperature | Voltage | IP Rating | Dimension | Glare Control</v>
      </c>
      <c r="O104" s="17" t="s">
        <v>424</v>
      </c>
      <c r="P10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""&amp;O104&amp;"", Values: ""&amp;M104&amp; "" and SKU Code: "&amp;"""&amp;L104)"),"{""SKU"": ""SV1617-10W-2.2K-IP68-HC"", ""Power Consumption Rate"": ""10W/m"", ""Color Temperature"": ""2200K"", ""Voltage"": ""24V"", ""IP Rating"": ""IP68"", ""Dimension"": ""16mm (W) x 17mm (H)"", ""Glare Control"": ""Honeycomb Anti Glare Louvre""}")</f>
        <v>{"SKU": "SV1617-10W-2.2K-IP68-HC", "Power Consumption Rate": "10W/m", "Color Temperature": "2200K", "Voltage": "24V", "IP Rating": "IP68", "Dimension": "16mm (W) x 17mm (H)", "Glare Control": "Honeycomb Anti Glare Louvre"}</v>
      </c>
      <c r="Q104" s="17" t="s">
        <v>454</v>
      </c>
      <c r="R10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Q104:Q112)"),"{""SKU"": [""SV1617-10W-2.2K-IP68-HC"", ""SV1617-10W-2.7K-IP68-HC"", ""SV1617-10W-3K-IP68-HC"", ""SV1617-10W-4K-IP68-HC"", ""SV1617-15W-2.2K-IP68-HC"", ""SV1617-15W-2.7K-IP68-HC"", ""SV1617-15W-3K-IP68-HC"", ""SV1617-15W-4K-IP68-HC"", ""SV1617-13W-TW-IP68"&amp;"-HC""], ""Power Consumption Rate"": [""10W/m"", ""15W/m"", ""13W/m""], ""Color Temperature"": [""2200K"", ""2700K"", ""3000K"", ""4000K"", ""TW (2700K-5300K)""], ""Voltage"": ""24V"", ""IP Rating"": ""IP68"", ""Dimension"": ""16mm (W) x 17mm (H)"", ""Glar"&amp;"e Control"": ""Honeycomb Anti Glare Louvre""}")</f>
        <v>{"SKU": ["SV1617-10W-2.2K-IP68-HC", "SV1617-10W-2.7K-IP68-HC", "SV1617-10W-3K-IP68-HC", "SV1617-10W-4K-IP68-HC", "SV1617-15W-2.2K-IP68-HC", "SV1617-15W-2.7K-IP68-HC", "SV1617-15W-3K-IP68-HC", "SV1617-15W-4K-IP68-HC", "SV1617-13W-TW-IP68-HC"], "Power Consumption Rate": ["10W/m", "15W/m", "13W/m"], "Color Temperature": ["2200K", "2700K", "3000K", "4000K", "TW (2700K-5300K)"], "Voltage": "24V", "IP Rating": "IP68", "Dimension": "16mm (W) x 17mm (H)", "Glare Control": "Honeycomb Anti Glare Louvre"}</v>
      </c>
      <c r="S104" s="19" t="s">
        <v>455</v>
      </c>
      <c r="T10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Q104:Q112)"),"{
""Options"": {
""Power Consumption Rate"": [
{""name"": ""10W/m"", ""id"": ""101""},
{""name"": ""15W/m"", ""id"": ""110""},
{""name"": ""13W/m"", ""id"": ""111""}
],
""Color Temperature"": [
{""name"": ""2200K"", ""id"": ""102""},
{""name"": ""2700K"","&amp;" ""id"": ""107""},
{""name"": ""3000K"", ""id"": ""108""},
{""name"": ""4000K"", ""id"": ""109""},
{""name"": ""TW (2700K-5300K)"", ""id"": ""112""}
],
""Voltage"": [
{""name"": ""24V"", ""id"": ""103""}
],
""IP Rating"": [
{""name"": ""IP68"", ""id"": """&amp;"104""}
],
""Dimension"": [
{""name"": ""16mm (W) x 17mm (H)"", ""id"": ""105""}
],
""Glare Control"": [
{""name"": ""Honeycomb Anti Glare Louvre"", ""id"": ""106""}
]
},
""Constraints"": {
""101"": [""112""],
""110"": [""112""],
""111"": [""102"", ""107"""&amp;", ""108"", ""109""]
},
""sku_mappings"": [
{ ""sku"": ""SV1617-10W-2.2K-IP68-HC"", ""combination"": [""101"", ""102"", ""103"", ""104"", ""105"", ""106""] },
{ ""sku"": ""SV1617-10W-2.7K-IP68-HC"", ""combination"": [""101"", ""107"", ""103"", ""104"", ""1"&amp;"05"", ""106""] },
{ ""sku"": ""SV1617-10W-3K-IP68-HC"", ""combination"": [""101"", ""108"", ""103"", ""104"", ""105"", ""106""] },
{ ""sku"": ""SV1617-10W-4K-IP68-HC"", ""combination"": [""101"", ""109"", ""103"", ""104"", ""105"", ""106""] },
{ ""sku"": "&amp;"""SV1617-15W-2.2K-IP68-HC"", ""combination"": [""110"", ""102"", ""103"", ""104"", ""105"", ""106""] },
{ ""sku"": ""SV1617-15W-2.7K-IP68-HC"", ""combination"": [""110"", ""107"", ""103"", ""104"", ""105"", ""106""] },
{ ""sku"": ""SV1617-15W-3K-IP68-HC"""&amp;", ""combination"": [""110"", ""108"", ""103"", ""104"", ""105"", ""106""] },
{ ""sku"": ""SV1617-15W-4K-IP68-HC"", ""combination"": [""110"", ""109"", ""103"", ""104"", ""105"", ""106""] },
{ ""sku"": ""SV1617-13W-TW-IP68-HC"", ""combination"": [""111"", "&amp;"""112"", ""103"", ""104"", ""105"", ""106""] }
]
}")</f>
        <v>{
"Options": {
"Power Consumption Rate": [
{"name": "10W/m", "id": "101"},
{"name": "15W/m", "id": "110"},
{"name": "13W/m", "id": "111"}
],
"Color Temperature": [
{"name": "2200K", "id": "102"},
{"name": "2700K", "id": "107"},
{"name": "3000K", "id": "108"},
{"name": "4000K", "id": "109"},
{"name": "TW (2700K-5300K)", "id": "112"}
],
"Voltage": [
{"name": "24V", "id": "103"}
],
"IP Rating": [
{"name": "IP68", "id": "104"}
],
"Dimension": [
{"name": "16mm (W) x 17mm (H)", "id": "105"}
],
"Glare Control": [
{"name": "Honeycomb Anti Glare Louvre", "id": "106"}
]
},
"Constraints": {
"101": ["112"],
"110": ["112"],
"111": ["102", "107", "108", "109"]
},
"sku_mappings": [
{ "sku": "SV1617-10W-2.2K-IP68-HC", "combination": ["101", "102", "103", "104", "105", "106"] },
{ "sku": "SV1617-10W-2.7K-IP68-HC", "combination": ["101", "107", "103", "104", "105", "106"] },
{ "sku": "SV1617-10W-3K-IP68-HC", "combination": ["101", "108", "103", "104", "105", "106"] },
{ "sku": "SV1617-10W-4K-IP68-HC", "combination": ["101", "109", "103", "104", "105", "106"] },
{ "sku": "SV1617-15W-2.2K-IP68-HC", "combination": ["110", "102", "103", "104", "105", "106"] },
{ "sku": "SV1617-15W-2.7K-IP68-HC", "combination": ["110", "107", "103", "104", "105", "106"] },
{ "sku": "SV1617-15W-3K-IP68-HC", "combination": ["110", "108", "103", "104", "105", "106"] },
{ "sku": "SV1617-15W-4K-IP68-HC", "combination": ["110", "109", "103", "104", "105", "106"] },
{ "sku": "SV1617-13W-TW-IP68-HC", "combination": ["111", "112", "103", "104", "105", "106"] }
]
}</v>
      </c>
      <c r="U104" s="35" t="s">
        <v>456</v>
      </c>
      <c r="V104" s="21" t="str">
        <f>IFERROR(__xludf.DUMMYFUNCTION("AI(""Extract options object from the json"", U104)"),"{ ""Power Consumption Rate"": [ {""name"": ""10W/m"", ""id"": ""101""}, {""name"": ""15W/m"", ""id"": ""110""}, {""name"": ""13W/m"", ""id"": ""111""} ], ""Color Temperature"": [ {""name"": ""2200K"", ""id"": ""102""}, {""name"": ""2700K"", ""id"": ""107"&amp;"""}, {""name"": ""3000K"", ""id"": ""108""}, {""name"": ""4000K"", ""id"": ""109""}, {""name"": ""TW (2700K-5300K)"", ""id"": ""112""} ], ""Voltage"": [ {""name"": ""24V"", ""id"": ""103""} ], ""IP Rating"": [ {""name"": ""IP68"", ""id"": ""104""} ], ""Di"&amp;"mension"": [ {""name"": ""16mm (W) x 17mm (H)"", ""id"": ""105""} ], ""Glare Control"": [ {""name"": ""Honeycomb Anti Glare Louvre"", ""id"": ""106""} ] }")</f>
        <v>{ "Power Consumption Rate": [ {"name": "10W/m", "id": "101"}, {"name": "15W/m", "id": "110"}, {"name": "13W/m", "id": "111"} ], "Color Temperature": [ {"name": "2200K", "id": "102"}, {"name": "2700K", "id": "107"}, {"name": "3000K", "id": "108"}, {"name": "4000K", "id": "109"}, {"name": "TW (2700K-5300K)", "id": "112"} ], "Voltage": [ {"name": "24V", "id": "103"} ], "IP Rating": [ {"name": "IP68", "id": "104"} ], "Dimension": [ {"name": "16mm (W) x 17mm (H)", "id": "105"} ], "Glare Control": [ {"name": "Honeycomb Anti Glare Louvre", "id": "106"} ] }</v>
      </c>
      <c r="W104" s="21" t="str">
        <f>IFERROR(__xludf.DUMMYFUNCTION("AI(""Extract constraints object from the json"", U104)"),"{ ""101"": [""112""], ""110"": [""112""], ""111"": [""102"", ""107"", ""108"", ""109""] }")</f>
        <v>{ "101": ["112"], "110": ["112"], "111": ["102", "107", "108", "109"] }</v>
      </c>
      <c r="X104" s="21" t="str">
        <f>IFERROR(__xludf.DUMMYFUNCTION("AI(""Extract sku_mappings object from the json"", U104)"),"[{""sku"": ""SV1617-10W-2.2K-IP68-HC"", ""combination"": [""101"", ""102"", ""103"", ""104"", ""105"", ""106""]}, {""sku"": ""SV1617-10W-2.7K-IP68-HC"", ""combination"": [""101"", ""107"", ""103"", ""104"", ""105"", ""106""]}, {""sku"": ""SV1617-10W-3K-IP"&amp;"68-HC"", ""combination"": [""101"", ""108"", ""103"", ""104"", ""105"", ""106""]}, {""sku"": ""SV1617-10W-4K-IP68-HC"", ""combination"": [""101"", ""109"", ""103"", ""104"", ""105"", ""106""]}, {""sku"": ""SV1617-15W-2.2K-IP68-HC"", ""combination"": [""11"&amp;"0"", ""102"", ""103"", ""104"", ""105"", ""106""]}, {""sku"": ""SV1617-15W-2.7K-IP68-HC"", ""combination"": [""110"", ""107"", ""103"", ""104"", ""105"", ""106""]}, {""sku"": ""SV1617-15W-3K-IP68-HC"", ""combination"": [""110"", ""108"", ""103"", ""104"","&amp;" ""105"", ""106""]}, {""sku"": ""SV1617-15W-4K-IP68-HC"", ""combination"": [""110"", ""109"", ""103"", ""104"", ""105"", ""106""]}, {""sku"": ""SV1617-13W-TW-IP68-HC"", ""combination"": [""111"", ""112"", ""103"", ""104"", ""105"", ""106""]}]")</f>
        <v>[{"sku": "SV1617-10W-2.2K-IP68-HC", "combination": ["101", "102", "103", "104", "105", "106"]}, {"sku": "SV1617-10W-2.7K-IP68-HC", "combination": ["101", "107", "103", "104", "105", "106"]}, {"sku": "SV1617-10W-3K-IP68-HC", "combination": ["101", "108", "103", "104", "105", "106"]}, {"sku": "SV1617-10W-4K-IP68-HC", "combination": ["101", "109", "103", "104", "105", "106"]}, {"sku": "SV1617-15W-2.2K-IP68-HC", "combination": ["110", "102", "103", "104", "105", "106"]}, {"sku": "SV1617-15W-2.7K-IP68-HC", "combination": ["110", "107", "103", "104", "105", "106"]}, {"sku": "SV1617-15W-3K-IP68-HC", "combination": ["110", "108", "103", "104", "105", "106"]}, {"sku": "SV1617-15W-4K-IP68-HC", "combination": ["110", "109", "103", "104", "105", "106"]}, {"sku": "SV1617-13W-TW-IP68-HC", "combination": ["111", "112", "103", "104", "105", "106"]}]</v>
      </c>
      <c r="Y104" s="12" t="s">
        <v>42</v>
      </c>
      <c r="Z104" s="12" t="s">
        <v>457</v>
      </c>
      <c r="AA104" s="23" t="s">
        <v>44</v>
      </c>
      <c r="AB104" s="24"/>
      <c r="AC104" s="24" t="str">
        <f>IFERROR(__xludf.DUMMYFUNCTION("AI(""Generate 6 powerful unique keywords for the product in this row"")"),"Architectural lighting, Linear LED, Side View neon, Anti-glare honeycomb, Waterproof light ribbon, Flexible contour illumination")</f>
        <v>Architectural lighting, Linear LED, Side View neon, Anti-glare honeycomb, Waterproof light ribbon, Flexible contour illumination</v>
      </c>
      <c r="AD104" s="24" t="s">
        <v>458</v>
      </c>
    </row>
    <row r="105" ht="30.0" customHeight="1">
      <c r="A105" s="25"/>
      <c r="B105" s="14"/>
      <c r="C105" s="14"/>
      <c r="D105" s="26"/>
      <c r="E105" s="14"/>
      <c r="F105" s="27"/>
      <c r="G105" s="14"/>
      <c r="H105" s="27"/>
      <c r="I105" s="14"/>
      <c r="J105" s="14"/>
      <c r="K105" s="14"/>
      <c r="L105" s="15" t="s">
        <v>459</v>
      </c>
      <c r="M105" s="15" t="s">
        <v>428</v>
      </c>
      <c r="N10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""&amp;M105)"),"Power Consumption Rate | Color Temperature | Voltage | IP Rating | Dimension | Glare Control")</f>
        <v>Power Consumption Rate | Color Temperature | Voltage | IP Rating | Dimension | Glare Control</v>
      </c>
      <c r="O105" s="17" t="s">
        <v>424</v>
      </c>
      <c r="P10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""&amp;O105&amp;"", Values: ""&amp;M105&amp; "" and SKU Code: "&amp;"""&amp;L105)"),"{""Power Consumption Rate"": ""10W/m"", ""Color Temperature"": ""2700K"", ""Voltage"": ""24V"", ""IP Rating"": ""IP68"", ""Dimension"": ""16mm (W) x 17mm (H)"", ""Glare Control"": ""Honeycomb Anti Glare Louvre"", ""SKU"": ""SV1617-10W-2.7K-IP68-HC""}")</f>
        <v>{"Power Consumption Rate": "10W/m", "Color Temperature": "2700K", "Voltage": "24V", "IP Rating": "IP68", "Dimension": "16mm (W) x 17mm (H)", "Glare Control": "Honeycomb Anti Glare Louvre", "SKU": "SV1617-10W-2.7K-IP68-HC"}</v>
      </c>
      <c r="Q105" s="17" t="s">
        <v>460</v>
      </c>
      <c r="R105" s="28"/>
      <c r="S105" s="29"/>
      <c r="T105" s="33"/>
      <c r="U105" s="34"/>
      <c r="V105" s="33"/>
      <c r="W105" s="33"/>
      <c r="X105" s="33"/>
      <c r="Y105" s="12" t="s">
        <v>42</v>
      </c>
      <c r="Z105" s="12" t="s">
        <v>457</v>
      </c>
      <c r="AA105" s="23" t="s">
        <v>44</v>
      </c>
      <c r="AB105" s="24"/>
      <c r="AC105" s="24"/>
      <c r="AD105" s="24"/>
    </row>
    <row r="106" ht="30.0" customHeight="1">
      <c r="A106" s="25"/>
      <c r="B106" s="14"/>
      <c r="C106" s="14"/>
      <c r="D106" s="26"/>
      <c r="E106" s="14"/>
      <c r="F106" s="27"/>
      <c r="G106" s="14"/>
      <c r="H106" s="27"/>
      <c r="I106" s="14"/>
      <c r="J106" s="14"/>
      <c r="K106" s="14"/>
      <c r="L106" s="15" t="s">
        <v>461</v>
      </c>
      <c r="M106" s="15" t="s">
        <v>431</v>
      </c>
      <c r="N10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""&amp;M106)"),"Power Consumption Rate | Color Temperature | Voltage | IP Rating | Dimension | Glare Control")</f>
        <v>Power Consumption Rate | Color Temperature | Voltage | IP Rating | Dimension | Glare Control</v>
      </c>
      <c r="O106" s="17" t="s">
        <v>424</v>
      </c>
      <c r="P10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""&amp;O106&amp;"", Values: ""&amp;M106&amp; "" and SKU Code: "&amp;"""&amp;L106)"),"{""SKU"": ""SV1617-10W-3K-IP68-HC"", ""Power Consumption Rate"": ""10W/m"", ""Color Temperature"": ""3000K"", ""Voltage"": ""24V"", ""IP Rating"": ""IP68"", ""Dimension"": ""16mm (W) x 17mm (H)"", ""Glare Control"": ""Honeycomb Anti Glare Louvre""}")</f>
        <v>{"SKU": "SV1617-10W-3K-IP68-HC", "Power Consumption Rate": "10W/m", "Color Temperature": "3000K", "Voltage": "24V", "IP Rating": "IP68", "Dimension": "16mm (W) x 17mm (H)", "Glare Control": "Honeycomb Anti Glare Louvre"}</v>
      </c>
      <c r="Q106" s="17" t="s">
        <v>462</v>
      </c>
      <c r="R106" s="28"/>
      <c r="S106" s="29"/>
      <c r="T106" s="33"/>
      <c r="U106" s="34"/>
      <c r="V106" s="33"/>
      <c r="W106" s="33"/>
      <c r="X106" s="33"/>
      <c r="Y106" s="12" t="s">
        <v>42</v>
      </c>
      <c r="Z106" s="12" t="s">
        <v>457</v>
      </c>
      <c r="AA106" s="23" t="s">
        <v>44</v>
      </c>
      <c r="AB106" s="24"/>
      <c r="AC106" s="24"/>
      <c r="AD106" s="24"/>
    </row>
    <row r="107" ht="30.0" customHeight="1">
      <c r="A107" s="25"/>
      <c r="B107" s="14"/>
      <c r="C107" s="14"/>
      <c r="D107" s="26"/>
      <c r="E107" s="14"/>
      <c r="F107" s="27"/>
      <c r="G107" s="14"/>
      <c r="H107" s="27"/>
      <c r="I107" s="14"/>
      <c r="J107" s="14"/>
      <c r="K107" s="14"/>
      <c r="L107" s="15" t="s">
        <v>463</v>
      </c>
      <c r="M107" s="15" t="s">
        <v>434</v>
      </c>
      <c r="N10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""&amp;M107)"),"Power Consumption Rate | Color Temperature | Voltage | IP Rating | Dimension | Glare Control")</f>
        <v>Power Consumption Rate | Color Temperature | Voltage | IP Rating | Dimension | Glare Control</v>
      </c>
      <c r="O107" s="17" t="s">
        <v>424</v>
      </c>
      <c r="P10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""&amp;O107&amp;"", Values: ""&amp;M107&amp; "" and SKU Code: "&amp;"""&amp;L107)"),"{""SKU"": ""SV1617-10W-4K-IP68-HC"", ""Power Consumption Rate"": ""10W/m"", ""Color Temperature"": ""4000K"", ""Voltage"": ""24V"", ""IP Rating"": ""IP68"", ""Dimension"": ""16mm (W) x 17mm (H)"", ""Glare Control"": ""Honeycomb Anti Glare Louvre""}")</f>
        <v>{"SKU": "SV1617-10W-4K-IP68-HC", "Power Consumption Rate": "10W/m", "Color Temperature": "4000K", "Voltage": "24V", "IP Rating": "IP68", "Dimension": "16mm (W) x 17mm (H)", "Glare Control": "Honeycomb Anti Glare Louvre"}</v>
      </c>
      <c r="Q107" s="17" t="s">
        <v>464</v>
      </c>
      <c r="R107" s="28"/>
      <c r="S107" s="29"/>
      <c r="T107" s="33"/>
      <c r="U107" s="34"/>
      <c r="V107" s="33"/>
      <c r="W107" s="33"/>
      <c r="X107" s="33"/>
      <c r="Y107" s="12" t="s">
        <v>42</v>
      </c>
      <c r="Z107" s="12" t="s">
        <v>457</v>
      </c>
      <c r="AA107" s="23" t="s">
        <v>44</v>
      </c>
      <c r="AB107" s="24"/>
      <c r="AC107" s="24"/>
      <c r="AD107" s="24"/>
    </row>
    <row r="108" ht="30.0" customHeight="1">
      <c r="A108" s="25"/>
      <c r="B108" s="14"/>
      <c r="C108" s="14"/>
      <c r="D108" s="26"/>
      <c r="E108" s="14"/>
      <c r="F108" s="27"/>
      <c r="G108" s="14"/>
      <c r="H108" s="27"/>
      <c r="I108" s="14"/>
      <c r="J108" s="14"/>
      <c r="K108" s="14"/>
      <c r="L108" s="15" t="s">
        <v>465</v>
      </c>
      <c r="M108" s="15" t="s">
        <v>437</v>
      </c>
      <c r="N10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""&amp;M108)"),"Power Consumption Rate | Color Temperature | Voltage | IP Rating | Dimension | Glare Control")</f>
        <v>Power Consumption Rate | Color Temperature | Voltage | IP Rating | Dimension | Glare Control</v>
      </c>
      <c r="O108" s="17" t="s">
        <v>424</v>
      </c>
      <c r="P10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""&amp;O108&amp;"", Values: ""&amp;M108&amp; "" and SKU Code: "&amp;"""&amp;L108)"),"{""Power Consumption Rate"": ""15W/m"", ""Color Temperature"": ""2200K"", ""Voltage"": ""24V"", ""IP Rating"": ""IP68"", ""Dimension"": ""16mm (W) x 17mm (H)"", ""Glare Control"": ""Honeycomb Anti Glare Louvre"", ""SKU"": ""SV1617-15W-2.2K-IP68-HC""}")</f>
        <v>{"Power Consumption Rate": "15W/m", "Color Temperature": "2200K", "Voltage": "24V", "IP Rating": "IP68", "Dimension": "16mm (W) x 17mm (H)", "Glare Control": "Honeycomb Anti Glare Louvre", "SKU": "SV1617-15W-2.2K-IP68-HC"}</v>
      </c>
      <c r="Q108" s="17" t="s">
        <v>466</v>
      </c>
      <c r="R108" s="28"/>
      <c r="S108" s="29"/>
      <c r="T108" s="33"/>
      <c r="U108" s="34"/>
      <c r="V108" s="33"/>
      <c r="W108" s="33"/>
      <c r="X108" s="33"/>
      <c r="Y108" s="12" t="s">
        <v>42</v>
      </c>
      <c r="Z108" s="12" t="s">
        <v>457</v>
      </c>
      <c r="AA108" s="23" t="s">
        <v>44</v>
      </c>
      <c r="AB108" s="24"/>
      <c r="AC108" s="24"/>
      <c r="AD108" s="24"/>
    </row>
    <row r="109" ht="30.0" customHeight="1">
      <c r="A109" s="25"/>
      <c r="B109" s="14"/>
      <c r="C109" s="14"/>
      <c r="D109" s="26"/>
      <c r="E109" s="14"/>
      <c r="F109" s="27"/>
      <c r="G109" s="14"/>
      <c r="H109" s="27"/>
      <c r="I109" s="14"/>
      <c r="J109" s="14"/>
      <c r="K109" s="14"/>
      <c r="L109" s="15" t="s">
        <v>467</v>
      </c>
      <c r="M109" s="15" t="s">
        <v>440</v>
      </c>
      <c r="N10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""&amp;M109)"),"Power Consumption Rate | Color Temperature | Voltage | IP Rating | Dimension | Glare Control")</f>
        <v>Power Consumption Rate | Color Temperature | Voltage | IP Rating | Dimension | Glare Control</v>
      </c>
      <c r="O109" s="17" t="s">
        <v>424</v>
      </c>
      <c r="P10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""&amp;O109&amp;"", Values: ""&amp;M109&amp; "" and SKU Code: "&amp;"""&amp;L109)"),"{""Power Consumption Rate"": ""15W/m"", ""Color Temperature"": ""2700K"", ""Voltage"": ""24V"", ""IP Rating"": ""IP68"", ""Dimension"": ""16mm (W) x 17mm (H)"", ""Glare Control"": ""Honeycomb Anti Glare Louvre"", ""SKU"": ""SV1617-15W-2.7K-IP68-HC""}")</f>
        <v>{"Power Consumption Rate": "15W/m", "Color Temperature": "2700K", "Voltage": "24V", "IP Rating": "IP68", "Dimension": "16mm (W) x 17mm (H)", "Glare Control": "Honeycomb Anti Glare Louvre", "SKU": "SV1617-15W-2.7K-IP68-HC"}</v>
      </c>
      <c r="Q109" s="17" t="s">
        <v>468</v>
      </c>
      <c r="R109" s="28"/>
      <c r="S109" s="29"/>
      <c r="T109" s="33"/>
      <c r="U109" s="34"/>
      <c r="V109" s="33"/>
      <c r="W109" s="33"/>
      <c r="X109" s="33"/>
      <c r="Y109" s="12" t="s">
        <v>42</v>
      </c>
      <c r="Z109" s="12" t="s">
        <v>457</v>
      </c>
      <c r="AA109" s="23" t="s">
        <v>44</v>
      </c>
      <c r="AB109" s="24"/>
      <c r="AC109" s="24"/>
      <c r="AD109" s="24"/>
    </row>
    <row r="110" ht="30.0" customHeight="1">
      <c r="A110" s="25"/>
      <c r="B110" s="14"/>
      <c r="C110" s="14"/>
      <c r="D110" s="26"/>
      <c r="E110" s="14"/>
      <c r="F110" s="27"/>
      <c r="G110" s="14"/>
      <c r="H110" s="27"/>
      <c r="I110" s="14"/>
      <c r="J110" s="14"/>
      <c r="K110" s="14"/>
      <c r="L110" s="15" t="s">
        <v>469</v>
      </c>
      <c r="M110" s="15" t="s">
        <v>443</v>
      </c>
      <c r="N11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""&amp;M110)"),"Power Consumption Rate | Color Temperature | Voltage | IP Rating | Dimension | Glare Control")</f>
        <v>Power Consumption Rate | Color Temperature | Voltage | IP Rating | Dimension | Glare Control</v>
      </c>
      <c r="O110" s="17" t="s">
        <v>424</v>
      </c>
      <c r="P11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""&amp;O110&amp;"", Values: ""&amp;M110&amp; "" and SKU Code: "&amp;"""&amp;L110)"),"{""Power Consumption Rate"": ""15W/m"", ""Color Temperature"": ""3000K"", ""Voltage"": ""24V"", ""IP Rating"": ""IP68"", ""Dimension"": ""16mm (W) x 17mm (H)"", ""Glare Control"": ""Honeycomb Anti Glare Louvre"", ""SKU"": ""SV1617-15W-3K-IP68-HC""}")</f>
        <v>{"Power Consumption Rate": "15W/m", "Color Temperature": "3000K", "Voltage": "24V", "IP Rating": "IP68", "Dimension": "16mm (W) x 17mm (H)", "Glare Control": "Honeycomb Anti Glare Louvre", "SKU": "SV1617-15W-3K-IP68-HC"}</v>
      </c>
      <c r="Q110" s="17" t="s">
        <v>470</v>
      </c>
      <c r="R110" s="28"/>
      <c r="S110" s="29"/>
      <c r="T110" s="33"/>
      <c r="U110" s="34"/>
      <c r="V110" s="33"/>
      <c r="W110" s="33"/>
      <c r="X110" s="33"/>
      <c r="Y110" s="12" t="s">
        <v>42</v>
      </c>
      <c r="Z110" s="12" t="s">
        <v>457</v>
      </c>
      <c r="AA110" s="23" t="s">
        <v>44</v>
      </c>
      <c r="AB110" s="24"/>
      <c r="AC110" s="24"/>
      <c r="AD110" s="24"/>
    </row>
    <row r="111" ht="30.0" customHeight="1">
      <c r="A111" s="25"/>
      <c r="B111" s="14"/>
      <c r="C111" s="14"/>
      <c r="D111" s="26"/>
      <c r="E111" s="14"/>
      <c r="F111" s="27"/>
      <c r="G111" s="14"/>
      <c r="H111" s="27"/>
      <c r="I111" s="14"/>
      <c r="J111" s="14"/>
      <c r="K111" s="14"/>
      <c r="L111" s="15" t="s">
        <v>471</v>
      </c>
      <c r="M111" s="15" t="s">
        <v>446</v>
      </c>
      <c r="N11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""&amp;M111)"),"Power Consumption Rate | Color Temperature | Voltage | IP Rating | Dimension | Glare Control")</f>
        <v>Power Consumption Rate | Color Temperature | Voltage | IP Rating | Dimension | Glare Control</v>
      </c>
      <c r="O111" s="17" t="s">
        <v>424</v>
      </c>
      <c r="P11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""&amp;O111&amp;"", Values: ""&amp;M111&amp; "" and SKU Code: "&amp;"""&amp;L111)"),"{""Power Consumption Rate"": ""15W/m"", ""Color Temperature"": ""4000K"", ""Voltage"": ""24V"", ""IP Rating"": ""IP68"", ""Dimension"": ""16mm (W) x 17mm (H)"", ""Glare Control"": ""Honeycomb Anti Glare Louvre"", ""SKU"": ""SV1617-15W-4K-IP68-HC""}")</f>
        <v>{"Power Consumption Rate": "15W/m", "Color Temperature": "4000K", "Voltage": "24V", "IP Rating": "IP68", "Dimension": "16mm (W) x 17mm (H)", "Glare Control": "Honeycomb Anti Glare Louvre", "SKU": "SV1617-15W-4K-IP68-HC"}</v>
      </c>
      <c r="Q111" s="17" t="s">
        <v>472</v>
      </c>
      <c r="R111" s="28"/>
      <c r="S111" s="29"/>
      <c r="T111" s="33"/>
      <c r="U111" s="34"/>
      <c r="V111" s="33"/>
      <c r="W111" s="33"/>
      <c r="X111" s="33"/>
      <c r="Y111" s="12" t="s">
        <v>42</v>
      </c>
      <c r="Z111" s="12" t="s">
        <v>457</v>
      </c>
      <c r="AA111" s="23" t="s">
        <v>44</v>
      </c>
      <c r="AB111" s="24"/>
      <c r="AC111" s="24"/>
      <c r="AD111" s="24"/>
    </row>
    <row r="112" ht="30.0" customHeight="1">
      <c r="A112" s="25"/>
      <c r="B112" s="14"/>
      <c r="C112" s="14"/>
      <c r="D112" s="26"/>
      <c r="E112" s="14"/>
      <c r="F112" s="27"/>
      <c r="G112" s="14"/>
      <c r="H112" s="27"/>
      <c r="I112" s="14"/>
      <c r="J112" s="14"/>
      <c r="K112" s="14"/>
      <c r="L112" s="15" t="s">
        <v>473</v>
      </c>
      <c r="M112" s="15" t="s">
        <v>449</v>
      </c>
      <c r="N11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""&amp;M112)"),"Power Consumption Rate | Color Temperature | Voltage | IP Rating | Dimension | Glare Control")</f>
        <v>Power Consumption Rate | Color Temperature | Voltage | IP Rating | Dimension | Glare Control</v>
      </c>
      <c r="O112" s="17" t="s">
        <v>424</v>
      </c>
      <c r="P11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""&amp;O112&amp;"", Values: ""&amp;M112&amp; "" and SKU Code: "&amp;"""&amp;L112)"),"{""SKU"": ""SV1617-13W-TW-IP68-HC"", ""Power Consumption Rate"": ""13W/m"", ""Color Temperature"": ""TW (2700K-5300K)"", ""Voltage"": ""24V"", ""IP Rating"": ""IP68"", ""Dimension"": ""16mm (W) x 17mm (H)"", ""Glare Control"": ""Honeycomb Anti Glare Louvr"&amp;"e""}")</f>
        <v>{"SKU": "SV1617-13W-TW-IP68-HC", "Power Consumption Rate": "13W/m", "Color Temperature": "TW (2700K-5300K)", "Voltage": "24V", "IP Rating": "IP68", "Dimension": "16mm (W) x 17mm (H)", "Glare Control": "Honeycomb Anti Glare Louvre"}</v>
      </c>
      <c r="Q112" s="17" t="s">
        <v>474</v>
      </c>
      <c r="R112" s="28"/>
      <c r="S112" s="29"/>
      <c r="T112" s="33"/>
      <c r="U112" s="34"/>
      <c r="V112" s="33"/>
      <c r="W112" s="33"/>
      <c r="X112" s="33"/>
      <c r="Y112" s="12" t="s">
        <v>42</v>
      </c>
      <c r="Z112" s="12" t="s">
        <v>457</v>
      </c>
      <c r="AA112" s="23" t="s">
        <v>44</v>
      </c>
      <c r="AB112" s="24"/>
      <c r="AC112" s="24"/>
      <c r="AD112" s="24"/>
    </row>
    <row r="113" ht="30.0" customHeight="1">
      <c r="A113" s="11" t="s">
        <v>475</v>
      </c>
      <c r="B113" s="12" t="s">
        <v>476</v>
      </c>
      <c r="C113" s="12" t="s">
        <v>32</v>
      </c>
      <c r="D113" s="13" t="s">
        <v>360</v>
      </c>
      <c r="E113" s="12" t="s">
        <v>34</v>
      </c>
      <c r="F113" s="13" t="str">
        <f>IFERROR(__xludf.DUMMYFUNCTION("AI(""Give me a paragraph marketing spiel for product in this row, no tech specs just marketing fluff "")"),"Step into a sanctuary of pure relaxation and elevated wellness with the Top View IP68 Sauna linear lighting. Expertly crafted to blend seamlessly into luxurious spa and thermal environments, this premium accent light wraps your space in a smooth, uniform "&amp;"glow that dissolves the stress of the outside world. Designed to enhance the serene atmosphere of your personal retreat, its breathtaking radiance casts a soft, tranquil light over contours and architectural features, creating an enchanting haven of comfo"&amp;"rt and calm. Perfect for designers seeking to cultivate an elite sensory experience, it brings a touch of pure, timeless sophistication to your wellness sanctuary.")</f>
        <v>Step into a sanctuary of pure relaxation and elevated wellness with the Top View IP68 Sauna linear lighting. Expertly crafted to blend seamlessly into luxurious spa and thermal environments, this premium accent light wraps your space in a smooth, uniform glow that dissolves the stress of the outside world. Designed to enhance the serene atmosphere of your personal retreat, its breathtaking radiance casts a soft, tranquil light over contours and architectural features, creating an enchanting haven of comfort and calm. Perfect for designers seeking to cultivate an elite sensory experience, it brings a touch of pure, timeless sophistication to your wellness sanctuary.</v>
      </c>
      <c r="G113" s="12" t="s">
        <v>477</v>
      </c>
      <c r="H113" s="13" t="str">
        <f>IFERROR(__xludf.DUMMYFUNCTION("AI(""Give me a paragraph marketing spiel for product in this row, no tech specs just marketing fluff under 180 characters "")"),"Transform your sauna into a luxurious oasis with a smooth, comforting glow that invites pure relaxation.")</f>
        <v>Transform your sauna into a luxurious oasis with a smooth, comforting glow that invites pure relaxation.</v>
      </c>
      <c r="I113" s="12" t="s">
        <v>478</v>
      </c>
      <c r="J113" s="14"/>
      <c r="K113" s="14"/>
      <c r="L113" s="15" t="s">
        <v>475</v>
      </c>
      <c r="M113" s="15" t="s">
        <v>363</v>
      </c>
      <c r="N11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""&amp;M113)"),"Power Consumption Rate | Color Temperature | Voltage | IP Rating | Dimension")</f>
        <v>Power Consumption Rate | Color Temperature | Voltage | IP Rating | Dimension</v>
      </c>
      <c r="O113" s="17" t="s">
        <v>189</v>
      </c>
      <c r="P11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""&amp;O113&amp;"", Values: ""&amp;M113&amp; "" and SKU Code: "&amp;"""&amp;L113)"),"{""Power Consumption Rate"": ""6W/m"", ""Color Temperature"": ""1600K"", ""Voltage"": ""24V"", ""IP Rating"": ""IP68"", ""Dimension"": ""16mm (W) x 17mm (H)"", ""SKU"": ""TV1617-6W-1.6K-IP68-Sauna""}")</f>
        <v>{"Power Consumption Rate": "6W/m", "Color Temperature": "1600K", "Voltage": "24V", "IP Rating": "IP68", "Dimension": "16mm (W) x 17mm (H)", "SKU": "TV1617-6W-1.6K-IP68-Sauna"}</v>
      </c>
      <c r="Q113" s="17" t="s">
        <v>479</v>
      </c>
      <c r="R113"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Q113:Q119)"),"{""SKU"": [""TV1617-6W-1.6K-IP68-Sauna"", ""TV1617-6W-2.2K-IP68-Sauna"", ""TV1617-6W-2.7K-IP68-Sauna"", ""TV1617-6W-3K-IP68-Sauna"", ""TV1617-6W-4K-IP68-Sauna"", ""TV1617-6W-5.3K-IP68-Sauna"", ""TV1617-6W-TW-IP68-Sauna""], ""Power Consumption Rate"": ""6W"&amp;"/m"", ""Color Temperature"": [""1600K"", ""2200K"", ""2700K"", ""3000K"", ""4000K"", ""5300K"", ""TW (2700K-5300K)""], ""Voltage"": ""24V"", ""IP Rating"": ""IP68"", ""Dimension"": ""16mm (W) x 17mm (H)""}")</f>
        <v>{"SKU": ["TV1617-6W-1.6K-IP68-Sauna", "TV1617-6W-2.2K-IP68-Sauna", "TV1617-6W-2.7K-IP68-Sauna", "TV1617-6W-3K-IP68-Sauna", "TV1617-6W-4K-IP68-Sauna", "TV1617-6W-5.3K-IP68-Sauna", "TV1617-6W-TW-IP68-Sauna"], "Power Consumption Rate": "6W/m", "Color Temperature": ["1600K", "2200K", "2700K", "3000K", "4000K", "5300K", "TW (2700K-5300K)"], "Voltage": "24V", "IP Rating": "IP68", "Dimension": "16mm (W) x 17mm (H)"}</v>
      </c>
      <c r="S113" s="19" t="s">
        <v>480</v>
      </c>
      <c r="T113"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Q113:Q119)"),"{ ""Options"": { ""Power Consumption Rate"": [ {""name"": ""6W/m"", ""id"": ""101""} ], ""Color Temperature"": [ {""name"": ""1600K"", ""id"": ""102""}, {""name"": ""2200K"", ""id"": ""103""}, {""name"": ""2700K"", ""id"": ""104""}, {""name"": ""3000K"", "&amp;"""id"": ""105""}, {""name"": ""4000K"", ""id"": ""106""}, {""name"": ""5300K"", ""id"": ""107""}, {""name"": ""TW (2700K-5300K)"", ""id"": ""108""} ], ""Voltage"": [ {""name"": ""24V"", ""id"": ""109""} ], ""IP Rating"": [ {""name"": ""IP68"", ""id"": ""1"&amp;"10""} ], ""Dimension"": [ {""name"": ""16mm (W) x 17mm (H)"", ""id"": ""111""} ] }, ""Constraints"": {}, ""sku_mappings"": [ { ""sku"": ""TV1617-6W-1.6K-IP68-Sauna"", ""combination"": [""101"", ""102"", ""109"", ""110"", ""111""] }, { ""sku"": ""TV1617-6W"&amp;"-2.2K-IP68-Sauna"", ""combination"": [""101"", ""103"", ""109"", ""110"", ""111""] }, { ""sku"": ""TV1617-6W-2.7K-IP68-Sauna"", ""combination"": [""101"", ""104"", ""109"", ""110"", ""111""] }, { ""sku"": ""TV1617-6W-3K-IP68-Sauna"", ""combination"": [""1"&amp;"01"", ""105"", ""109"", ""110"", ""111""] }, { ""sku"": ""TV1617-6W-4K-IP68-Sauna"", ""combination"": [""101"", ""106"", ""109"", ""110"", ""111""] }, { ""sku"": ""TV1617-6W-5.3K-IP68-Sauna"", ""combination"": [""101"", ""107"", ""109"", ""110"", ""111""]"&amp;" }, { ""sku"": ""TV1617-6W-TW-IP68-Sauna"", ""combination"": [""101"", ""108"", ""109"", ""110"", ""111""] } ] }")</f>
        <v>{ "Options": {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 "Constraints": {}, "sku_mappings": [ { "sku": "TV1617-6W-1.6K-IP68-Sauna", "combination": ["101", "102", "109", "110", "111"] }, { "sku": "TV1617-6W-2.2K-IP68-Sauna", "combination": ["101", "103", "109", "110", "111"] }, { "sku": "TV1617-6W-2.7K-IP68-Sauna", "combination": ["101", "104", "109", "110", "111"] }, { "sku": "TV1617-6W-3K-IP68-Sauna", "combination": ["101", "105", "109", "110", "111"] }, { "sku": "TV1617-6W-4K-IP68-Sauna", "combination": ["101", "106", "109", "110", "111"] }, { "sku": "TV1617-6W-5.3K-IP68-Sauna", "combination": ["101", "107", "109", "110", "111"] }, { "sku": "TV1617-6W-TW-IP68-Sauna", "combination": ["101", "108", "109", "110", "111"] } ] }</v>
      </c>
      <c r="U113" s="35" t="s">
        <v>481</v>
      </c>
      <c r="V113" s="21" t="str">
        <f>IFERROR(__xludf.DUMMYFUNCTION("AI(""Extract options object from the json"", U113)"),"{ ""Power Consumption Rate"": [ {""name"": ""6W/m"", ""id"": ""101""} ], ""Color Temperature"": [ {""name"": ""1600K"", ""id"": ""102""}, {""name"": ""2200K"", ""id"": ""103""}, {""name"": ""2700K"", ""id"": ""104""}, {""name"": ""3000K"", ""id"": ""105"""&amp;"}, {""name"": ""4000K"", ""id"": ""106""}, {""name"": ""5300K"", ""id"": ""107""}, {""name"": ""TW (2700K-5300K)"", ""id"": ""108""} ], ""Voltage"": [ {""name"": ""24V"", ""id"": ""109""} ], ""IP Rating"": [ {""name"": ""IP68"", ""id"": ""110""} ], ""Dime"&amp;"nsion"": [ {""name"": ""16mm (W) x 17mm (H)"", ""id"": ""111""} ] }")</f>
        <v>{ "Power Consumption Rate": [ {"name": "6W/m", "id": "101"} ], "Color Temperature": [ {"name": "1600K", "id": "102"}, {"name": "2200K", "id": "103"}, {"name": "2700K", "id": "104"}, {"name": "3000K", "id": "105"}, {"name": "4000K", "id": "106"}, {"name": "5300K", "id": "107"}, {"name": "TW (2700K-5300K)", "id": "108"} ], "Voltage": [ {"name": "24V", "id": "109"} ], "IP Rating": [ {"name": "IP68", "id": "110"} ], "Dimension": [ {"name": "16mm (W) x 17mm (H)", "id": "111"} ] }</v>
      </c>
      <c r="W113" s="21" t="str">
        <f>IFERROR(__xludf.DUMMYFUNCTION("AI(""Extract constraints object from the json"", U113)"),"{}")</f>
        <v>{}</v>
      </c>
      <c r="X113" s="21" t="str">
        <f>IFERROR(__xludf.DUMMYFUNCTION("AI(""Extract sku_mappings object from the json"", U113)"),"[{""sku"": ""TV1617-6W-1.6K-IP68-Sauna"", ""combination"": [""101"", ""102"", ""109"", ""110"", ""111""]}, {""sku"": ""TV1617-6W-2.2K-IP68-Sauna"", ""combination"": [""101"", ""103"", ""109"", ""110"", ""111""]}, {""sku"": ""TV1617-6W-2.7K-IP68-Sauna"", "&amp;"""combination"": [""101"", ""104"", ""109"", ""110"", ""111""]}, {""sku"": ""TV1617-6W-3K-IP68-Sauna"", ""combination"": [""101"", ""105"", ""109"", ""110"", ""111""]}, {""sku"": ""TV1617-6W-4K-IP68-Sauna"", ""combination"": [""101"", ""106"", ""109"", """&amp;"110"", ""111""]}, {""sku"": ""TV1617-6W-5.3K-IP68-Sauna"", ""combination"": [""101"", ""107"", ""109"", ""110"", ""111""]}, {""sku"": ""TV1617-6W-TW-IP68-Sauna"", ""combination"": [""101"", ""108"", ""109"", ""110"", ""111""]}]")</f>
        <v>[{"sku": "TV1617-6W-1.6K-IP68-Sauna", "combination": ["101", "102", "109", "110", "111"]}, {"sku": "TV1617-6W-2.2K-IP68-Sauna", "combination": ["101", "103", "109", "110", "111"]}, {"sku": "TV1617-6W-2.7K-IP68-Sauna", "combination": ["101", "104", "109", "110", "111"]}, {"sku": "TV1617-6W-3K-IP68-Sauna", "combination": ["101", "105", "109", "110", "111"]}, {"sku": "TV1617-6W-4K-IP68-Sauna", "combination": ["101", "106", "109", "110", "111"]}, {"sku": "TV1617-6W-5.3K-IP68-Sauna", "combination": ["101", "107", "109", "110", "111"]}, {"sku": "TV1617-6W-TW-IP68-Sauna", "combination": ["101", "108", "109", "110", "111"]}]</v>
      </c>
      <c r="Y113" s="12" t="s">
        <v>42</v>
      </c>
      <c r="Z113" s="12" t="s">
        <v>482</v>
      </c>
      <c r="AA113" s="23" t="s">
        <v>44</v>
      </c>
      <c r="AB113" s="24"/>
      <c r="AC113" s="24" t="str">
        <f>IFERROR(__xludf.DUMMYFUNCTION("AI(""Generate 6 powerful unique keywords for the product in this row"")"),"Sauna linear lighting, IP68 waterproof LED, Spa accent light, Thermal environment neon, Top view flexible light, Wellness sanctuary illumination")</f>
        <v>Sauna linear lighting, IP68 waterproof LED, Spa accent light, Thermal environment neon, Top view flexible light, Wellness sanctuary illumination</v>
      </c>
      <c r="AD113" s="24" t="s">
        <v>483</v>
      </c>
    </row>
    <row r="114" ht="30.0" customHeight="1">
      <c r="A114" s="25"/>
      <c r="B114" s="14"/>
      <c r="C114" s="14"/>
      <c r="D114" s="26"/>
      <c r="E114" s="14"/>
      <c r="F114" s="27"/>
      <c r="G114" s="14"/>
      <c r="H114" s="27"/>
      <c r="I114" s="14"/>
      <c r="J114" s="14"/>
      <c r="K114" s="14"/>
      <c r="L114" s="15" t="s">
        <v>484</v>
      </c>
      <c r="M114" s="15" t="s">
        <v>370</v>
      </c>
      <c r="N11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""&amp;M114)"),"Power Consumption Rate | Color Temperature | Voltage | IP Rating | Dimension")</f>
        <v>Power Consumption Rate | Color Temperature | Voltage | IP Rating | Dimension</v>
      </c>
      <c r="O114" s="17" t="s">
        <v>189</v>
      </c>
      <c r="P11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""&amp;O114&amp;"", Values: ""&amp;M114&amp; "" and SKU Code: "&amp;"""&amp;L114)"),"{""Power Consumption Rate"": ""6W/m"", ""Color Temperature"": ""2200K"", ""Voltage"": ""24V"", ""IP Rating"": ""IP68"", ""Dimension"": ""16mm (W) x 17mm (H)"", ""SKU"": ""TV1617-6W-2.2K-IP68-Sauna""}")</f>
        <v>{"Power Consumption Rate": "6W/m", "Color Temperature": "2200K", "Voltage": "24V", "IP Rating": "IP68", "Dimension": "16mm (W) x 17mm (H)", "SKU": "TV1617-6W-2.2K-IP68-Sauna"}</v>
      </c>
      <c r="Q114" s="17" t="s">
        <v>485</v>
      </c>
      <c r="R114" s="28"/>
      <c r="S114" s="29"/>
      <c r="T114" s="33"/>
      <c r="U114" s="34"/>
      <c r="V114" s="33"/>
      <c r="W114" s="33"/>
      <c r="X114" s="33"/>
      <c r="Y114" s="12" t="s">
        <v>42</v>
      </c>
      <c r="Z114" s="12" t="s">
        <v>482</v>
      </c>
      <c r="AA114" s="23" t="s">
        <v>44</v>
      </c>
      <c r="AB114" s="24"/>
      <c r="AC114" s="24"/>
      <c r="AD114" s="24"/>
    </row>
    <row r="115" ht="30.0" customHeight="1">
      <c r="A115" s="25"/>
      <c r="B115" s="14"/>
      <c r="C115" s="14"/>
      <c r="D115" s="26"/>
      <c r="E115" s="14"/>
      <c r="F115" s="27"/>
      <c r="G115" s="14"/>
      <c r="H115" s="27"/>
      <c r="I115" s="14"/>
      <c r="J115" s="14"/>
      <c r="K115" s="14"/>
      <c r="L115" s="15" t="s">
        <v>486</v>
      </c>
      <c r="M115" s="15" t="s">
        <v>373</v>
      </c>
      <c r="N11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""&amp;M115)"),"Power Consumption Rate | Color Temperature | Voltage | IP Rating | Dimension")</f>
        <v>Power Consumption Rate | Color Temperature | Voltage | IP Rating | Dimension</v>
      </c>
      <c r="O115" s="17" t="s">
        <v>189</v>
      </c>
      <c r="P11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""&amp;O115&amp;"", Values: ""&amp;M115&amp; "" and SKU Code: "&amp;"""&amp;L115)"),"{""Power Consumption Rate"": ""6W/m"", ""Color Temperature"": ""2700K"", ""Voltage"": ""24V"", ""IP Rating"": ""IP68"", ""Dimension"": ""16mm (W) x 17mm (H)"", ""SKU"": ""TV1617-6W-2.7K-IP68-Sauna""}")</f>
        <v>{"Power Consumption Rate": "6W/m", "Color Temperature": "2700K", "Voltage": "24V", "IP Rating": "IP68", "Dimension": "16mm (W) x 17mm (H)", "SKU": "TV1617-6W-2.7K-IP68-Sauna"}</v>
      </c>
      <c r="Q115" s="17" t="s">
        <v>487</v>
      </c>
      <c r="R115" s="28"/>
      <c r="S115" s="29"/>
      <c r="T115" s="33"/>
      <c r="U115" s="34"/>
      <c r="V115" s="33"/>
      <c r="W115" s="33"/>
      <c r="X115" s="33"/>
      <c r="Y115" s="12" t="s">
        <v>42</v>
      </c>
      <c r="Z115" s="12" t="s">
        <v>482</v>
      </c>
      <c r="AA115" s="23" t="s">
        <v>44</v>
      </c>
      <c r="AB115" s="24"/>
      <c r="AC115" s="24"/>
      <c r="AD115" s="24"/>
    </row>
    <row r="116" ht="30.0" customHeight="1">
      <c r="A116" s="25"/>
      <c r="B116" s="14"/>
      <c r="C116" s="14"/>
      <c r="D116" s="26"/>
      <c r="E116" s="14"/>
      <c r="F116" s="27"/>
      <c r="G116" s="14"/>
      <c r="H116" s="27"/>
      <c r="I116" s="14"/>
      <c r="J116" s="14"/>
      <c r="K116" s="14"/>
      <c r="L116" s="15" t="s">
        <v>488</v>
      </c>
      <c r="M116" s="15" t="s">
        <v>376</v>
      </c>
      <c r="N11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""&amp;M116)"),"Power Consumption Rate | Color Temperature | Voltage | IP Rating | Dimension")</f>
        <v>Power Consumption Rate | Color Temperature | Voltage | IP Rating | Dimension</v>
      </c>
      <c r="O116" s="17" t="s">
        <v>189</v>
      </c>
      <c r="P11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""&amp;O116&amp;"", Values: ""&amp;M116&amp; "" and SKU Code: "&amp;"""&amp;L116)"),"{""Power Consumption Rate"": ""6W/m"", ""Color Temperature"": ""3000K"", ""Voltage"": ""24V"", ""IP Rating"": ""IP68"", ""Dimension"": ""16mm (W) x 17mm (H)"", ""SKU"": ""TV1617-6W-3K-IP68-Sauna""}")</f>
        <v>{"Power Consumption Rate": "6W/m", "Color Temperature": "3000K", "Voltage": "24V", "IP Rating": "IP68", "Dimension": "16mm (W) x 17mm (H)", "SKU": "TV1617-6W-3K-IP68-Sauna"}</v>
      </c>
      <c r="Q116" s="17" t="s">
        <v>489</v>
      </c>
      <c r="R116" s="28"/>
      <c r="S116" s="29"/>
      <c r="T116" s="33"/>
      <c r="U116" s="34"/>
      <c r="V116" s="33"/>
      <c r="W116" s="33"/>
      <c r="X116" s="33"/>
      <c r="Y116" s="12" t="s">
        <v>42</v>
      </c>
      <c r="Z116" s="12" t="s">
        <v>482</v>
      </c>
      <c r="AA116" s="23" t="s">
        <v>44</v>
      </c>
      <c r="AB116" s="24"/>
      <c r="AC116" s="24"/>
      <c r="AD116" s="24"/>
    </row>
    <row r="117" ht="30.0" customHeight="1">
      <c r="A117" s="25"/>
      <c r="B117" s="12"/>
      <c r="C117" s="12"/>
      <c r="D117" s="13"/>
      <c r="E117" s="12"/>
      <c r="F117" s="27"/>
      <c r="G117" s="14"/>
      <c r="H117" s="27"/>
      <c r="I117" s="14"/>
      <c r="J117" s="14"/>
      <c r="K117" s="14"/>
      <c r="L117" s="15" t="s">
        <v>490</v>
      </c>
      <c r="M117" s="15" t="s">
        <v>379</v>
      </c>
      <c r="N11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""&amp;M117)"),"Power Consumption Rate | Color Temperature | Voltage | IP Rating | Dimension")</f>
        <v>Power Consumption Rate | Color Temperature | Voltage | IP Rating | Dimension</v>
      </c>
      <c r="O117" s="17" t="s">
        <v>189</v>
      </c>
      <c r="P11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""&amp;O117&amp;"", Values: ""&amp;M117&amp; "" and SKU Code: "&amp;"""&amp;L117)"),"{""SKU"": ""TV1617-6W-4K-IP68-Sauna"", ""Power Consumption Rate"": ""6W/m"", ""Color Temperature"": ""4000K"", ""Voltage"": ""24V"", ""IP Rating"": ""IP68"", ""Dimension"": ""16mm (W) x 17mm (H)""}")</f>
        <v>{"SKU": "TV1617-6W-4K-IP68-Sauna", "Power Consumption Rate": "6W/m", "Color Temperature": "4000K", "Voltage": "24V", "IP Rating": "IP68", "Dimension": "16mm (W) x 17mm (H)"}</v>
      </c>
      <c r="Q117" s="17" t="s">
        <v>491</v>
      </c>
      <c r="R117" s="28"/>
      <c r="S117" s="29"/>
      <c r="T117" s="33"/>
      <c r="U117" s="34"/>
      <c r="V117" s="33"/>
      <c r="W117" s="33"/>
      <c r="X117" s="33"/>
      <c r="Y117" s="12" t="s">
        <v>42</v>
      </c>
      <c r="Z117" s="12" t="s">
        <v>482</v>
      </c>
      <c r="AA117" s="23" t="s">
        <v>44</v>
      </c>
      <c r="AB117" s="24"/>
      <c r="AC117" s="24"/>
      <c r="AD117" s="24"/>
    </row>
    <row r="118" ht="30.0" customHeight="1">
      <c r="A118" s="25"/>
      <c r="B118" s="14"/>
      <c r="C118" s="14"/>
      <c r="D118" s="26"/>
      <c r="E118" s="14"/>
      <c r="F118" s="27"/>
      <c r="G118" s="14"/>
      <c r="H118" s="27"/>
      <c r="I118" s="14"/>
      <c r="J118" s="14"/>
      <c r="K118" s="14"/>
      <c r="L118" s="15" t="s">
        <v>492</v>
      </c>
      <c r="M118" s="15" t="s">
        <v>382</v>
      </c>
      <c r="N11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""&amp;M118)"),"Power Consumption Rate | Color Temperature | Voltage | IP Rating | Dimension")</f>
        <v>Power Consumption Rate | Color Temperature | Voltage | IP Rating | Dimension</v>
      </c>
      <c r="O118" s="17" t="s">
        <v>189</v>
      </c>
      <c r="P11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""&amp;O118&amp;"", Values: ""&amp;M118&amp; "" and SKU Code: "&amp;"""&amp;L118)"),"{""Power Consumption Rate"": ""6W/m"", ""Color Temperature"": ""5300K"", ""Voltage"": ""24V"", ""IP Rating"": ""IP68"", ""Dimension"": ""16mm (W) x 17mm (H)"", ""SKU"": ""TV1617-6W-5.3K-IP68-Sauna""}")</f>
        <v>{"Power Consumption Rate": "6W/m", "Color Temperature": "5300K", "Voltage": "24V", "IP Rating": "IP68", "Dimension": "16mm (W) x 17mm (H)", "SKU": "TV1617-6W-5.3K-IP68-Sauna"}</v>
      </c>
      <c r="Q118" s="17" t="s">
        <v>493</v>
      </c>
      <c r="R118" s="28"/>
      <c r="S118" s="29"/>
      <c r="T118" s="33"/>
      <c r="U118" s="34"/>
      <c r="V118" s="33"/>
      <c r="W118" s="33"/>
      <c r="X118" s="33"/>
      <c r="Y118" s="12" t="s">
        <v>42</v>
      </c>
      <c r="Z118" s="12" t="s">
        <v>482</v>
      </c>
      <c r="AA118" s="23" t="s">
        <v>44</v>
      </c>
      <c r="AB118" s="24"/>
      <c r="AC118" s="24"/>
      <c r="AD118" s="24"/>
    </row>
    <row r="119" ht="30.0" customHeight="1">
      <c r="A119" s="25"/>
      <c r="B119" s="14"/>
      <c r="C119" s="14"/>
      <c r="D119" s="26"/>
      <c r="E119" s="14"/>
      <c r="F119" s="27"/>
      <c r="G119" s="14"/>
      <c r="H119" s="27"/>
      <c r="I119" s="14"/>
      <c r="J119" s="14"/>
      <c r="K119" s="14"/>
      <c r="L119" s="15" t="s">
        <v>494</v>
      </c>
      <c r="M119" s="15" t="s">
        <v>385</v>
      </c>
      <c r="N11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""&amp;M119)"),"Power Consumption Rate | Color Temperature | Voltage | IP Rating | Dimension")</f>
        <v>Power Consumption Rate | Color Temperature | Voltage | IP Rating | Dimension</v>
      </c>
      <c r="O119" s="17" t="s">
        <v>189</v>
      </c>
      <c r="P11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""&amp;O119&amp;"", Values: ""&amp;M119&amp; "" and SKU Code: "&amp;"""&amp;L119)"),"{""Power Consumption Rate"": ""6W/m"", ""Color Temperature"": ""TW (2700K-5300K)"", ""Voltage"": ""24V"", ""IP Rating"": ""IP68"", ""Dimension"": ""16mm (W) x 17mm (H)"", ""SKU"": ""TV1617-6W-TW-IP68-Sauna""}")</f>
        <v>{"Power Consumption Rate": "6W/m", "Color Temperature": "TW (2700K-5300K)", "Voltage": "24V", "IP Rating": "IP68", "Dimension": "16mm (W) x 17mm (H)", "SKU": "TV1617-6W-TW-IP68-Sauna"}</v>
      </c>
      <c r="Q119" s="17" t="s">
        <v>495</v>
      </c>
      <c r="R119" s="28"/>
      <c r="S119" s="29"/>
      <c r="T119" s="33"/>
      <c r="U119" s="34"/>
      <c r="V119" s="33"/>
      <c r="W119" s="33"/>
      <c r="X119" s="33"/>
      <c r="Y119" s="12" t="s">
        <v>42</v>
      </c>
      <c r="Z119" s="12" t="s">
        <v>482</v>
      </c>
      <c r="AA119" s="23" t="s">
        <v>44</v>
      </c>
      <c r="AB119" s="24"/>
      <c r="AC119" s="24"/>
      <c r="AD119" s="24"/>
    </row>
    <row r="120" ht="30.0" customHeight="1">
      <c r="A120" s="11" t="s">
        <v>496</v>
      </c>
      <c r="B120" s="12" t="s">
        <v>31</v>
      </c>
      <c r="C120" s="12" t="s">
        <v>32</v>
      </c>
      <c r="D120" s="13" t="s">
        <v>497</v>
      </c>
      <c r="E120" s="12" t="s">
        <v>34</v>
      </c>
      <c r="F120" s="13" t="str">
        <f>IFERROR(__xludf.DUMMYFUNCTION("AI(""Give me a paragraph marketing spiel for product in this row, no tech specs just marketing fluff "")"),"Elevate your architectural artistry with the Top View IP68 Optic, a premier linear lighting masterpiece designed to bring sophisticated, focused radiance to your design visions. Engineered for exceptional top-bending flexibility and breathtaking visual im"&amp;"pact, this luxurious neon-style light effortlessly shapes your environment, casting a seamless, uniform glow that accentuates contours and elevates modern aesthetics. Whether capturing the essence of high-end commercial spaces or delivering a dramatic tou"&amp;"ch to premium landscapes, its refined elegance and flawless presentation offer an unmatched atmosphere. Built to perform with absolute grace under any conditions, it stands as the definitive choice for designers who demand pure brilliance, seamless adapta"&amp;"bility, and uncompromised style.")</f>
        <v>Elevate your architectural artistry with the Top View IP68 Optic, a premier linear lighting masterpiece designed to bring sophisticated, focused radiance to your design visions. Engineered for exceptional top-bending flexibility and breathtaking visual impact, this luxurious neon-style light effortlessly shapes your environment, casting a seamless, uniform glow that accentuates contours and elevates modern aesthetics. Whether capturing the essence of high-end commercial spaces or delivering a dramatic touch to premium landscapes, its refined elegance and flawless presentation offer an unmatched atmosphere. Built to perform with absolute grace under any conditions, it stands as the definitive choice for designers who demand pure brilliance, seamless adaptability, and uncompromised style.</v>
      </c>
      <c r="G120" s="12" t="s">
        <v>498</v>
      </c>
      <c r="H120" s="13" t="str">
        <f>IFERROR(__xludf.DUMMYFUNCTION("AI(""Give me a paragraph marketing spiel for product in this row, no tech specs just marketing fluff under 180 characters "")"),"Elevate your space with the Top View IP68 Optic. This premier linear light brings sophisticated, focused radiance to your architectural artistry and modern aesthetics.")</f>
        <v>Elevate your space with the Top View IP68 Optic. This premier linear light brings sophisticated, focused radiance to your architectural artistry and modern aesthetics.</v>
      </c>
      <c r="I120" s="12" t="s">
        <v>499</v>
      </c>
      <c r="J120" s="14"/>
      <c r="K120" s="14"/>
      <c r="L120" s="15" t="s">
        <v>496</v>
      </c>
      <c r="M120" s="15" t="s">
        <v>500</v>
      </c>
      <c r="N12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""&amp;M120)"),"Power Consumption Rate | Color Temperature | Voltage | IP Rating | Dimension | Beam Angle")</f>
        <v>Power Consumption Rate | Color Temperature | Voltage | IP Rating | Dimension | Beam Angle</v>
      </c>
      <c r="O120" s="17" t="s">
        <v>501</v>
      </c>
      <c r="P12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""&amp;O120&amp;"", Values: ""&amp;M120&amp; "" and SKU Code: "&amp;"""&amp;L120)"),"{""Power Consumption Rate"": ""22W/m"", ""Color Temperature"": ""2700K"", ""Voltage"": ""24V"", ""IP Rating"": ""IP68"", ""Dimension"": ""16mm (W) x 17mm (H)"", ""Beam Angle"": ""36°"", ""SKU"": ""TV1617-22W-2.7K-IP68-Optic""}")</f>
        <v>{"Power Consumption Rate": "22W/m", "Color Temperature": "2700K", "Voltage": "24V", "IP Rating": "IP68", "Dimension": "16mm (W) x 17mm (H)", "Beam Angle": "36°", "SKU": "TV1617-22W-2.7K-IP68-Optic"}</v>
      </c>
      <c r="Q120" s="36" t="s">
        <v>502</v>
      </c>
      <c r="R120"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Q120:Q123)"),"{""Power Consumption Rate"": ""22W/m"", ""Color Temperature"": [""2700K"", ""3000K"", ""4000K"", ""5000K""], ""Voltage"": ""24V"", ""IP Rating"": ""IP68"", ""Dimension"": ""16mm (W) x 17mm (H)"", ""Beam Angle"": ""36°"", ""SKU"": [""TV1617-22W-2.7K-IP68-O"&amp;"ptic"", ""TV1617-22W-3K-IP68-Optic"", ""TV1617-22W-4K-IP68-Optic"", ""TV1617-22W-5K-IP68-Optic""]}")</f>
        <v>{"Power Consumption Rate": "22W/m", "Color Temperature": ["2700K", "3000K", "4000K", "5000K"], "Voltage": "24V", "IP Rating": "IP68", "Dimension": "16mm (W) x 17mm (H)", "Beam Angle": "36°", "SKU": ["TV1617-22W-2.7K-IP68-Optic", "TV1617-22W-3K-IP68-Optic", "TV1617-22W-4K-IP68-Optic", "TV1617-22W-5K-IP68-Optic"]}</v>
      </c>
      <c r="S120" s="19" t="s">
        <v>503</v>
      </c>
      <c r="T120"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Q120:Q123)"),"{
""Options"": {
""Power Consumption Rate"": [
{""name"": ""22W/m"", ""id"": ""101""}
],
""Color Temperature"": [
{""name"": ""2700K"", ""id"": ""102""},
{""name"": ""3000K"", ""id"": ""103""},
{""name"": ""4000K"", ""id"": ""104""},
{""name"": ""5000K"","&amp;" ""id"": ""105""}
],
""Voltage"": [
{""name"": ""24V"", ""id"": ""106""}
],
""IP Rating"": [
{""name"": ""IP68"", ""id"": ""107""}
],
""Dimension"": [
{""name"": ""16mm (W) x 17mm (H)"", ""id"": ""108""}
],
""Beam Angle"": [
{""name"": ""36°"", ""id"": """&amp;"109""}
]
},
""Constraints"": {},
""sku_mappings"": [
{ ""sku"": ""TV1617-22W-2.7K-IP68-Optic"", ""combination"": [""101"", ""102"", ""106"", ""107"", ""108"", ""109""] },
{ ""sku"": ""TV1617-22W-3K-IP68-Optic"", ""combination"": [""101"", ""103"", ""106"""&amp;", ""107"", ""108"", ""109""] },
{ ""sku"": ""TV1617-22W-4K-IP68-Optic"", ""combination"": [""101"", ""104"", ""106"", ""107"", ""108"", ""109""] },
{ ""sku"": ""TV1617-22W-5K-IP68-Optic"", ""combination"": [""101"", ""105"", ""106"", ""107"", ""108"", ""1"&amp;"09""] }
]
}")</f>
        <v>{
"Options": {
"Power Consumption Rate": [
{"name": "22W/m", "id": "101"}
],
"Color Temperature": [
{"name": "2700K", "id": "102"},
{"name": "3000K", "id": "103"},
{"name": "4000K", "id": "104"},
{"name": "5000K", "id": "105"}
],
"Voltage": [
{"name": "24V", "id": "106"}
],
"IP Rating": [
{"name": "IP68", "id": "107"}
],
"Dimension": [
{"name": "16mm (W) x 17mm (H)", "id": "108"}
],
"Beam Angle": [
{"name": "36°", "id": "109"}
]
},
"Constraints": {},
"sku_mappings": [
{ "sku": "TV1617-22W-2.7K-IP68-Optic", "combination": ["101", "102", "106", "107", "108", "109"] },
{ "sku": "TV1617-22W-3K-IP68-Optic", "combination": ["101", "103", "106", "107", "108", "109"] },
{ "sku": "TV1617-22W-4K-IP68-Optic", "combination": ["101", "104", "106", "107", "108", "109"] },
{ "sku": "TV1617-22W-5K-IP68-Optic", "combination": ["101", "105", "106", "107", "108", "109"] }
]
}</v>
      </c>
      <c r="U120" s="35" t="s">
        <v>504</v>
      </c>
      <c r="V120" s="21" t="str">
        <f>IFERROR(__xludf.DUMMYFUNCTION("AI(""Extract options object from the json"", U120)"),"{ ""Power Consumption Rate"": [ {""name"": ""22W/m"", ""id"": ""101""} ], ""Color Temperature"": [ {""name"": ""2700K"", ""id"": ""102""}, {""name"": ""3000K"", ""id"": ""103""}, {""name"": ""4000K"", ""id"": ""104""}, {""name"": ""5000K"", ""id"": ""105"&amp;"""} ], ""Voltage"": [ {""name"": ""24V"", ""id"": ""106""} ], ""IP Rating"": [ {""name"": ""IP68"", ""id"": ""107""} ], ""Dimension"": [ {""name"": ""16mm (W) x 17mm (H)"", ""id"": ""108""} ], ""Beam Angle"": [ {""name"": ""36°"", ""id"": ""109""} ] }")</f>
        <v>{ "Power Consumption Rate": [ {"name": "22W/m", "id": "101"} ], "Color Temperature": [ {"name": "2700K", "id": "102"}, {"name": "3000K", "id": "103"}, {"name": "4000K", "id": "104"}, {"name": "5000K", "id": "105"} ], "Voltage": [ {"name": "24V", "id": "106"} ], "IP Rating": [ {"name": "IP68", "id": "107"} ], "Dimension": [ {"name": "16mm (W) x 17mm (H)", "id": "108"} ], "Beam Angle": [ {"name": "36°", "id": "109"} ] }</v>
      </c>
      <c r="W120" s="21" t="str">
        <f>IFERROR(__xludf.DUMMYFUNCTION("AI(""Extract constraints object from the json"", U120)"),"{}")</f>
        <v>{}</v>
      </c>
      <c r="X120" s="21" t="str">
        <f>IFERROR(__xludf.DUMMYFUNCTION("AI(""Extract sku_mappings object from the json"", U120)"),"[{""sku"": ""TV1617-22W-2.7K-IP68-Optic"", ""combination"": [""101"", ""102"", ""106"", ""107"", ""108"", ""109""]}, {""sku"": ""TV1617-22W-3K-IP68-Optic"", ""combination"": [""101"", ""103"", ""106"", ""107"", ""108"", ""109""]}, {""sku"": ""TV1617-22W-4"&amp;"K-IP68-Optic"", ""combination"": [""101"", ""104"", ""106"", ""107"", ""108"", ""109""]}, {""sku"": ""TV1617-22W-5K-IP68-Optic"", ""combination"": [""101"", ""105"", ""106"", ""107"", ""108"", ""109""]}]")</f>
        <v>[{"sku": "TV1617-22W-2.7K-IP68-Optic", "combination": ["101", "102", "106", "107", "108", "109"]}, {"sku": "TV1617-22W-3K-IP68-Optic", "combination": ["101", "103", "106", "107", "108", "109"]}, {"sku": "TV1617-22W-4K-IP68-Optic", "combination": ["101", "104", "106", "107", "108", "109"]}, {"sku": "TV1617-22W-5K-IP68-Optic", "combination": ["101", "105", "106", "107", "108", "109"]}]</v>
      </c>
      <c r="Y120" s="12" t="s">
        <v>42</v>
      </c>
      <c r="Z120" s="12" t="s">
        <v>505</v>
      </c>
      <c r="AA120" s="23" t="s">
        <v>44</v>
      </c>
      <c r="AB120" s="24"/>
      <c r="AC120" s="24" t="str">
        <f>IFERROR(__xludf.DUMMYFUNCTION("AI(""Generate 6 powerful unique keywords for the product in this row"")"),"Focused linear LED, Top View optic, IP68 waterproof neon, Architectural contour light, Focused beam illumination, Premium commercial lighting")</f>
        <v>Focused linear LED, Top View optic, IP68 waterproof neon, Architectural contour light, Focused beam illumination, Premium commercial lighting</v>
      </c>
      <c r="AD120" s="24" t="s">
        <v>506</v>
      </c>
    </row>
    <row r="121" ht="30.0" customHeight="1">
      <c r="A121" s="25"/>
      <c r="B121" s="14"/>
      <c r="C121" s="14"/>
      <c r="D121" s="26"/>
      <c r="E121" s="14"/>
      <c r="F121" s="27"/>
      <c r="G121" s="14"/>
      <c r="H121" s="27"/>
      <c r="I121" s="14"/>
      <c r="J121" s="14"/>
      <c r="K121" s="14"/>
      <c r="L121" s="15" t="s">
        <v>507</v>
      </c>
      <c r="M121" s="15" t="s">
        <v>508</v>
      </c>
      <c r="N12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""&amp;M121)"),"Power Consumption Rate | Color Temperature | Voltage | IP Rating | Dimension | Beam Angle")</f>
        <v>Power Consumption Rate | Color Temperature | Voltage | IP Rating | Dimension | Beam Angle</v>
      </c>
      <c r="O121" s="17" t="s">
        <v>501</v>
      </c>
      <c r="P12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""&amp;O121&amp;"", Values: ""&amp;M121&amp; "" and SKU Code: "&amp;"""&amp;L121)"),"{""Power Consumption Rate"": ""22W/m"", ""Color Temperature"": ""3000K"", ""Voltage"": ""24V"", ""IP Rating"": ""IP68"", ""Dimension"": ""16mm (W) x 17mm (H)"", ""Beam Angle"": ""36°"", ""SKU"": ""TV1617-22W-3K-IP68-Optic""}")</f>
        <v>{"Power Consumption Rate": "22W/m", "Color Temperature": "3000K", "Voltage": "24V", "IP Rating": "IP68", "Dimension": "16mm (W) x 17mm (H)", "Beam Angle": "36°", "SKU": "TV1617-22W-3K-IP68-Optic"}</v>
      </c>
      <c r="Q121" s="36" t="s">
        <v>509</v>
      </c>
      <c r="R121" s="28"/>
      <c r="S121" s="29"/>
      <c r="T121" s="33"/>
      <c r="U121" s="34"/>
      <c r="V121" s="33"/>
      <c r="W121" s="33"/>
      <c r="X121" s="33"/>
      <c r="Y121" s="12" t="s">
        <v>42</v>
      </c>
      <c r="Z121" s="12" t="s">
        <v>505</v>
      </c>
      <c r="AA121" s="23" t="s">
        <v>44</v>
      </c>
      <c r="AB121" s="24"/>
      <c r="AC121" s="24"/>
      <c r="AD121" s="24"/>
    </row>
    <row r="122" ht="30.0" customHeight="1">
      <c r="A122" s="25"/>
      <c r="B122" s="14"/>
      <c r="C122" s="14"/>
      <c r="D122" s="26"/>
      <c r="E122" s="14"/>
      <c r="F122" s="27"/>
      <c r="G122" s="14"/>
      <c r="H122" s="27"/>
      <c r="I122" s="14"/>
      <c r="J122" s="14"/>
      <c r="K122" s="14"/>
      <c r="L122" s="15" t="s">
        <v>510</v>
      </c>
      <c r="M122" s="15" t="s">
        <v>511</v>
      </c>
      <c r="N12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""&amp;M122)"),"Power Consumption Rate | Color Temperature | Voltage | IP Rating | Dimension | Beam Angle")</f>
        <v>Power Consumption Rate | Color Temperature | Voltage | IP Rating | Dimension | Beam Angle</v>
      </c>
      <c r="O122" s="17" t="s">
        <v>501</v>
      </c>
      <c r="P12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""&amp;O122&amp;"", Values: ""&amp;M122&amp; "" and SKU Code: "&amp;"""&amp;L122)"),"{""Power Consumption Rate"": ""22W/m"", ""Color Temperature"": ""4000K"", ""Voltage"": ""24V"", ""IP Rating"": ""IP68"", ""Dimension"": ""16mm (W) x 17mm (H)"", ""Beam Angle"": ""36°"", ""SKU"": ""TV1617-22W-4K-IP68-Optic""}")</f>
        <v>{"Power Consumption Rate": "22W/m", "Color Temperature": "4000K", "Voltage": "24V", "IP Rating": "IP68", "Dimension": "16mm (W) x 17mm (H)", "Beam Angle": "36°", "SKU": "TV1617-22W-4K-IP68-Optic"}</v>
      </c>
      <c r="Q122" s="36" t="s">
        <v>512</v>
      </c>
      <c r="R122" s="28"/>
      <c r="S122" s="29"/>
      <c r="T122" s="33"/>
      <c r="U122" s="34"/>
      <c r="V122" s="33"/>
      <c r="W122" s="33"/>
      <c r="X122" s="33"/>
      <c r="Y122" s="12" t="s">
        <v>42</v>
      </c>
      <c r="Z122" s="12" t="s">
        <v>505</v>
      </c>
      <c r="AA122" s="23" t="s">
        <v>44</v>
      </c>
      <c r="AB122" s="24"/>
      <c r="AC122" s="24"/>
      <c r="AD122" s="24"/>
    </row>
    <row r="123" ht="30.0" customHeight="1">
      <c r="A123" s="25"/>
      <c r="B123" s="14"/>
      <c r="C123" s="14"/>
      <c r="D123" s="26"/>
      <c r="E123" s="14"/>
      <c r="F123" s="27"/>
      <c r="G123" s="14"/>
      <c r="H123" s="27"/>
      <c r="I123" s="14"/>
      <c r="J123" s="14"/>
      <c r="K123" s="14"/>
      <c r="L123" s="15" t="s">
        <v>513</v>
      </c>
      <c r="M123" s="15" t="s">
        <v>514</v>
      </c>
      <c r="N12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""&amp;M123)"),"Power Consumption Rate | Color Temperature | Voltage | IP Rating | Dimension | Beam Angle")</f>
        <v>Power Consumption Rate | Color Temperature | Voltage | IP Rating | Dimension | Beam Angle</v>
      </c>
      <c r="O123" s="17" t="s">
        <v>501</v>
      </c>
      <c r="P12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""&amp;O123&amp;"", Values: ""&amp;M123&amp; "" and SKU Code: "&amp;"""&amp;L123)"),"{""SKU"": ""TV1617-22W-5K-IP68-Optic"", ""Power Consumption Rate"": ""22W/m"", ""Color Temperature"": ""5000K"", ""Voltage"": ""24V"", ""IP Rating"": ""IP68"", ""Dimension"": ""16mm (W) x 17mm (H)"", ""Beam Angle"": ""36°""}")</f>
        <v>{"SKU": "TV1617-22W-5K-IP68-Optic", "Power Consumption Rate": "22W/m", "Color Temperature": "5000K", "Voltage": "24V", "IP Rating": "IP68", "Dimension": "16mm (W) x 17mm (H)", "Beam Angle": "36°"}</v>
      </c>
      <c r="Q123" s="36" t="s">
        <v>515</v>
      </c>
      <c r="R123" s="28"/>
      <c r="S123" s="29"/>
      <c r="T123" s="33"/>
      <c r="U123" s="34"/>
      <c r="V123" s="33"/>
      <c r="W123" s="33"/>
      <c r="X123" s="33"/>
      <c r="Y123" s="12" t="s">
        <v>42</v>
      </c>
      <c r="Z123" s="12" t="s">
        <v>505</v>
      </c>
      <c r="AA123" s="23" t="s">
        <v>44</v>
      </c>
      <c r="AB123" s="24"/>
      <c r="AC123" s="24"/>
      <c r="AD123" s="24"/>
    </row>
    <row r="124" ht="30.0" customHeight="1">
      <c r="A124" s="11" t="s">
        <v>516</v>
      </c>
      <c r="B124" s="12" t="s">
        <v>90</v>
      </c>
      <c r="C124" s="12" t="s">
        <v>32</v>
      </c>
      <c r="D124" s="13" t="s">
        <v>497</v>
      </c>
      <c r="E124" s="12" t="s">
        <v>34</v>
      </c>
      <c r="F124" s="13" t="str">
        <f>IFERROR(__xludf.DUMMYFUNCTION("AI(""Give me a paragraph marketing spiel for product in this row, no tech specs just marketing fluff "")"),"Experience the epitome of precision and drama with the Side View IP68 Optic, a premium linear lighting masterpiece designed to redefine luxury illumination. Engineered with advanced optics, this sophisticated neon-style light projects a focused, captivati"&amp;"ng beam that beautifully accentuates architectural contours and artistic details. Its seamless side-bending flexibility unlocks unparalleled design freedom, allowing you to craft breathtaking visual statements in high-end commercial spaces, upscale reside"&amp;"ntial interiors, and elite outdoor landscapes. Bring an atmosphere of timeless elegance and unmatched prestige to your visionary projects with a refined glow that transforms the ordinary into an extraordinary spectacle of light.")</f>
        <v>Experience the epitome of precision and drama with the Side View IP68 Optic, a premium linear lighting masterpiece designed to redefine luxury illumination. Engineered with advanced optics, this sophisticated neon-style light projects a focused, captivating beam that beautifully accentuates architectural contours and artistic details. Its seamless side-bending flexibility unlocks unparalleled design freedom, allowing you to craft breathtaking visual statements in high-end commercial spaces, upscale residential interiors, and elite outdoor landscapes. Bring an atmosphere of timeless elegance and unmatched prestige to your visionary projects with a refined glow that transforms the ordinary into an extraordinary spectacle of light.</v>
      </c>
      <c r="G124" s="12" t="s">
        <v>517</v>
      </c>
      <c r="H124" s="13" t="str">
        <f>IFERROR(__xludf.DUMMYFUNCTION("AI(""Give me a paragraph marketing spiel for product in this row, no tech specs just marketing fluff under 180 characters "")"),"Redefine luxury with the Side View IP68 Optic, projecting a focused, captivating beam to bring timeless elegance and precision to your visionary spaces.")</f>
        <v>Redefine luxury with the Side View IP68 Optic, projecting a focused, captivating beam to bring timeless elegance and precision to your visionary spaces.</v>
      </c>
      <c r="I124" s="12" t="s">
        <v>518</v>
      </c>
      <c r="J124" s="14"/>
      <c r="K124" s="14"/>
      <c r="L124" s="15" t="s">
        <v>516</v>
      </c>
      <c r="M124" s="15" t="s">
        <v>519</v>
      </c>
      <c r="N12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""&amp;M124)"),"Power Consumption Rate | Color Temperature | Voltage | IP Rating | Dimension | Beam Angle")</f>
        <v>Power Consumption Rate | Color Temperature | Voltage | IP Rating | Dimension | Beam Angle</v>
      </c>
      <c r="O124" s="17" t="s">
        <v>501</v>
      </c>
      <c r="P12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""&amp;O124&amp;"", Values: ""&amp;M124&amp; "" and SKU Code: "&amp;"""&amp;L124)"),"{""Power Consumption Rate"": ""18W/m"", ""Color Temperature"": ""2200K"", ""Voltage"": ""24V"", ""IP Rating"": ""IP68"", ""Dimension"": ""16mm (W) x 17mm (H)"", ""Beam Angle"": ""36°"", ""SKU"": ""SV1617-18W-2.2K-IP68-Optic""}")</f>
        <v>{"Power Consumption Rate": "18W/m", "Color Temperature": "2200K", "Voltage": "24V", "IP Rating": "IP68", "Dimension": "16mm (W) x 17mm (H)", "Beam Angle": "36°", "SKU": "SV1617-18W-2.2K-IP68-Optic"}</v>
      </c>
      <c r="Q124" s="17" t="s">
        <v>520</v>
      </c>
      <c r="R124"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Q124:Q127)"),"{""SKU"": [""SV1617-18W-2.2K-IP68-Optic"", ""SV1617-18W-2.7K-IP68-Optic"", ""SV1617-18W-3K-IP68-Optic"", ""SV1617-18W-4K-IP68-Optic""], ""Power Consumption Rate"": ""18W/m"", ""Color Temperature"": [""2200K"", ""2700K"", ""3000K"", ""4000K""], ""Voltage"""&amp;": ""24V"", ""IP Rating"": ""IP68"", ""Dimension"": ""16mm (W) x 17mm (H)"", ""Beam Angle"": ""36°""}")</f>
        <v>{"SKU": ["SV1617-18W-2.2K-IP68-Optic", "SV1617-18W-2.7K-IP68-Optic", "SV1617-18W-3K-IP68-Optic", "SV1617-18W-4K-IP68-Optic"], "Power Consumption Rate": "18W/m", "Color Temperature": ["2200K", "2700K", "3000K", "4000K"], "Voltage": "24V", "IP Rating": "IP68", "Dimension": "16mm (W) x 17mm (H)", "Beam Angle": "36°"}</v>
      </c>
      <c r="S124" s="19" t="s">
        <v>521</v>
      </c>
      <c r="T124"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Q124:Q127)"),"{ ""Options"": { ""Power Consumption Rate"": [ {""name"": ""18W/m"", ""id"": ""101""} ], ""Color Temperature"": [ {""name"": ""2200K"", ""id"": ""102""}, {""name"": ""2700K"", ""id"": ""103""}, {""name"": ""3000K"", ""id"": ""104""}, {""name"": ""4000K"","&amp;" ""id"": ""105""} ], ""Voltage"": [ {""name"": ""24V"", ""id"": ""106""} ], ""IP Rating"": [ {""name"": ""IP68"", ""id"": ""107""} ], ""Dimension"": [ {""name"": ""16mm (W) x 17mm (H)"", ""id"": ""108""} ], ""Beam Angle"": [ {""name"": ""36°"", ""id"": """&amp;"109""} ] }, ""Constraints"": {}, ""sku_mappings"": [ { ""sku"": ""SV1617-18W-2.2K-IP68-Optic"", ""combination"": [""101"", ""102"", ""106"", ""107"", ""108"", ""109""] }, { ""sku"": ""SV1617-18W-2.7K-IP68-Optic"", ""combination"": [""101"", ""103"", ""106"&amp;""", ""107"", ""108"", ""109""] }, { ""sku"": ""SV1617-18W-3K-IP68-Optic"", ""combination"": [""101"", ""104"", ""106"", ""107"", ""108"", ""109""] }, { ""sku"": ""SV1617-18W-4K-IP68-Optic"", ""combination"": [""101"", ""105"", ""106"", ""107"", ""108"", "&amp;"""109""] } ] }")</f>
        <v>{ "Options": { "Power Consumption Rate": [ {"name": "18W/m", "id": "101"} ], "Color Temperature": [ {"name": "2200K", "id": "102"}, {"name": "2700K", "id": "103"}, {"name": "3000K", "id": "104"}, {"name": "4000K", "id": "105"} ], "Voltage": [ {"name": "24V", "id": "106"} ], "IP Rating": [ {"name": "IP68", "id": "107"} ], "Dimension": [ {"name": "16mm (W) x 17mm (H)", "id": "108"} ], "Beam Angle": [ {"name": "36°", "id": "109"} ] }, "Constraints": {}, "sku_mappings": [ { "sku": "SV1617-18W-2.2K-IP68-Optic", "combination": ["101", "102", "106", "107", "108", "109"] }, { "sku": "SV1617-18W-2.7K-IP68-Optic", "combination": ["101", "103", "106", "107", "108", "109"] }, { "sku": "SV1617-18W-3K-IP68-Optic", "combination": ["101", "104", "106", "107", "108", "109"] }, { "sku": "SV1617-18W-4K-IP68-Optic", "combination": ["101", "105", "106", "107", "108", "109"] } ] }</v>
      </c>
      <c r="U124" s="35" t="s">
        <v>522</v>
      </c>
      <c r="V124" s="21" t="str">
        <f>IFERROR(__xludf.DUMMYFUNCTION("AI(""Extract options object from the json"", U124)"),"{ ""Power Consumption Rate"": [ {""name"": ""18W/m"", ""id"": ""101""} ], ""Color Temperature"": [ {""name"": ""2200K"", ""id"": ""102""}, {""name"": ""2700K"", ""id"": ""103""}, {""name"": ""3000K"", ""id"": ""104""}, {""name"": ""4000K"", ""id"": ""105"&amp;"""} ], ""Voltage"": [ {""name"": ""24V"", ""id"": ""106""} ], ""IP Rating"": [ {""name"": ""IP68"", ""id"": ""107""} ], ""Dimension"": [ {""name"": ""16mm (W) x 17mm (H)"", ""id"": ""108""} ], ""Beam Angle"": [ {""name"": ""36°"", ""id"": ""109""} ] }")</f>
        <v>{ "Power Consumption Rate": [ {"name": "18W/m", "id": "101"} ], "Color Temperature": [ {"name": "2200K", "id": "102"}, {"name": "2700K", "id": "103"}, {"name": "3000K", "id": "104"}, {"name": "4000K", "id": "105"} ], "Voltage": [ {"name": "24V", "id": "106"} ], "IP Rating": [ {"name": "IP68", "id": "107"} ], "Dimension": [ {"name": "16mm (W) x 17mm (H)", "id": "108"} ], "Beam Angle": [ {"name": "36°", "id": "109"} ] }</v>
      </c>
      <c r="W124" s="21" t="str">
        <f>IFERROR(__xludf.DUMMYFUNCTION("AI(""Extract constraints object from the json"", U124)"),"{}")</f>
        <v>{}</v>
      </c>
      <c r="X124" s="21" t="str">
        <f>IFERROR(__xludf.DUMMYFUNCTION("AI(""Extract sku_mappings object from the json"", U124)"),"[{""sku"": ""SV1617-18W-2.2K-IP68-Optic"", ""combination"": [""101"", ""102"", ""106"", ""107"", ""108"", ""109""]}, {""sku"": ""SV1617-18W-2.7K-IP68-Optic"", ""combination"": [""101"", ""103"", ""106"", ""107"", ""108"", ""109""]}, {""sku"": ""SV1617-18W"&amp;"-3K-IP68-Optic"", ""combination"": [""101"", ""104"", ""106"", ""107"", ""108"", ""109""]}, {""sku"": ""SV1617-18W-4K-IP68-Optic"", ""combination"": [""101"", ""105"", ""106"", ""107"", ""108"", ""109""]}]")</f>
        <v>[{"sku": "SV1617-18W-2.2K-IP68-Optic", "combination": ["101", "102", "106", "107", "108", "109"]}, {"sku": "SV1617-18W-2.7K-IP68-Optic", "combination": ["101", "103", "106", "107", "108", "109"]}, {"sku": "SV1617-18W-3K-IP68-Optic", "combination": ["101", "104", "106", "107", "108", "109"]}, {"sku": "SV1617-18W-4K-IP68-Optic", "combination": ["101", "105", "106", "107", "108", "109"]}]</v>
      </c>
      <c r="Y124" s="12" t="s">
        <v>42</v>
      </c>
      <c r="Z124" s="12" t="s">
        <v>523</v>
      </c>
      <c r="AA124" s="23" t="s">
        <v>44</v>
      </c>
      <c r="AB124" s="24"/>
      <c r="AC124" s="24" t="str">
        <f>IFERROR(__xludf.DUMMYFUNCTION("AI(""Generate 6 powerful unique keywords for the product in this row"")"),"Side view neon, Focused beam optics, Waterproof linear LED, Precision architectural lighting, Narrow beam accent, Premium luxury illumination")</f>
        <v>Side view neon, Focused beam optics, Waterproof linear LED, Precision architectural lighting, Narrow beam accent, Premium luxury illumination</v>
      </c>
      <c r="AD124" s="24" t="s">
        <v>524</v>
      </c>
    </row>
    <row r="125" ht="30.0" customHeight="1">
      <c r="A125" s="25"/>
      <c r="B125" s="14"/>
      <c r="C125" s="14"/>
      <c r="D125" s="26"/>
      <c r="E125" s="14"/>
      <c r="F125" s="27"/>
      <c r="G125" s="14"/>
      <c r="H125" s="27"/>
      <c r="I125" s="14"/>
      <c r="J125" s="14"/>
      <c r="K125" s="14"/>
      <c r="L125" s="15" t="s">
        <v>525</v>
      </c>
      <c r="M125" s="15" t="s">
        <v>526</v>
      </c>
      <c r="N12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""&amp;M125)"),"Power Consumption Rate | Color Temperature | Voltage | IP Rating | Dimension | Beam Angle")</f>
        <v>Power Consumption Rate | Color Temperature | Voltage | IP Rating | Dimension | Beam Angle</v>
      </c>
      <c r="O125" s="17" t="s">
        <v>501</v>
      </c>
      <c r="P12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""&amp;O125&amp;"", Values: ""&amp;M125&amp; "" and SKU Code: "&amp;"""&amp;L125)"),"{""Power Consumption Rate"": ""18W/m"", ""Color Temperature"": ""2700K"", ""Voltage"": ""24V"", ""IP Rating"": ""IP68"", ""Dimension"": ""16mm (W) x 17mm (H)"", ""Beam Angle"": ""36°"", ""SKU"": ""SV1617-18W-2.7K-IP68-Optic""}")</f>
        <v>{"Power Consumption Rate": "18W/m", "Color Temperature": "2700K", "Voltage": "24V", "IP Rating": "IP68", "Dimension": "16mm (W) x 17mm (H)", "Beam Angle": "36°", "SKU": "SV1617-18W-2.7K-IP68-Optic"}</v>
      </c>
      <c r="Q125" s="17" t="s">
        <v>527</v>
      </c>
      <c r="R125" s="28"/>
      <c r="S125" s="29"/>
      <c r="T125" s="33"/>
      <c r="U125" s="34"/>
      <c r="V125" s="33"/>
      <c r="W125" s="33"/>
      <c r="X125" s="33"/>
      <c r="Y125" s="12" t="s">
        <v>42</v>
      </c>
      <c r="Z125" s="12" t="s">
        <v>523</v>
      </c>
      <c r="AA125" s="23" t="s">
        <v>44</v>
      </c>
      <c r="AB125" s="24"/>
      <c r="AC125" s="24"/>
      <c r="AD125" s="24"/>
    </row>
    <row r="126" ht="30.0" customHeight="1">
      <c r="A126" s="25"/>
      <c r="B126" s="14"/>
      <c r="C126" s="14"/>
      <c r="D126" s="26"/>
      <c r="E126" s="14"/>
      <c r="F126" s="27"/>
      <c r="G126" s="14"/>
      <c r="H126" s="27"/>
      <c r="I126" s="14"/>
      <c r="J126" s="14"/>
      <c r="K126" s="14"/>
      <c r="L126" s="15" t="s">
        <v>528</v>
      </c>
      <c r="M126" s="15" t="s">
        <v>529</v>
      </c>
      <c r="N12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""&amp;M126)"),"Power Consumption Rate | Color Temperature | Voltage | IP Rating | Dimension | Beam Angle")</f>
        <v>Power Consumption Rate | Color Temperature | Voltage | IP Rating | Dimension | Beam Angle</v>
      </c>
      <c r="O126" s="17" t="s">
        <v>501</v>
      </c>
      <c r="P12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""&amp;O126&amp;"", Values: ""&amp;M126&amp; "" and SKU Code: "&amp;"""&amp;L126)"),"{""SKU"": ""SV1617-18W-3K-IP68-Optic"", ""Power Consumption Rate"": ""18W/m"", ""Color Temperature"": ""3000K"", ""Voltage"": ""24V"", ""IP Rating"": ""IP68"", ""Dimension"": ""16mm (W) x 17mm (H)"", ""Beam Angle"": ""36°""}")</f>
        <v>{"SKU": "SV1617-18W-3K-IP68-Optic", "Power Consumption Rate": "18W/m", "Color Temperature": "3000K", "Voltage": "24V", "IP Rating": "IP68", "Dimension": "16mm (W) x 17mm (H)", "Beam Angle": "36°"}</v>
      </c>
      <c r="Q126" s="17" t="s">
        <v>530</v>
      </c>
      <c r="R126" s="28"/>
      <c r="S126" s="29"/>
      <c r="T126" s="33"/>
      <c r="U126" s="34"/>
      <c r="V126" s="33"/>
      <c r="W126" s="33"/>
      <c r="X126" s="33"/>
      <c r="Y126" s="12" t="s">
        <v>42</v>
      </c>
      <c r="Z126" s="12" t="s">
        <v>523</v>
      </c>
      <c r="AA126" s="23" t="s">
        <v>44</v>
      </c>
      <c r="AB126" s="24"/>
      <c r="AC126" s="24"/>
      <c r="AD126" s="24"/>
    </row>
    <row r="127" ht="30.0" customHeight="1">
      <c r="A127" s="25"/>
      <c r="B127" s="14"/>
      <c r="C127" s="14"/>
      <c r="D127" s="26"/>
      <c r="E127" s="14"/>
      <c r="F127" s="27"/>
      <c r="G127" s="14"/>
      <c r="H127" s="27"/>
      <c r="I127" s="14"/>
      <c r="J127" s="14"/>
      <c r="K127" s="14"/>
      <c r="L127" s="15" t="s">
        <v>531</v>
      </c>
      <c r="M127" s="15" t="s">
        <v>532</v>
      </c>
      <c r="N12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""&amp;M127)"),"Power Consumption Rate | Color Temperature | Voltage | IP Rating | Dimension | Beam Angle")</f>
        <v>Power Consumption Rate | Color Temperature | Voltage | IP Rating | Dimension | Beam Angle</v>
      </c>
      <c r="O127" s="17" t="s">
        <v>501</v>
      </c>
      <c r="P12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""&amp;O127&amp;"", Values: ""&amp;M127&amp; "" and SKU Code: "&amp;"""&amp;L127)"),"{""Power Consumption Rate"": ""18W/m"", ""Color Temperature"": ""4000K"", ""Voltage"": ""24V"", ""IP Rating"": ""IP68"", ""Dimension"": ""16mm (W) x 17mm (H)"", ""Beam Angle"": ""36°"", ""SKU"": ""SV1617-18W-4K-IP68-Optic""}")</f>
        <v>{"Power Consumption Rate": "18W/m", "Color Temperature": "4000K", "Voltage": "24V", "IP Rating": "IP68", "Dimension": "16mm (W) x 17mm (H)", "Beam Angle": "36°", "SKU": "SV1617-18W-4K-IP68-Optic"}</v>
      </c>
      <c r="Q127" s="17" t="s">
        <v>533</v>
      </c>
      <c r="R127" s="28"/>
      <c r="S127" s="29"/>
      <c r="T127" s="33"/>
      <c r="U127" s="34"/>
      <c r="V127" s="33"/>
      <c r="W127" s="33"/>
      <c r="X127" s="33"/>
      <c r="Y127" s="12" t="s">
        <v>42</v>
      </c>
      <c r="Z127" s="12" t="s">
        <v>523</v>
      </c>
      <c r="AA127" s="23" t="s">
        <v>44</v>
      </c>
      <c r="AB127" s="24"/>
      <c r="AC127" s="24"/>
      <c r="AD127" s="24"/>
    </row>
    <row r="128" ht="30.0" customHeight="1">
      <c r="A128" s="11" t="s">
        <v>534</v>
      </c>
      <c r="B128" s="12" t="s">
        <v>535</v>
      </c>
      <c r="C128" s="12" t="s">
        <v>32</v>
      </c>
      <c r="D128" s="13" t="s">
        <v>536</v>
      </c>
      <c r="E128" s="12" t="s">
        <v>34</v>
      </c>
      <c r="F128" s="13" t="str">
        <f>IFERROR(__xludf.DUMMYFUNCTION("AI(""Give me a paragraph marketing spiel for product in this row, no tech specs just marketing fluff "")"),"Unlock a new dimension of design with the 3D Bend Neon, a revolutionary linear lighting masterpiece crafted to bring your boldest artistic concepts to life. Engineered for boundless multi-directional flexibility, this premium neon-style light bends effort"&amp;"lessly across any plane, wrapping architectural contours and spatial features in a flawless, seamless ribbon of light. Perfect for elevating high-end commercial spaces, luxury interiors, or modern landscapes, it creates a breathtaking visual statement tha"&amp;"t captures the imagination and completely transforms the atmosphere with its pure, uniform radiance.")</f>
        <v>Unlock a new dimension of design with the 3D Bend Neon, a revolutionary linear lighting masterpiece crafted to bring your boldest artistic concepts to life. Engineered for boundless multi-directional flexibility, this premium neon-style light bends effortlessly across any plane, wrapping architectural contours and spatial features in a flawless, seamless ribbon of light. Perfect for elevating high-end commercial spaces, luxury interiors, or modern landscapes, it creates a breathtaking visual statement that captures the imagination and completely transforms the atmosphere with its pure, uniform radiance.</v>
      </c>
      <c r="G128" s="12" t="s">
        <v>537</v>
      </c>
      <c r="H128" s="13" t="str">
        <f>IFERROR(__xludf.DUMMYFUNCTION("AI(""Give me a paragraph marketing spiel for product in this row, no tech specs just marketing fluff under 180 characters "")"),"Transform your space with 3D Bend Neon. Its boundless flexibility creates a flawless ribbon of light, wrapping any environment in pure, uniform elegance.")</f>
        <v>Transform your space with 3D Bend Neon. Its boundless flexibility creates a flawless ribbon of light, wrapping any environment in pure, uniform elegance.</v>
      </c>
      <c r="I128" s="12" t="s">
        <v>538</v>
      </c>
      <c r="J128" s="14"/>
      <c r="K128" s="14"/>
      <c r="L128" s="15" t="s">
        <v>534</v>
      </c>
      <c r="M128" s="15" t="s">
        <v>539</v>
      </c>
      <c r="N12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""&amp;M128)"),"Power Consumption Rate | Color Temperature | Voltage | IP Rating | Dimension")</f>
        <v>Power Consumption Rate | Color Temperature | Voltage | IP Rating | Dimension</v>
      </c>
      <c r="O128" s="17" t="s">
        <v>189</v>
      </c>
      <c r="P12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""&amp;O128&amp;"", Values: ""&amp;M128&amp; "" and SKU Code: "&amp;"""&amp;L128)"),"{""Power Consumption Rate"": ""10W/m"", ""Color Temperature"": ""2700K"", ""Voltage"": ""24V"", ""IP Rating"": ""IP68"", ""Dimension"": ""16mm (W) x 17mm (H)"", ""SKU"": ""3D1617-10W-2.7K-IP68""}")</f>
        <v>{"Power Consumption Rate": "10W/m", "Color Temperature": "2700K", "Voltage": "24V", "IP Rating": "IP68", "Dimension": "16mm (W) x 17mm (H)", "SKU": "3D1617-10W-2.7K-IP68"}</v>
      </c>
      <c r="Q128" s="17" t="s">
        <v>540</v>
      </c>
      <c r="R128"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Q128:Q130)"),"{""Power Consumption Rate"": ""10W/m"", ""Color Temperature"": [""2700K"", ""3000K"", ""4000K""], ""Voltage"": ""24V"", ""IP Rating"": ""IP68"", ""Dimension"": ""16mm (W) x 17mm (H)"", ""SKU"": [""3D1617-10W-2.7K-IP68"", ""3D1617-10W-3K-IP68"", ""3D1617-1"&amp;"0W-4K-IP68""]}")</f>
        <v>{"Power Consumption Rate": "10W/m", "Color Temperature": ["2700K", "3000K", "4000K"], "Voltage": "24V", "IP Rating": "IP68", "Dimension": "16mm (W) x 17mm (H)", "SKU": ["3D1617-10W-2.7K-IP68", "3D1617-10W-3K-IP68", "3D1617-10W-4K-IP68"]}</v>
      </c>
      <c r="S128" s="19" t="s">
        <v>541</v>
      </c>
      <c r="T128"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Q128:Q130)"),"{
""Options"": {
""Power Consumption Rate"": [
{""name"": ""10W/m"", ""id"": ""101""}
],
""Color Temperature"": [
{""name"": ""2700K"", ""id"": ""102""},
{""name"": ""3000K"", ""id"": ""103""},
{""name"": ""4000K"", ""id"": ""104""}
],
""Voltage"": [
{""n"&amp;"ame"": ""24V"", ""id"": ""105""}
],
""IP Rating"": [
{""name"": ""IP68"", ""id"": ""106""}
],
""Dimension"": [
{""name"": ""16mm (W) x 17mm (H)"", ""id"": ""107""}
]
},
""Constraints"": {},
""sku_mappings"": [
{ ""sku"": ""3D1617-10W-2.7K-IP68"", ""combin"&amp;"ation"": [""101"", ""102"", ""105"", ""106"", ""107""] },
{ ""sku"": ""3D1617-10W-3K-IP68"", ""combination"": [""101"", ""103"", ""105"", ""106"", ""107""] },
{ ""sku"": ""3D1617-10W-4K-IP68"", ""combination"": [""101"", ""104"", ""105"", ""106"", ""107"""&amp;"] }
]
}")</f>
        <v>{
"Options": {
"Power Consumption Rate": [
{"name": "10W/m", "id": "101"}
],
"Color Temperature": [
{"name": "2700K", "id": "102"},
{"name": "3000K", "id": "103"},
{"name": "4000K", "id": "104"}
],
"Voltage": [
{"name": "24V", "id": "105"}
],
"IP Rating": [
{"name": "IP68", "id": "106"}
],
"Dimension": [
{"name": "16mm (W) x 17mm (H)", "id": "107"}
]
},
"Constraints": {},
"sku_mappings": [
{ "sku": "3D1617-10W-2.7K-IP68", "combination": ["101", "102", "105", "106", "107"] },
{ "sku": "3D1617-10W-3K-IP68", "combination": ["101", "103", "105", "106", "107"] },
{ "sku": "3D1617-10W-4K-IP68", "combination": ["101", "104", "105", "106", "107"] }
]
}</v>
      </c>
      <c r="U128" s="35" t="s">
        <v>542</v>
      </c>
      <c r="V128" s="21" t="str">
        <f>IFERROR(__xludf.DUMMYFUNCTION("AI(""Extract options object from the json"", U128)"),"{ ""Power Consumption Rate"": [ {""name"": ""10W/m"", ""id"": ""101""} ], ""Color Temperature"": [ {""name"": ""2700K"", ""id"": ""102""}, {""name"": ""3000K"", ""id"": ""103""}, {""name"": ""4000K"", ""id"": ""104""} ], ""Voltage"": [ {""name"": ""24V"","&amp;" ""id"": ""105""} ], ""IP Rating"": [ {""name"": ""IP68"", ""id"": ""106""} ], ""Dimension"": [ {""name"": ""16mm (W) x 17mm (H)"", ""id"": ""107""} ] }")</f>
        <v>{ "Power Consumption Rate": [ {"name": "10W/m", "id": "101"} ], "Color Temperature": [ {"name": "2700K", "id": "102"}, {"name": "3000K", "id": "103"}, {"name": "4000K", "id": "104"} ], "Voltage": [ {"name": "24V", "id": "105"} ], "IP Rating": [ {"name": "IP68", "id": "106"} ], "Dimension": [ {"name": "16mm (W) x 17mm (H)", "id": "107"} ] }</v>
      </c>
      <c r="W128" s="21" t="str">
        <f>IFERROR(__xludf.DUMMYFUNCTION("AI(""Extract constraints object from the json"", U128)"),"{}")</f>
        <v>{}</v>
      </c>
      <c r="X128" s="21" t="str">
        <f>IFERROR(__xludf.DUMMYFUNCTION("AI(""Extract sku_mappings object from the json"", U128)"),"[{""sku"": ""3D1617-10W-2.7K-IP68"", ""combination"": [""101"", ""102"", ""105"", ""106"", ""107""]}, {""sku"": ""3D1617-10W-3K-IP68"", ""combination"": [""101"", ""103"", ""105"", ""106"", ""107""]}, {""sku"": ""3D1617-10W-4K-IP68"", ""combination"": ["""&amp;"101"", ""104"", ""105"", ""106"", ""107""]}]")</f>
        <v>[{"sku": "3D1617-10W-2.7K-IP68", "combination": ["101", "102", "105", "106", "107"]}, {"sku": "3D1617-10W-3K-IP68", "combination": ["101", "103", "105", "106", "107"]}, {"sku": "3D1617-10W-4K-IP68", "combination": ["101", "104", "105", "106", "107"]}]</v>
      </c>
      <c r="Y128" s="12" t="s">
        <v>42</v>
      </c>
      <c r="Z128" s="12" t="s">
        <v>543</v>
      </c>
      <c r="AA128" s="23" t="s">
        <v>44</v>
      </c>
      <c r="AB128" s="24"/>
      <c r="AC128" s="24" t="str">
        <f>IFERROR(__xludf.DUMMYFUNCTION("AI(""Generate 6 powerful unique keywords for the product in this row"")"),"3D bend neon, Flexible linear LED, Architectural accent lighting, Multi-directional flexibility, Waterproof light ribbon, Premium commercial lighting")</f>
        <v>3D bend neon, Flexible linear LED, Architectural accent lighting, Multi-directional flexibility, Waterproof light ribbon, Premium commercial lighting</v>
      </c>
      <c r="AD128" s="24" t="s">
        <v>544</v>
      </c>
    </row>
    <row r="129" ht="30.0" customHeight="1">
      <c r="A129" s="25"/>
      <c r="B129" s="14"/>
      <c r="C129" s="14"/>
      <c r="D129" s="26"/>
      <c r="E129" s="14"/>
      <c r="F129" s="27"/>
      <c r="G129" s="14"/>
      <c r="H129" s="27"/>
      <c r="I129" s="14"/>
      <c r="J129" s="14"/>
      <c r="K129" s="14"/>
      <c r="L129" s="15" t="s">
        <v>545</v>
      </c>
      <c r="M129" s="15" t="s">
        <v>546</v>
      </c>
      <c r="N12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""&amp;M129)"),"Power Consumption Rate | Color Temperature | Voltage | IP Rating | Dimension")</f>
        <v>Power Consumption Rate | Color Temperature | Voltage | IP Rating | Dimension</v>
      </c>
      <c r="O129" s="17" t="s">
        <v>189</v>
      </c>
      <c r="P12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""&amp;O129&amp;"", Values: ""&amp;M129&amp; "" and SKU Code: "&amp;"""&amp;L129)"),"{""Power Consumption Rate"": ""10W/m"", ""Color Temperature"": ""3000K"", ""Voltage"": ""24V"", ""IP Rating"": ""IP68"", ""Dimension"": ""16mm (W) x 17mm (H)"", ""SKU"": ""3D1617-10W-3K-IP68""}")</f>
        <v>{"Power Consumption Rate": "10W/m", "Color Temperature": "3000K", "Voltage": "24V", "IP Rating": "IP68", "Dimension": "16mm (W) x 17mm (H)", "SKU": "3D1617-10W-3K-IP68"}</v>
      </c>
      <c r="Q129" s="17" t="s">
        <v>547</v>
      </c>
      <c r="R129" s="28"/>
      <c r="S129" s="29"/>
      <c r="T129" s="33"/>
      <c r="U129" s="34"/>
      <c r="V129" s="33"/>
      <c r="W129" s="33"/>
      <c r="X129" s="33"/>
      <c r="Y129" s="12" t="s">
        <v>42</v>
      </c>
      <c r="Z129" s="12" t="s">
        <v>543</v>
      </c>
      <c r="AA129" s="23" t="s">
        <v>44</v>
      </c>
      <c r="AB129" s="24"/>
      <c r="AC129" s="24"/>
      <c r="AD129" s="24"/>
    </row>
    <row r="130" ht="30.0" customHeight="1">
      <c r="A130" s="25"/>
      <c r="B130" s="14"/>
      <c r="C130" s="14"/>
      <c r="D130" s="26"/>
      <c r="E130" s="14"/>
      <c r="F130" s="27"/>
      <c r="G130" s="14"/>
      <c r="H130" s="27"/>
      <c r="I130" s="14"/>
      <c r="J130" s="14"/>
      <c r="K130" s="14"/>
      <c r="L130" s="15" t="s">
        <v>548</v>
      </c>
      <c r="M130" s="15" t="s">
        <v>549</v>
      </c>
      <c r="N13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""&amp;M130)"),"Power Consumption Rate | Color Temperature | Voltage | IP Rating | Dimension")</f>
        <v>Power Consumption Rate | Color Temperature | Voltage | IP Rating | Dimension</v>
      </c>
      <c r="O130" s="17" t="s">
        <v>189</v>
      </c>
      <c r="P13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""&amp;O130&amp;"", Values: ""&amp;M130&amp; "" and SKU Code: "&amp;"""&amp;L130)"),"{""Power Consumption Rate"": ""10W/m"", ""Color Temperature"": ""4000K"", ""Voltage"": ""24V"", ""IP Rating"": ""IP68"", ""Dimension"": ""16mm (W) x 17mm (H)"", ""SKU"": ""3D1617-10W-4K-IP68""}")</f>
        <v>{"Power Consumption Rate": "10W/m", "Color Temperature": "4000K", "Voltage": "24V", "IP Rating": "IP68", "Dimension": "16mm (W) x 17mm (H)", "SKU": "3D1617-10W-4K-IP68"}</v>
      </c>
      <c r="Q130" s="17" t="s">
        <v>550</v>
      </c>
      <c r="R130" s="28"/>
      <c r="S130" s="29"/>
      <c r="T130" s="33"/>
      <c r="U130" s="34"/>
      <c r="V130" s="33"/>
      <c r="W130" s="33"/>
      <c r="X130" s="33"/>
      <c r="Y130" s="12" t="s">
        <v>42</v>
      </c>
      <c r="Z130" s="12" t="s">
        <v>543</v>
      </c>
      <c r="AA130" s="23" t="s">
        <v>44</v>
      </c>
      <c r="AB130" s="24"/>
      <c r="AC130" s="24"/>
      <c r="AD130" s="24"/>
    </row>
    <row r="131" ht="30.0" customHeight="1">
      <c r="A131" s="11" t="s">
        <v>551</v>
      </c>
      <c r="B131" s="12" t="s">
        <v>535</v>
      </c>
      <c r="C131" s="12" t="s">
        <v>32</v>
      </c>
      <c r="D131" s="13" t="s">
        <v>536</v>
      </c>
      <c r="E131" s="12" t="s">
        <v>34</v>
      </c>
      <c r="F131" s="13" t="str">
        <f>IFERROR(__xludf.DUMMYFUNCTION("AI(""Give me a paragraph marketing spiel for product in this row, no tech specs just marketing fluff "")"),"Illuminate your architectural visions with the Dual Bend Neon, a premium linear lighting solution designed to bring dynamic radiance and creative freedom to any space. Engineered for incredible flexibility, this multi-directional bending neon light curves"&amp;" effortlessly in three dimensions to accentuate complex contours, craft fluid artistic shapes, and create striking lighting design statements. Whether you are transforming high-end commercial interiors, enhancing grand facades, or adding an immersive atmo"&amp;"spheric glow to outdoor landscapes, its pristine, uniform illumination delivers unmatched aesthetic elegance and visual impact for designers who refuse to compromise on style and adaptability.")</f>
        <v>Illuminate your architectural visions with the Dual Bend Neon, a premium linear lighting solution designed to bring dynamic radiance and creative freedom to any space. Engineered for incredible flexibility, this multi-directional bending neon light curves effortlessly in three dimensions to accentuate complex contours, craft fluid artistic shapes, and create striking lighting design statements. Whether you are transforming high-end commercial interiors, enhancing grand facades, or adding an immersive atmospheric glow to outdoor landscapes, its pristine, uniform illumination delivers unmatched aesthetic elegance and visual impact for designers who refuse to compromise on style and adaptability.</v>
      </c>
      <c r="G131" s="12" t="s">
        <v>552</v>
      </c>
      <c r="H131" s="13" t="str">
        <f>IFERROR(__xludf.DUMMYFUNCTION("AI(""Give me a paragraph marketing spiel for product in this row, no tech specs just marketing fluff under 180 characters "")"),"Elevate your space with Dual Bend Neon, designed to curve effortlessly in three dimensions for captivating, seamless radiance and ultimate creative freedom.")</f>
        <v>Elevate your space with Dual Bend Neon, designed to curve effortlessly in three dimensions for captivating, seamless radiance and ultimate creative freedom.</v>
      </c>
      <c r="I131" s="12" t="s">
        <v>553</v>
      </c>
      <c r="J131" s="14"/>
      <c r="K131" s="14"/>
      <c r="L131" s="15" t="s">
        <v>551</v>
      </c>
      <c r="M131" s="15" t="s">
        <v>554</v>
      </c>
      <c r="N13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""&amp;M131)"),"Power Consumption Rate | Color Temperature | Voltage | IP Rating | Dimension | Control Protocol | Pixel")</f>
        <v>Power Consumption Rate | Color Temperature | Voltage | IP Rating | Dimension | Control Protocol | Pixel</v>
      </c>
      <c r="O131" s="17" t="s">
        <v>317</v>
      </c>
      <c r="P13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""&amp;O131&amp;"", Values: ""&amp;M131&amp; "" and SKU Code: "&amp;"""&amp;L131)"),"{""Power Consumption Rate"": ""15W/m"", ""Color Temperature"": ""RGBW (3000K)"", ""Voltage"": ""24V"", ""IP Rating"": ""IP68"", ""Dimension"": ""16mm (W) x 17mm (H)"", ""Control Protocol"": ""DMX"", ""Pixel"": ""14 Pixels/m"", ""SKU"": ""3D1617-15W-RGBW-I"&amp;"P68-DMX""}")</f>
        <v>{"Power Consumption Rate": "15W/m", "Color Temperature": "RGBW (3000K)", "Voltage": "24V", "IP Rating": "IP68", "Dimension": "16mm (W) x 17mm (H)", "Control Protocol": "DMX", "Pixel": "14 Pixels/m", "SKU": "3D1617-15W-RGBW-IP68-DMX"}</v>
      </c>
      <c r="Q131" s="17" t="s">
        <v>555</v>
      </c>
      <c r="R131"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Q131)"),"{""Power Consumption Rate"": ""15W/m"", ""Color Temperature"": ""RGBW (3000K)"", ""Voltage"": ""24V"", ""IP Rating"": ""IP68"", ""Dimension"": ""16mm (W) x 17mm (H)"", ""Control Protocol"": ""DMX"", ""Pixel"": ""14 Pixels/m"", ""SKU"": ""3D1617-15W-RGBW-I"&amp;"P68-DMX""}")</f>
        <v>{"Power Consumption Rate": "15W/m", "Color Temperature": "RGBW (3000K)", "Voltage": "24V", "IP Rating": "IP68", "Dimension": "16mm (W) x 17mm (H)", "Control Protocol": "DMX", "Pixel": "14 Pixels/m", "SKU": "3D1617-15W-RGBW-IP68-DMX"}</v>
      </c>
      <c r="S131" s="19" t="s">
        <v>555</v>
      </c>
      <c r="T131"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Q131)"),"{ ""Options"": { ""Power Consumption Rate"": [ {""name"": ""15W/m"", ""id"": ""101""} ], ""Color Temperature"": [ {""name"": ""RGBW (3000K)"", ""id"": ""102""} ], ""Voltage"": [ {""name"": ""24V"", ""id"": ""103""} ], ""IP Rating"": [ {""name"": ""IP68"","&amp;" ""id"": ""104""} ], ""Dimension"": [ {""name"": ""16mm (W) x 17mm (H)"", ""id"": ""105""} ], ""Control Protocol"": [ {""name"": ""DMX"", ""id"": ""106""} ], ""Pixel"": [ {""name"": ""14 Pixels/m"", ""id"": ""107""} ] }, ""Constraints"": {}, ""sku_mapping"&amp;"s"": [ { ""sku"": ""3D1617-15W-RGBW-IP68-DMX"", ""combination"": [""101"", ""102"", ""103"", ""104"", ""105"", ""106"", ""107""] } ] }")</f>
        <v>{ "Options": { "Power Consumption Rate": [ {"name": "15W/m", "id": "101"} ], "Color Temperature": [ {"name": "RGBW (3000K)", "id": "102"} ], "Voltage": [ {"name": "24V", "id": "103"} ], "IP Rating": [ {"name": "IP68", "id": "104"} ], "Dimension": [ {"name": "16mm (W) x 17mm (H)", "id": "105"} ], "Control Protocol": [ {"name": "DMX", "id": "106"} ], "Pixel": [ {"name": "14 Pixels/m", "id": "107"} ] }, "Constraints": {}, "sku_mappings": [ { "sku": "3D1617-15W-RGBW-IP68-DMX", "combination": ["101", "102", "103", "104", "105", "106", "107"] } ] }</v>
      </c>
      <c r="U131" s="35" t="s">
        <v>556</v>
      </c>
      <c r="V131" s="21" t="str">
        <f>IFERROR(__xludf.DUMMYFUNCTION("AI(""Extract options object from the json"", U131)"),"{ ""Power Consumption Rate"": [ {""name"": ""15W/m"", ""id"": ""101""} ], ""Color Temperature"": [ {""name"": ""RGBW (3000K)"", ""id"": ""102""} ], ""Voltage"": [ {""name"": ""24V"", ""id"": ""103""} ], ""IP Rating"": [ {""name"": ""IP68"", ""id"": ""104"&amp;"""} ], ""Dimension"": [ {""name"": ""16mm (W) x 17mm (H)"", ""id"": ""105""} ], ""Control Protocol"": [ {""name"": ""DMX"", ""id"": ""106""} ], ""Pixel"": [ {""name"": ""14 Pixels/m"", ""id"": ""107""} ] }")</f>
        <v>{ "Power Consumption Rate": [ {"name": "15W/m", "id": "101"} ], "Color Temperature": [ {"name": "RGBW (3000K)", "id": "102"} ], "Voltage": [ {"name": "24V", "id": "103"} ], "IP Rating": [ {"name": "IP68", "id": "104"} ], "Dimension": [ {"name": "16mm (W) x 17mm (H)", "id": "105"} ], "Control Protocol": [ {"name": "DMX", "id": "106"} ], "Pixel": [ {"name": "14 Pixels/m", "id": "107"} ] }</v>
      </c>
      <c r="W131" s="21" t="str">
        <f>IFERROR(__xludf.DUMMYFUNCTION("AI(""Extract constraints object from the json"", U131)"),"{}")</f>
        <v>{}</v>
      </c>
      <c r="X131" s="21" t="str">
        <f>IFERROR(__xludf.DUMMYFUNCTION("AI(""Extract sku_mappings object from the json"", U131)"),"[{""sku"": ""3D1617-15W-RGBW-IP68-DMX"", ""combination"": [""101"", ""102"", ""103"", ""104"", ""105"", ""106"", ""107""]}]")</f>
        <v>[{"sku": "3D1617-15W-RGBW-IP68-DMX", "combination": ["101", "102", "103", "104", "105", "106", "107"]}]</v>
      </c>
      <c r="Y131" s="12" t="s">
        <v>42</v>
      </c>
      <c r="Z131" s="12" t="s">
        <v>557</v>
      </c>
      <c r="AA131" s="23" t="s">
        <v>44</v>
      </c>
      <c r="AB131" s="24"/>
      <c r="AC131" s="24"/>
      <c r="AD131" s="24"/>
    </row>
    <row r="132" ht="30.0" customHeight="1">
      <c r="A132" s="11" t="s">
        <v>558</v>
      </c>
      <c r="B132" s="12" t="s">
        <v>559</v>
      </c>
      <c r="C132" s="12" t="s">
        <v>32</v>
      </c>
      <c r="D132" s="13" t="s">
        <v>560</v>
      </c>
      <c r="E132" s="12" t="s">
        <v>34</v>
      </c>
      <c r="F132" s="13" t="str">
        <f>IFERROR(__xludf.DUMMYFUNCTION("AI(""Give me a paragraph marketing spiel for product in this row, no tech specs just marketing fluff "")"),"Transform your architectural visions with the Long Run 3D Bend Neon, a premium linear lighting solution crafted to bring multi-directional flexibility and captivating elegance to any environment. Engineered to curve effortlessly in three dimensions, this "&amp;"luxurious neon-style light offers ultimate design freedom, allowing you to accentuate complex contours and create breathtaking visual statements. Its flawless, uniform glow delivers an unmatched aesthetic elegance, making it the perfect choice for transfo"&amp;"rming sophisticated spaces and adding a seamless, fluid brilliance that captivates and inspires.")</f>
        <v>Transform your architectural visions with the Long Run 3D Bend Neon, a premium linear lighting solution crafted to bring multi-directional flexibility and captivating elegance to any environment. Engineered to curve effortlessly in three dimensions, this luxurious neon-style light offers ultimate design freedom, allowing you to accentuate complex contours and create breathtaking visual statements. Its flawless, uniform glow delivers an unmatched aesthetic elegance, making it the perfect choice for transforming sophisticated spaces and adding a seamless, fluid brilliance that captivates and inspires.</v>
      </c>
      <c r="G132" s="12" t="s">
        <v>561</v>
      </c>
      <c r="H132" s="13" t="str">
        <f>IFERROR(__xludf.DUMMYFUNCTION("AI(""Give me a paragraph marketing spiel for product in this row, no tech specs just marketing fluff under 180 characters "")"),"Transform your space with Long Run 3D Bend Neon, crafting a flawless, multi-dimensional glow that brings ultimate design freedom and fluid elegance to any environment.")</f>
        <v>Transform your space with Long Run 3D Bend Neon, crafting a flawless, multi-dimensional glow that brings ultimate design freedom and fluid elegance to any environment.</v>
      </c>
      <c r="I132" s="12" t="s">
        <v>562</v>
      </c>
      <c r="J132" s="14"/>
      <c r="K132" s="14"/>
      <c r="L132" s="15" t="s">
        <v>558</v>
      </c>
      <c r="M132" s="15" t="s">
        <v>539</v>
      </c>
      <c r="N13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""&amp;M132)"),"Power Consumption Rate | Color Temperature | Voltage | IP Rating | Dimension")</f>
        <v>Power Consumption Rate | Color Temperature | Voltage | IP Rating | Dimension</v>
      </c>
      <c r="O132" s="17" t="s">
        <v>189</v>
      </c>
      <c r="P13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""&amp;O132&amp;"", Values: ""&amp;M132&amp; "" and SKU Code: "&amp;"""&amp;L132)"),"{""Power Consumption Rate"": ""10W/m"", ""Color Temperature"": ""2700K"", ""Voltage"": ""24V"", ""IP Rating"": ""IP68"", ""Dimension"": ""16mm (W) x 17mm (H)"", ""SKU"": ""3D1617-10W-2.7K-IP68-SLR""}")</f>
        <v>{"Power Consumption Rate": "10W/m", "Color Temperature": "2700K", "Voltage": "24V", "IP Rating": "IP68", "Dimension": "16mm (W) x 17mm (H)", "SKU": "3D1617-10W-2.7K-IP68-SLR"}</v>
      </c>
      <c r="Q132" s="17" t="s">
        <v>563</v>
      </c>
      <c r="R132"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Q132:Q135)"),"{""SKU"": [""3D1617-10W-2.7K-IP68-SLR"", ""3D1617-10W-3K-IP68-SLR"", ""3D1617-10W-4K-IP68-SLR"", ""3D1617-10W-RED-IP68-SLR""], ""Power Consumption Rate"": ""10W/m"", ""Color Temperature"": [""2700K"", ""3000K"", ""4000K"", ""RED""], ""Voltage"": ""24V"", "&amp;"""IP Rating"": ""IP68"", ""Dimension"": ""16mm (W) x 17mm (H)""}")</f>
        <v>{"SKU": ["3D1617-10W-2.7K-IP68-SLR", "3D1617-10W-3K-IP68-SLR", "3D1617-10W-4K-IP68-SLR", "3D1617-10W-RED-IP68-SLR"], "Power Consumption Rate": "10W/m", "Color Temperature": ["2700K", "3000K", "4000K", "RED"], "Voltage": "24V", "IP Rating": "IP68", "Dimension": "16mm (W) x 17mm (H)"}</v>
      </c>
      <c r="S132" s="19" t="s">
        <v>564</v>
      </c>
      <c r="T132"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Q132:Q135)"),"{
""Options"": {
""Power Consumption Rate"": [
{ ""name"": ""10W/m"", ""id"": ""101"" }
],
""Color Temperature"": [
{ ""name"": ""2700K"", ""id"": ""102"" },
{ ""name"": ""3000K"", ""id"": ""103"" },
{ ""name"": ""4000K"", ""id"": ""104"" },
{ ""name"": "&amp;"""RED"", ""id"": ""105"" }
],
""Voltage"": [
{ ""name"": ""24V"", ""id"": ""106"" }
],
""IP Rating"": [
{ ""name"": ""IP68"", ""id"": ""107"" }
],
""Dimension"": [
{ ""name"": ""16mm (W) x 17mm (H)"", ""id"": ""108"" }
]
},
""Constraints"": {},
""sku_mapp"&amp;"ings"": [
{ ""sku"": ""3D1617-10W-2.7K-IP68-SLR"", ""combination"": [""101"", ""102"", ""106"", ""107"", ""108""] },
{ ""sku"": ""3D1617-10W-3K-IP68-SLR"", ""combination"": [""101"", ""103"", ""106"", ""107"", ""108""] },
{ ""sku"": ""3D1617-10W-4K-IP68-S"&amp;"LR"", ""combination"": [""101"", ""104"", ""106"", ""107"", ""108""] },
{ ""sku"": ""3D1617-10W-RED-IP68-SLR"", ""combination"": [""101"", ""105"", ""106"", ""107"", ""108""] }
]
}")</f>
        <v>{
"Options": {
"Power Consumption Rate": [
{ "name": "10W/m", "id": "101" }
],
"Color Temperature": [
{ "name": "2700K", "id": "102" },
{ "name": "3000K", "id": "103" },
{ "name": "4000K", "id": "104" },
{ "name": "RED", "id": "105" }
],
"Voltage": [
{ "name": "24V", "id": "106" }
],
"IP Rating": [
{ "name": "IP68", "id": "107" }
],
"Dimension": [
{ "name": "16mm (W) x 17mm (H)", "id": "108" }
]
},
"Constraints": {},
"sku_mappings": [
{ "sku": "3D1617-10W-2.7K-IP68-SLR", "combination": ["101", "102", "106", "107", "108"] },
{ "sku": "3D1617-10W-3K-IP68-SLR", "combination": ["101", "103", "106", "107", "108"] },
{ "sku": "3D1617-10W-4K-IP68-SLR", "combination": ["101", "104", "106", "107", "108"] },
{ "sku": "3D1617-10W-RED-IP68-SLR", "combination": ["101", "105", "106", "107", "108"] }
]
}</v>
      </c>
      <c r="U132" s="35" t="s">
        <v>565</v>
      </c>
      <c r="V132" s="21" t="str">
        <f>IFERROR(__xludf.DUMMYFUNCTION("AI(""Extract options object from the json"", U132)"),"{ ""Power Consumption Rate"": [ { ""name"": ""10W/m"", ""id"": ""101"" } ], ""Color Temperature"": [ { ""name"": ""2700K"", ""id"": ""102"" }, { ""name"": ""3000K"", ""id"": ""103"" }, { ""name"": ""4000K"", ""id"": ""104"" }, { ""name"": ""RED"", ""id"":"&amp;" ""105"" } ], ""Voltage"": [ { ""name"": ""24V"", ""id"": ""106"" } ], ""IP Rating"": [ { ""name"": ""IP68"", ""id"": ""107"" } ], ""Dimension"": [ { ""name"": ""16mm (W) x 17mm (H)"", ""id"": ""108"" } ] }")</f>
        <v>{ "Power Consumption Rate": [ { "name": "10W/m", "id": "101" } ], "Color Temperature": [ { "name": "2700K", "id": "102" }, { "name": "3000K", "id": "103" }, { "name": "4000K", "id": "104" }, { "name": "RED", "id": "105" } ], "Voltage": [ { "name": "24V", "id": "106" } ], "IP Rating": [ { "name": "IP68", "id": "107" } ], "Dimension": [ { "name": "16mm (W) x 17mm (H)", "id": "108" } ] }</v>
      </c>
      <c r="W132" s="21" t="str">
        <f>IFERROR(__xludf.DUMMYFUNCTION("AI(""Extract constraints object from the json"", U132)"),"{}")</f>
        <v>{}</v>
      </c>
      <c r="X132" s="21" t="str">
        <f>IFERROR(__xludf.DUMMYFUNCTION("AI(""Extract sku_mappings object from the json"", U132)"),"[{""sku"": ""3D1617-10W-2.7K-IP68-SLR"", ""combination"": [""101"", ""102"", ""106"", ""107"", ""108""]}, {""sku"": ""3D1617-10W-3K-IP68-SLR"", ""combination"": [""101"", ""103"", ""106"", ""107"", ""108""]}, {""sku"": ""3D1617-10W-4K-IP68-SLR"", ""combin"&amp;"ation"": [""101"", ""104"", ""106"", ""107"", ""108""]}, {""sku"": ""3D1617-10W-RED-IP68-SLR"", ""combination"": [""101"", ""105"", ""106"", ""107"", ""108""]}]")</f>
        <v>[{"sku": "3D1617-10W-2.7K-IP68-SLR", "combination": ["101", "102", "106", "107", "108"]}, {"sku": "3D1617-10W-3K-IP68-SLR", "combination": ["101", "103", "106", "107", "108"]}, {"sku": "3D1617-10W-4K-IP68-SLR", "combination": ["101", "104", "106", "107", "108"]}, {"sku": "3D1617-10W-RED-IP68-SLR", "combination": ["101", "105", "106", "107", "108"]}]</v>
      </c>
      <c r="Y132" s="12" t="s">
        <v>42</v>
      </c>
      <c r="Z132" s="12" t="s">
        <v>566</v>
      </c>
      <c r="AA132" s="23" t="s">
        <v>44</v>
      </c>
      <c r="AB132" s="24"/>
      <c r="AC132" s="24" t="str">
        <f>IFERROR(__xludf.DUMMYFUNCTION("AI(""Generate 6 powerful unique keywords for the product in this row"")"),"3D bend neon, Multi-directional LED, Waterproof light ribbon, Flexible architectural lighting, Long run linear LED, Premium contour illumination")</f>
        <v>3D bend neon, Multi-directional LED, Waterproof light ribbon, Flexible architectural lighting, Long run linear LED, Premium contour illumination</v>
      </c>
      <c r="AD132" s="24" t="s">
        <v>567</v>
      </c>
    </row>
    <row r="133" ht="30.0" customHeight="1">
      <c r="A133" s="25"/>
      <c r="B133" s="14"/>
      <c r="C133" s="14"/>
      <c r="D133" s="26"/>
      <c r="E133" s="14"/>
      <c r="F133" s="27"/>
      <c r="G133" s="14"/>
      <c r="H133" s="27"/>
      <c r="I133" s="14"/>
      <c r="J133" s="14"/>
      <c r="K133" s="14"/>
      <c r="L133" s="15" t="s">
        <v>568</v>
      </c>
      <c r="M133" s="15" t="s">
        <v>546</v>
      </c>
      <c r="N13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""&amp;M133)"),"Power Consumption Rate | Color Temperature | Voltage | IP Rating | Dimension")</f>
        <v>Power Consumption Rate | Color Temperature | Voltage | IP Rating | Dimension</v>
      </c>
      <c r="O133" s="17" t="s">
        <v>189</v>
      </c>
      <c r="P13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""&amp;O133&amp;"", Values: ""&amp;M133&amp; "" and SKU Code: "&amp;"""&amp;L133)"),"{""SKU"": ""3D1617-10W-3K-IP68-SLR"", ""Power Consumption Rate"": ""10W/m"", ""Color Temperature"": ""3000K"", ""Voltage"": ""24V"", ""IP Rating"": ""IP68"", ""Dimension"": ""16mm (W) x 17mm (H)""}")</f>
        <v>{"SKU": "3D1617-10W-3K-IP68-SLR", "Power Consumption Rate": "10W/m", "Color Temperature": "3000K", "Voltage": "24V", "IP Rating": "IP68", "Dimension": "16mm (W) x 17mm (H)"}</v>
      </c>
      <c r="Q133" s="17" t="s">
        <v>569</v>
      </c>
      <c r="R133" s="28"/>
      <c r="S133" s="29"/>
      <c r="T133" s="33"/>
      <c r="U133" s="34"/>
      <c r="V133" s="33"/>
      <c r="W133" s="33"/>
      <c r="X133" s="33"/>
      <c r="Y133" s="12" t="s">
        <v>42</v>
      </c>
      <c r="Z133" s="12" t="s">
        <v>566</v>
      </c>
      <c r="AA133" s="23" t="s">
        <v>44</v>
      </c>
      <c r="AB133" s="24"/>
      <c r="AC133" s="24"/>
      <c r="AD133" s="24"/>
    </row>
    <row r="134" ht="30.0" customHeight="1">
      <c r="A134" s="25"/>
      <c r="B134" s="14"/>
      <c r="C134" s="14"/>
      <c r="D134" s="26"/>
      <c r="E134" s="14"/>
      <c r="F134" s="27"/>
      <c r="G134" s="14"/>
      <c r="H134" s="27"/>
      <c r="I134" s="14"/>
      <c r="J134" s="14"/>
      <c r="K134" s="14"/>
      <c r="L134" s="15" t="s">
        <v>570</v>
      </c>
      <c r="M134" s="15" t="s">
        <v>549</v>
      </c>
      <c r="N134"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""&amp;M134)"),"Power Consumption Rate | Color Temperature | Voltage | IP Rating | Dimension")</f>
        <v>Power Consumption Rate | Color Temperature | Voltage | IP Rating | Dimension</v>
      </c>
      <c r="O134" s="17" t="s">
        <v>189</v>
      </c>
      <c r="P134"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""&amp;O134&amp;"", Values: ""&amp;M134&amp; "" and SKU Code: "&amp;"""&amp;L134)"),"{""Power Consumption Rate"": ""10W/m"", ""Color Temperature"": ""4000K"", ""Voltage"": ""24V"", ""IP Rating"": ""IP68"", ""Dimension"": ""16mm (W) x 17mm (H)"", ""SKU"": ""3D1617-10W-4K-IP68-SLR""}")</f>
        <v>{"Power Consumption Rate": "10W/m", "Color Temperature": "4000K", "Voltage": "24V", "IP Rating": "IP68", "Dimension": "16mm (W) x 17mm (H)", "SKU": "3D1617-10W-4K-IP68-SLR"}</v>
      </c>
      <c r="Q134" s="17" t="s">
        <v>571</v>
      </c>
      <c r="R134" s="28"/>
      <c r="S134" s="29"/>
      <c r="T134" s="33"/>
      <c r="U134" s="34"/>
      <c r="V134" s="33"/>
      <c r="W134" s="33"/>
      <c r="X134" s="33"/>
      <c r="Y134" s="12" t="s">
        <v>42</v>
      </c>
      <c r="Z134" s="12" t="s">
        <v>566</v>
      </c>
      <c r="AA134" s="23" t="s">
        <v>44</v>
      </c>
      <c r="AB134" s="24"/>
      <c r="AC134" s="24"/>
      <c r="AD134" s="24"/>
    </row>
    <row r="135" ht="30.0" customHeight="1">
      <c r="A135" s="25"/>
      <c r="B135" s="14"/>
      <c r="C135" s="14"/>
      <c r="D135" s="26"/>
      <c r="E135" s="14"/>
      <c r="F135" s="27"/>
      <c r="G135" s="14"/>
      <c r="H135" s="27"/>
      <c r="I135" s="14"/>
      <c r="J135" s="14"/>
      <c r="K135" s="14"/>
      <c r="L135" s="15" t="s">
        <v>572</v>
      </c>
      <c r="M135" s="15" t="s">
        <v>573</v>
      </c>
      <c r="N135"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""&amp;M135)"),"Power Consumption Rate | Color Temperature | Voltage | IP Rating | Dimension")</f>
        <v>Power Consumption Rate | Color Temperature | Voltage | IP Rating | Dimension</v>
      </c>
      <c r="O135" s="17" t="s">
        <v>189</v>
      </c>
      <c r="P135"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""&amp;O135&amp;"", Values: ""&amp;M135&amp; "" and SKU Code: "&amp;"""&amp;L135)"),"{""Power Consumption Rate"": ""10W/m"", ""Color Temperature"": ""RED"", ""Voltage"": ""24V"", ""IP Rating"": ""IP68"", ""Dimension"": ""16mm (W) x 17mm (H)"", ""SKU"": ""3D1617-10W-RED-IP68-SLR""}")</f>
        <v>{"Power Consumption Rate": "10W/m", "Color Temperature": "RED", "Voltage": "24V", "IP Rating": "IP68", "Dimension": "16mm (W) x 17mm (H)", "SKU": "3D1617-10W-RED-IP68-SLR"}</v>
      </c>
      <c r="Q135" s="17" t="s">
        <v>574</v>
      </c>
      <c r="R135" s="28"/>
      <c r="S135" s="29"/>
      <c r="T135" s="33"/>
      <c r="U135" s="34"/>
      <c r="V135" s="33"/>
      <c r="W135" s="33"/>
      <c r="X135" s="33"/>
      <c r="Y135" s="12" t="s">
        <v>42</v>
      </c>
      <c r="Z135" s="12" t="s">
        <v>566</v>
      </c>
      <c r="AA135" s="23" t="s">
        <v>44</v>
      </c>
      <c r="AB135" s="24"/>
      <c r="AC135" s="24"/>
      <c r="AD135" s="24"/>
    </row>
    <row r="136" ht="30.0" customHeight="1">
      <c r="A136" s="11" t="s">
        <v>575</v>
      </c>
      <c r="B136" s="12" t="s">
        <v>535</v>
      </c>
      <c r="C136" s="12" t="s">
        <v>32</v>
      </c>
      <c r="D136" s="13" t="s">
        <v>536</v>
      </c>
      <c r="E136" s="12" t="s">
        <v>34</v>
      </c>
      <c r="F136" s="13" t="str">
        <f>IFERROR(__xludf.DUMMYFUNCTION("AI(""Give me a paragraph marketing spiel for product in this row, no tech specs just marketing fluff "")"),"Experience a new dimension of design freedom with the Free Cut 3D Bend Neon. This revolutionary linear lighting masterpiece bends effortlessly in all directions, allowing you to sculpt light around complex architecture, dramatic contours, and fluid custom"&amp;" shapes without limits. Perfect for creating unforgettable statements in luxury commercial spaces or premium modern venues, it delivers a flawless, completely uniform radiance that wraps your environment in pure aesthetic elegance. Striking the perfect ba"&amp;"lance between artistic versatility and bold visual impact, this stunning accent solution is crafted for visionary designers looking to bring their most imaginative concepts to life with absolute grace and sophistication.")</f>
        <v>Experience a new dimension of design freedom with the Free Cut 3D Bend Neon. This revolutionary linear lighting masterpiece bends effortlessly in all directions, allowing you to sculpt light around complex architecture, dramatic contours, and fluid custom shapes without limits. Perfect for creating unforgettable statements in luxury commercial spaces or premium modern venues, it delivers a flawless, completely uniform radiance that wraps your environment in pure aesthetic elegance. Striking the perfect balance between artistic versatility and bold visual impact, this stunning accent solution is crafted for visionary designers looking to bring their most imaginative concepts to life with absolute grace and sophistication.</v>
      </c>
      <c r="G136" s="12" t="s">
        <v>576</v>
      </c>
      <c r="H136" s="13" t="str">
        <f>IFERROR(__xludf.DUMMYFUNCTION("AI(""Give me a paragraph marketing spiel for product in this row, no tech specs just marketing fluff under 180 characters "")"),"Sculpt light without limits using Free Cut 3D Bend Neon. Effortlessly bend in all directions to wrap your space in pure, flawless aesthetic elegance and bold artistic style.")</f>
        <v>Sculpt light without limits using Free Cut 3D Bend Neon. Effortlessly bend in all directions to wrap your space in pure, flawless aesthetic elegance and bold artistic style.</v>
      </c>
      <c r="I136" s="12" t="s">
        <v>577</v>
      </c>
      <c r="J136" s="14"/>
      <c r="K136" s="14"/>
      <c r="L136" s="15" t="s">
        <v>575</v>
      </c>
      <c r="M136" s="15" t="s">
        <v>578</v>
      </c>
      <c r="N136"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""&amp;M136)"),"Power Consumption Rate | Color Temperature | Voltage | IP Rating | Dimension | Cut Interval")</f>
        <v>Power Consumption Rate | Color Temperature | Voltage | IP Rating | Dimension | Cut Interval</v>
      </c>
      <c r="O136" s="17" t="s">
        <v>169</v>
      </c>
      <c r="P136"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""&amp;O136&amp;"", Values: ""&amp;M136&amp; "" and SKU Code: "&amp;"""&amp;L136)"),"{""Power Consumption Rate"": ""10W/m"", ""Color Temperature"": ""2700K"", ""Voltage"": ""24V"", ""IP Rating"": ""IP67"", ""Dimension"": ""16mm (W) x 17mm (H)"", ""Cut Interval"": ""Free Cut"", ""SKU"": ""3D1617-10W-2.7K-IP67-FC""}")</f>
        <v>{"Power Consumption Rate": "10W/m", "Color Temperature": "2700K", "Voltage": "24V", "IP Rating": "IP67", "Dimension": "16mm (W) x 17mm (H)", "Cut Interval": "Free Cut", "SKU": "3D1617-10W-2.7K-IP67-FC"}</v>
      </c>
      <c r="Q136" s="17" t="s">
        <v>579</v>
      </c>
      <c r="R136"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Q136:Q138)"),"{""Power Consumption Rate"": ""10W/m"", ""Color Temperature"": [""2700K"", ""3000K"", ""4000K""], ""Voltage"": ""24V"", ""IP Rating"": ""IP67"", ""Dimension"": ""16mm (W) x 17mm (H)"", ""Cut Interval"": ""Free Cut"", ""SKU"": [""3D1617-10W-2.7K-IP67-FC"","&amp;" ""3D1617-10W-3K-IP67-FC"", ""3D1617-10W-4K-IP67-FC""]}")</f>
        <v>{"Power Consumption Rate": "10W/m", "Color Temperature": ["2700K", "3000K", "4000K"], "Voltage": "24V", "IP Rating": "IP67", "Dimension": "16mm (W) x 17mm (H)", "Cut Interval": "Free Cut", "SKU": ["3D1617-10W-2.7K-IP67-FC", "3D1617-10W-3K-IP67-FC", "3D1617-10W-4K-IP67-FC"]}</v>
      </c>
      <c r="S136" s="19" t="s">
        <v>580</v>
      </c>
      <c r="T136"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Q136:Q138)"),"{ ""Options"": { ""Power Consumption Rate"": [ { ""name"": ""10W/m"", ""id"": ""101"" } ], ""Color Temperature"": [ { ""name"": ""2700K"", ""id"": ""102"" } ], ""Voltage"": [ { ""name"": ""24V"", ""id"": ""103"" } ], ""IP Rating"": [ { ""name"": ""IP67"","&amp;" ""id"": ""104"" } ], ""Dimension"": [ { ""name"": ""16mm (W) x 17mm (H)"", ""id"": ""105"" } ], ""Cut Interval"": [ { ""name"": ""Free Cut"", ""id"": ""106"" } ] }, ""Constraints"": {}, ""sku_mappings"": [ { ""sku"": ""3D1617-10W-2.7K-IP67-FC"", ""combin"&amp;"ation"": [ ""101"", ""102"", ""103"", ""104"", ""105"", ""106"" ] } ] }")</f>
        <v>{ "Options": { "Power Consumption Rate": [ { "name": "10W/m", "id": "101" } ], "Color Temperature": [ { "name": "2700K", "id": "102" } ], "Voltage": [ { "name": "24V", "id": "103" } ], "IP Rating": [ { "name": "IP67", "id": "104" } ], "Dimension": [ { "name": "16mm (W) x 17mm (H)", "id": "105" } ], "Cut Interval": [ { "name": "Free Cut", "id": "106" } ] }, "Constraints": {}, "sku_mappings": [ { "sku": "3D1617-10W-2.7K-IP67-FC", "combination": [ "101", "102", "103", "104", "105", "106" ] } ] }</v>
      </c>
      <c r="U136" s="35" t="s">
        <v>581</v>
      </c>
      <c r="V136" s="21" t="str">
        <f>IFERROR(__xludf.DUMMYFUNCTION("AI(""Extract options object from the json"", U136)"),"{ ""Power Consumption Rate"": [ { ""name"": ""10W/m"", ""id"": ""101"" } ], ""Color Temperature"": [ { ""name"": ""2700K"", ""id"": ""102"" } ], ""Voltage"": [ { ""name"": ""24V"", ""id"": ""103"" } ], ""IP Rating"": [ { ""name"": ""IP67"", ""id"": ""104"&amp;""" } ], ""Dimension"": [ { ""name"": ""16mm (W) x 17mm (H)"", ""id"": ""105"" } ], ""Cut Interval"": [ { ""name"": ""Free Cut"", ""id"": ""106"" } ] }")</f>
        <v>{ "Power Consumption Rate": [ { "name": "10W/m", "id": "101" } ], "Color Temperature": [ { "name": "2700K", "id": "102" } ], "Voltage": [ { "name": "24V", "id": "103" } ], "IP Rating": [ { "name": "IP67", "id": "104" } ], "Dimension": [ { "name": "16mm (W) x 17mm (H)", "id": "105" } ], "Cut Interval": [ { "name": "Free Cut", "id": "106" } ] }</v>
      </c>
      <c r="W136" s="21" t="str">
        <f>IFERROR(__xludf.DUMMYFUNCTION("AI(""Extract constraints object from the json"", U136)"),"{}")</f>
        <v>{}</v>
      </c>
      <c r="X136" s="21" t="str">
        <f>IFERROR(__xludf.DUMMYFUNCTION("AI(""Extract sku_mappings object from the json"", U136)"),"[{""sku"": ""3D1617-10W-2.7K-IP67-FC"", ""combination"": [""101"", ""102"", ""103"", ""104"", ""105"", ""106""]}]")</f>
        <v>[{"sku": "3D1617-10W-2.7K-IP67-FC", "combination": ["101", "102", "103", "104", "105", "106"]}]</v>
      </c>
      <c r="Y136" s="12" t="s">
        <v>42</v>
      </c>
      <c r="Z136" s="12" t="s">
        <v>582</v>
      </c>
      <c r="AA136" s="23" t="s">
        <v>44</v>
      </c>
      <c r="AB136" s="24"/>
      <c r="AC136" s="24" t="str">
        <f>IFERROR(__xludf.DUMMYFUNCTION("AI(""Generate 6 powerful unique keywords for the product in this row"")"),"3D bend neon, Free cut LED, Flexible linear lighting, Omnidirectional bend light, Architectural sculpture illumination, Premium commercial neon")</f>
        <v>3D bend neon, Free cut LED, Flexible linear lighting, Omnidirectional bend light, Architectural sculpture illumination, Premium commercial neon</v>
      </c>
      <c r="AD136" s="24" t="s">
        <v>583</v>
      </c>
    </row>
    <row r="137" ht="30.0" customHeight="1">
      <c r="A137" s="25"/>
      <c r="B137" s="14"/>
      <c r="C137" s="14"/>
      <c r="D137" s="26"/>
      <c r="E137" s="14"/>
      <c r="F137" s="27"/>
      <c r="G137" s="14"/>
      <c r="H137" s="27"/>
      <c r="I137" s="14"/>
      <c r="J137" s="14"/>
      <c r="K137" s="14"/>
      <c r="L137" s="15" t="s">
        <v>584</v>
      </c>
      <c r="M137" s="15" t="s">
        <v>585</v>
      </c>
      <c r="N137"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""&amp;M137)"),"Power Consumption Rate | Color Temperature | Voltage | IP Rating | Dimension | Cut Interval")</f>
        <v>Power Consumption Rate | Color Temperature | Voltage | IP Rating | Dimension | Cut Interval</v>
      </c>
      <c r="O137" s="17" t="s">
        <v>169</v>
      </c>
      <c r="P137"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""&amp;O137&amp;"", Values: ""&amp;M137&amp; "" and SKU Code: "&amp;"""&amp;L137)"),"{""Power Consumption Rate"": ""10W/m"", ""Color Temperature"": ""3000K"", ""Voltage"": ""24V"", ""IP Rating"": ""IP67"", ""Dimension"": ""16mm (W) x 17mm (H)"", ""Cut Interval"": ""Free Cut"", ""SKU"": ""3D1617-10W-3K-IP67-FC""}")</f>
        <v>{"Power Consumption Rate": "10W/m", "Color Temperature": "3000K", "Voltage": "24V", "IP Rating": "IP67", "Dimension": "16mm (W) x 17mm (H)", "Cut Interval": "Free Cut", "SKU": "3D1617-10W-3K-IP67-FC"}</v>
      </c>
      <c r="Q137" s="17" t="s">
        <v>586</v>
      </c>
      <c r="R137" s="28"/>
      <c r="S137" s="29"/>
      <c r="T137" s="33"/>
      <c r="U137" s="34"/>
      <c r="V137" s="33"/>
      <c r="W137" s="33"/>
      <c r="X137" s="33"/>
      <c r="Y137" s="12" t="s">
        <v>42</v>
      </c>
      <c r="Z137" s="12" t="s">
        <v>582</v>
      </c>
      <c r="AA137" s="23" t="s">
        <v>44</v>
      </c>
      <c r="AB137" s="24"/>
      <c r="AC137" s="24"/>
      <c r="AD137" s="24"/>
    </row>
    <row r="138" ht="30.0" customHeight="1">
      <c r="A138" s="25"/>
      <c r="B138" s="14"/>
      <c r="C138" s="14"/>
      <c r="D138" s="26"/>
      <c r="E138" s="14"/>
      <c r="F138" s="27"/>
      <c r="G138" s="14"/>
      <c r="H138" s="27"/>
      <c r="I138" s="14"/>
      <c r="J138" s="14"/>
      <c r="K138" s="14"/>
      <c r="L138" s="15" t="s">
        <v>587</v>
      </c>
      <c r="M138" s="15" t="s">
        <v>588</v>
      </c>
      <c r="N138"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""&amp;M138)"),"Power Consumption Rate | Color Temperature | Voltage | IP Rating | Dimension | Cut Interval")</f>
        <v>Power Consumption Rate | Color Temperature | Voltage | IP Rating | Dimension | Cut Interval</v>
      </c>
      <c r="O138" s="17" t="s">
        <v>169</v>
      </c>
      <c r="P138"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""&amp;O138&amp;"", Values: ""&amp;M138&amp; "" and SKU Code: "&amp;"""&amp;L138)"),"{""Power Consumption Rate"": ""10W/m"", ""Color Temperature"": ""4000K"", ""Voltage"": ""24V"", ""IP Rating"": ""IP67"", ""Dimension"": ""16mm (W) x 17mm (H)"", ""Cut Interval"": ""Free Cut"", ""SKU"": ""3D1617-10W-4K-IP67-FC""}")</f>
        <v>{"Power Consumption Rate": "10W/m", "Color Temperature": "4000K", "Voltage": "24V", "IP Rating": "IP67", "Dimension": "16mm (W) x 17mm (H)", "Cut Interval": "Free Cut", "SKU": "3D1617-10W-4K-IP67-FC"}</v>
      </c>
      <c r="Q138" s="17" t="s">
        <v>589</v>
      </c>
      <c r="R138" s="28"/>
      <c r="S138" s="29"/>
      <c r="T138" s="33"/>
      <c r="U138" s="34"/>
      <c r="V138" s="33"/>
      <c r="W138" s="33"/>
      <c r="X138" s="33"/>
      <c r="Y138" s="12" t="s">
        <v>42</v>
      </c>
      <c r="Z138" s="12" t="s">
        <v>582</v>
      </c>
      <c r="AA138" s="23" t="s">
        <v>44</v>
      </c>
      <c r="AB138" s="24"/>
      <c r="AC138" s="24"/>
      <c r="AD138" s="24"/>
    </row>
    <row r="139" ht="30.0" customHeight="1">
      <c r="A139" s="11" t="s">
        <v>590</v>
      </c>
      <c r="B139" s="12" t="s">
        <v>591</v>
      </c>
      <c r="C139" s="12" t="s">
        <v>32</v>
      </c>
      <c r="D139" s="13" t="s">
        <v>592</v>
      </c>
      <c r="E139" s="12" t="s">
        <v>34</v>
      </c>
      <c r="F139" s="13" t="str">
        <f>IFERROR(__xludf.DUMMYFUNCTION("AI(""Give me a paragraph marketing spiel for product in this row, no tech specs just marketing fluff "")"),"Experience the pinnacle of design freedom with the Dual Colour 3D Bend Neon, a premium linear lighting masterpiece crafted to bring dynamic sophistication and seamless radiance to your most ambitious spaces. Engineered for multi-directional flexibility, t"&amp;"his luxurious neon-style solution flows effortlessly around complex contours to create striking architectural statements and captivating visual depth. Perfect for transforming high-end environments into immersive sensory experiences, its elegant and fluid"&amp;" brilliance brings a breath of modern luxury to any design vision, making it the ultimate choice for those who dare to inspire.")</f>
        <v>Experience the pinnacle of design freedom with the Dual Colour 3D Bend Neon, a premium linear lighting masterpiece crafted to bring dynamic sophistication and seamless radiance to your most ambitious spaces. Engineered for multi-directional flexibility, this luxurious neon-style solution flows effortlessly around complex contours to create striking architectural statements and captivating visual depth. Perfect for transforming high-end environments into immersive sensory experiences, its elegant and fluid brilliance brings a breath of modern luxury to any design vision, making it the ultimate choice for those who dare to inspire.</v>
      </c>
      <c r="G139" s="12" t="s">
        <v>593</v>
      </c>
      <c r="H139" s="13" t="str">
        <f>IFERROR(__xludf.DUMMYFUNCTION("AI(""Give me a paragraph marketing spiel for product in this row, no tech specs just marketing fluff under 180 characters "")"),"Experience ultimate design freedom with the Dual Colour 3D Bend Neon, flowing effortlessly around complex contours to bring fluid brilliance and modern luxury to your vision.")</f>
        <v>Experience ultimate design freedom with the Dual Colour 3D Bend Neon, flowing effortlessly around complex contours to bring fluid brilliance and modern luxury to your vision.</v>
      </c>
      <c r="I139" s="12" t="s">
        <v>594</v>
      </c>
      <c r="J139" s="14"/>
      <c r="K139" s="14"/>
      <c r="L139" s="15" t="s">
        <v>590</v>
      </c>
      <c r="M139" s="15" t="s">
        <v>595</v>
      </c>
      <c r="N139"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""&amp;M139)"),"Power Consumption Rate | Color Temperature | Voltage | IP Rating | Dimension")</f>
        <v>Power Consumption Rate | Color Temperature | Voltage | IP Rating | Dimension</v>
      </c>
      <c r="O139" s="17" t="s">
        <v>189</v>
      </c>
      <c r="P139"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""&amp;O139&amp;"", Values: ""&amp;M139&amp; "" and SKU Code: "&amp;"""&amp;L139)"),"{""Power Consumption Rate"": ""10W/m"", ""Color Temperature"": ""2700K &amp; 3000K"", ""Voltage"": ""24V"", ""IP Rating"": ""IP67"", ""Dimension"": ""16mm (W) x 17mm (H)"", ""SKU"": ""3D1617-10W-2.7-3K-IP67""}")</f>
        <v>{"Power Consumption Rate": "10W/m", "Color Temperature": "2700K &amp; 3000K", "Voltage": "24V", "IP Rating": "IP67", "Dimension": "16mm (W) x 17mm (H)", "SKU": "3D1617-10W-2.7-3K-IP67"}</v>
      </c>
      <c r="Q139" s="17" t="s">
        <v>596</v>
      </c>
      <c r="R139" s="16" t="s">
        <v>597</v>
      </c>
      <c r="S139" s="37" t="s">
        <v>597</v>
      </c>
      <c r="T139"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Q139)"),"{ ""Options"": { ""Power Consumption Rate"": [ { ""name"": ""10W/m"", ""id"": ""101"" } ], ""Color Temperature"": [ { ""name"": ""3000K"", ""id"": ""102"" } ], ""Voltage"": [ { ""name"": ""24V"", ""id"": ""103"" } ], ""IP Rating"": [ { ""name"": ""IP67"","&amp;" ""id"": ""104"" } ], ""Dimension"": [ { ""name"": ""16mm (W) x 17mm (H)"", ""id"": ""105"" } ], ""Cut Interval"": [ { ""name"": ""Free Cut"", ""id"": ""106"" } ] }, ""Constraints"": {}, ""sku_mappings"": [ { ""sku"": ""3D1617-10W-3K-IP67-FC"", ""combinat"&amp;"ion"": [ ""101"", ""102"", ""103"", ""104"", ""105"", ""106"" ] } ] }")</f>
        <v>{ "Options": { "Power Consumption Rate": [ { "name": "10W/m", "id": "101" } ], "Color Temperature": [ { "name": "3000K", "id": "102" } ], "Voltage": [ { "name": "24V", "id": "103" } ], "IP Rating": [ { "name": "IP67", "id": "104" } ], "Dimension": [ { "name": "16mm (W) x 17mm (H)", "id": "105" } ], "Cut Interval": [ { "name": "Free Cut", "id": "106" } ] }, "Constraints": {}, "sku_mappings": [ { "sku": "3D1617-10W-3K-IP67-FC", "combination": [ "101", "102", "103", "104", "105", "106" ] } ] }</v>
      </c>
      <c r="U139" s="35" t="s">
        <v>598</v>
      </c>
      <c r="V139" s="21" t="str">
        <f>IFERROR(__xludf.DUMMYFUNCTION("AI(""Extract options object from the json"", U139)"),"{ ""Power Consumption Rate"": [ { ""name"": ""10W/m"", ""id"": ""101"" } ], ""Color Temperature"": [ { ""name"": ""3000K"", ""id"": ""102"" } ], ""Voltage"": [ { ""name"": ""24V"", ""id"": ""103"" } ], ""IP Rating"": [ { ""name"": ""IP67"", ""id"": ""104"&amp;""" } ], ""Dimension"": [ { ""name"": ""16mm (W) x 17mm (H)"", ""id"": ""105"" } ], ""Cut Interval"": [ { ""name"": ""Free Cut"", ""id"": ""106"" } ] }")</f>
        <v>{ "Power Consumption Rate": [ { "name": "10W/m", "id": "101" } ], "Color Temperature": [ { "name": "3000K", "id": "102" } ], "Voltage": [ { "name": "24V", "id": "103" } ], "IP Rating": [ { "name": "IP67", "id": "104" } ], "Dimension": [ { "name": "16mm (W) x 17mm (H)", "id": "105" } ], "Cut Interval": [ { "name": "Free Cut", "id": "106" } ] }</v>
      </c>
      <c r="W139" s="21" t="str">
        <f>IFERROR(__xludf.DUMMYFUNCTION("AI(""Extract constraints object from the json"", U139)"),"{}")</f>
        <v>{}</v>
      </c>
      <c r="X139" s="21" t="str">
        <f>IFERROR(__xludf.DUMMYFUNCTION("AI(""Extract sku_mappings object from the json"", U139)"),"[{""sku"": ""3D1617-10W-3K-IP67-FC"", ""combination"": [""101"", ""102"", ""103"", ""104"", ""105"", ""106""]}]")</f>
        <v>[{"sku": "3D1617-10W-3K-IP67-FC", "combination": ["101", "102", "103", "104", "105", "106"]}]</v>
      </c>
      <c r="Y139" s="12" t="s">
        <v>42</v>
      </c>
      <c r="Z139" s="12" t="s">
        <v>599</v>
      </c>
      <c r="AA139" s="23" t="s">
        <v>44</v>
      </c>
      <c r="AB139" s="24"/>
      <c r="AC139" s="24" t="str">
        <f>IFERROR(__xludf.DUMMYFUNCTION("AI(""Generate 6 powerful unique keywords for the product in this row"")"),"3D bend neon, Dual color LED, Architectural contour lighting, Flexible linear light, IP67 waterproof ribbon, Multi-directional flex strip")</f>
        <v>3D bend neon, Dual color LED, Architectural contour lighting, Flexible linear light, IP67 waterproof ribbon, Multi-directional flex strip</v>
      </c>
      <c r="AD139" s="24" t="s">
        <v>600</v>
      </c>
    </row>
    <row r="140" ht="30.0" customHeight="1">
      <c r="A140" s="11" t="s">
        <v>601</v>
      </c>
      <c r="B140" s="12" t="s">
        <v>535</v>
      </c>
      <c r="C140" s="12" t="s">
        <v>32</v>
      </c>
      <c r="D140" s="13" t="s">
        <v>536</v>
      </c>
      <c r="E140" s="12" t="s">
        <v>34</v>
      </c>
      <c r="F140" s="13" t="str">
        <f>IFERROR(__xludf.DUMMYFUNCTION("AI(""Give me a paragraph marketing spiel for product in this row, no tech specs just marketing fluff "")"),"Unleash your creative vision with the Free Cut 3D Bend Neon, a revolutionary linear lighting solution designed to bring complete design freedom and fluid brilliance to any environment. Engineered for exceptional three-dimensional flexibility, this luxurio"&amp;"us masterpiece curves effortlessly in every direction, allowing you to trace intricate architectural contours and craft captivating, personalized lighting displays. Its pristine, uniform glow eliminates harsh shadows, filling your space with a seamless, r"&amp;"adiant atmosphere. Perfect for designers who refuse to compromise on style and adaptability, this premium lighting choice transforms the ordinary into an extraordinary visual statement, capturing elegance and modern sophistication from every single angle.")</f>
        <v>Unleash your creative vision with the Free Cut 3D Bend Neon, a revolutionary linear lighting solution designed to bring complete design freedom and fluid brilliance to any environment. Engineered for exceptional three-dimensional flexibility, this luxurious masterpiece curves effortlessly in every direction, allowing you to trace intricate architectural contours and craft captivating, personalized lighting displays. Its pristine, uniform glow eliminates harsh shadows, filling your space with a seamless, radiant atmosphere. Perfect for designers who refuse to compromise on style and adaptability, this premium lighting choice transforms the ordinary into an extraordinary visual statement, capturing elegance and modern sophistication from every single angle.</v>
      </c>
      <c r="G140" s="12" t="s">
        <v>602</v>
      </c>
      <c r="H140" s="13" t="str">
        <f>IFERROR(__xludf.DUMMYFUNCTION("AI(""Give me a paragraph marketing spiel for product in this row, no tech specs just marketing fluff under 180 characters "")"),"Unleash your creative vision with Free Cut 3D Bend Neon. Curve it effortlessly in every direction for a seamless, radiant atmosphere that transforms any ordinary space.")</f>
        <v>Unleash your creative vision with Free Cut 3D Bend Neon. Curve it effortlessly in every direction for a seamless, radiant atmosphere that transforms any ordinary space.</v>
      </c>
      <c r="I140" s="12" t="s">
        <v>603</v>
      </c>
      <c r="J140" s="14"/>
      <c r="K140" s="14"/>
      <c r="L140" s="15" t="s">
        <v>601</v>
      </c>
      <c r="M140" s="15" t="s">
        <v>604</v>
      </c>
      <c r="N140"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""&amp;M140)"),"Power Consumption Rate | Color Temperature | Voltage | IP Rating | Dimension | Cut Interval")</f>
        <v>Power Consumption Rate | Color Temperature | Voltage | IP Rating | Dimension | Cut Interval</v>
      </c>
      <c r="O140" s="17" t="s">
        <v>169</v>
      </c>
      <c r="P140"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""&amp;O140&amp;"", Values: ""&amp;M140&amp; "" and SKU Code: "&amp;"""&amp;L140)"),"{""Power Consumption Rate"": ""10W/m"", ""Color Temperature"": ""2700K"", ""Voltage"": ""24V"", ""IP Rating"": ""IP67"", ""Dimension"": ""10mm (W) x 10mm (H)"", ""Cut Interval"": ""Free Cut"", ""SKU"": ""3D1010-10W-2.7K-IP67-FC""}")</f>
        <v>{"Power Consumption Rate": "10W/m", "Color Temperature": "2700K", "Voltage": "24V", "IP Rating": "IP67", "Dimension": "10mm (W) x 10mm (H)", "Cut Interval": "Free Cut", "SKU": "3D1010-10W-2.7K-IP67-FC"}</v>
      </c>
      <c r="Q140" s="17" t="s">
        <v>605</v>
      </c>
      <c r="R140" s="18"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Q140:Q142)"),"{""SKU"": [""3D1010-10W-2.7K-IP67-FC"", ""3D1010-10W-3K-IP67-FC"", ""3D1010-10W-4K-IP67-FC""], ""Power Consumption Rate"": ""10W/m"", ""Color Temperature"": [""2700K"", ""3000K"", ""4000K""], ""Voltage"": ""24V"", ""IP Rating"": ""IP67"", ""Dimension"": "&amp;"""10mm (W) x 10mm (H)"", ""Cut Interval"": ""Free Cut""}")</f>
        <v>{"SKU": ["3D1010-10W-2.7K-IP67-FC", "3D1010-10W-3K-IP67-FC", "3D1010-10W-4K-IP67-FC"], "Power Consumption Rate": "10W/m", "Color Temperature": ["2700K", "3000K", "4000K"], "Voltage": "24V", "IP Rating": "IP67", "Dimension": "10mm (W) x 10mm (H)", "Cut Interval": "Free Cut"}</v>
      </c>
      <c r="S140" s="19" t="s">
        <v>606</v>
      </c>
      <c r="T140"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Q140:Q142)"),"{""Options"": {""Power Consumption Rate"": [{""name"": ""10W/m"", ""id"": ""101""}], ""Color Temperature"": [{""name"": ""2700K"", ""id"": ""102""}], ""Voltage"": [{""name"": ""24V"", ""id"": ""103""}], ""IP Rating"": [{""name"": ""IP67"", ""id"": ""104"""&amp;"}], ""Dimension"": [{""name"": ""10mm (W) x 10mm (H)"", ""id"": ""105""}], ""Cut Interval"": [{""name"": ""Free Cut"", ""id"": ""106""}]}, ""Constraints"": {}, ""sku_mappings"": [{""sku"": ""3D1010-10W-2.7K-IP67-FC"", ""combination"": [""101"", ""102"", "&amp;"""103"", ""104"", ""105"", ""106""]}]}")</f>
        <v>{"Options": {"Power Consumption Rate": [{"name": "10W/m", "id": "101"}], "Color Temperature": [{"name": "2700K", "id": "102"}], "Voltage": [{"name": "24V", "id": "103"}], "IP Rating": [{"name": "IP67", "id": "104"}], "Dimension": [{"name": "10mm (W) x 10mm (H)", "id": "105"}], "Cut Interval": [{"name": "Free Cut", "id": "106"}]}, "Constraints": {}, "sku_mappings": [{"sku": "3D1010-10W-2.7K-IP67-FC", "combination": ["101", "102", "103", "104", "105", "106"]}]}</v>
      </c>
      <c r="U140" s="35" t="s">
        <v>607</v>
      </c>
      <c r="V140" s="21" t="str">
        <f>IFERROR(__xludf.DUMMYFUNCTION("AI(""Extract options object from the json"", U140)"),"{ ""Power Consumption Rate"": [ { ""name"": ""10W/m"", ""id"": ""101"" } ], ""Color Temperature"": [ { ""name"": ""2700K"", ""id"": ""102"" } ], ""Voltage"": [ { ""name"": ""24V"", ""id"": ""103"" } ], ""IP Rating"": [ { ""name"": ""IP67"", ""id"": ""104"&amp;""" } ], ""Dimension"": [ { ""name"": ""10mm (W) x 10mm (H)"", ""id"": ""105"" } ], ""Cut Interval"": [ { ""name"": ""Free Cut"", ""id"": ""106"" } ] }")</f>
        <v>{ "Power Consumption Rate": [ { "name": "10W/m", "id": "101" } ], "Color Temperature": [ { "name": "2700K", "id": "102" } ], "Voltage": [ { "name": "24V", "id": "103" } ], "IP Rating": [ { "name": "IP67", "id": "104" } ], "Dimension": [ { "name": "10mm (W) x 10mm (H)", "id": "105" } ], "Cut Interval": [ { "name": "Free Cut", "id": "106" } ] }</v>
      </c>
      <c r="W140" s="21" t="str">
        <f>IFERROR(__xludf.DUMMYFUNCTION("AI(""Extract constraints object from the json"", U140)"),"{}")</f>
        <v>{}</v>
      </c>
      <c r="X140" s="21" t="str">
        <f>IFERROR(__xludf.DUMMYFUNCTION("AI(""Extract sku_mappings object from the json"", U140)"),"[{""sku"": ""3D1010-10W-2.7K-IP67-FC"", ""combination"": [""101"", ""102"", ""103"", ""104"", ""105"", ""106""]}]")</f>
        <v>[{"sku": "3D1010-10W-2.7K-IP67-FC", "combination": ["101", "102", "103", "104", "105", "106"]}]</v>
      </c>
      <c r="Y140" s="12" t="s">
        <v>42</v>
      </c>
      <c r="Z140" s="12" t="s">
        <v>608</v>
      </c>
      <c r="AA140" s="23" t="s">
        <v>44</v>
      </c>
      <c r="AB140" s="24"/>
      <c r="AC140" s="24" t="str">
        <f>IFERROR(__xludf.DUMMYFUNCTION("AI(""Generate 6 powerful unique keywords for the product in this row"")"),"Architectural lighting, Linear LED, Top View neon, Waterproof light ribbon, Flexible contour illumination, Premium commercial light")</f>
        <v>Architectural lighting, Linear LED, Top View neon, Waterproof light ribbon, Flexible contour illumination, Premium commercial light</v>
      </c>
      <c r="AD140" s="24" t="s">
        <v>45</v>
      </c>
    </row>
    <row r="141" ht="30.0" customHeight="1">
      <c r="A141" s="25"/>
      <c r="B141" s="14"/>
      <c r="C141" s="14"/>
      <c r="D141" s="26"/>
      <c r="E141" s="14"/>
      <c r="F141" s="27"/>
      <c r="G141" s="14"/>
      <c r="H141" s="27"/>
      <c r="I141" s="14"/>
      <c r="J141" s="14"/>
      <c r="K141" s="14"/>
      <c r="L141" s="15" t="s">
        <v>609</v>
      </c>
      <c r="M141" s="15" t="s">
        <v>610</v>
      </c>
      <c r="N141"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""&amp;M141)"),"Power Consumption Rate | Color Temperature | Voltage | IP Rating | Dimension | Cut Interval")</f>
        <v>Power Consumption Rate | Color Temperature | Voltage | IP Rating | Dimension | Cut Interval</v>
      </c>
      <c r="O141" s="17" t="s">
        <v>169</v>
      </c>
      <c r="P141"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""&amp;O141&amp;"", Values: ""&amp;M141&amp; "" and SKU Code: "&amp;"""&amp;L141)"),"{""SKU"": ""3D1010-10W-3K-IP67-FC"", ""Power Consumption Rate"": ""10W/m"", ""Color Temperature"": ""3000K"", ""Voltage"": ""24V"", ""IP Rating"": ""IP67"", ""Dimension"": ""10mm (W) x 10mm (H)"", ""Cut Interval"": ""Free Cut""}")</f>
        <v>{"SKU": "3D1010-10W-3K-IP67-FC", "Power Consumption Rate": "10W/m", "Color Temperature": "3000K", "Voltage": "24V", "IP Rating": "IP67", "Dimension": "10mm (W) x 10mm (H)", "Cut Interval": "Free Cut"}</v>
      </c>
      <c r="Q141" s="17" t="s">
        <v>611</v>
      </c>
      <c r="R141" s="28"/>
      <c r="S141" s="29"/>
      <c r="T141" s="33"/>
      <c r="U141" s="34"/>
      <c r="V141" s="33"/>
      <c r="W141" s="33"/>
      <c r="X141" s="33"/>
      <c r="Y141" s="12" t="s">
        <v>42</v>
      </c>
      <c r="Z141" s="12" t="s">
        <v>608</v>
      </c>
      <c r="AA141" s="23" t="s">
        <v>44</v>
      </c>
      <c r="AB141" s="24"/>
      <c r="AC141" s="24"/>
      <c r="AD141" s="24"/>
    </row>
    <row r="142" ht="30.0" customHeight="1">
      <c r="A142" s="25"/>
      <c r="B142" s="14"/>
      <c r="C142" s="14"/>
      <c r="D142" s="26"/>
      <c r="E142" s="14"/>
      <c r="F142" s="27"/>
      <c r="G142" s="14"/>
      <c r="H142" s="27"/>
      <c r="I142" s="14"/>
      <c r="J142" s="14"/>
      <c r="K142" s="14"/>
      <c r="L142" s="15" t="s">
        <v>612</v>
      </c>
      <c r="M142" s="15" t="s">
        <v>613</v>
      </c>
      <c r="N142"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""&amp;M142)"),"Power Consumption Rate | Color Temperature | Voltage | IP Rating | Dimension | Cut Interval")</f>
        <v>Power Consumption Rate | Color Temperature | Voltage | IP Rating | Dimension | Cut Interval</v>
      </c>
      <c r="O142" s="17" t="s">
        <v>169</v>
      </c>
      <c r="P142"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""&amp;O142&amp;"", Values: ""&amp;M142&amp; "" and SKU Code: "&amp;"""&amp;L142)"),"{""Power Consumption Rate"": ""10W/m"", ""Color Temperature"": ""4000K"", ""Voltage"": ""24V"", ""IP Rating"": ""IP67"", ""Dimension"": ""10mm (W) x 10mm (H)"", ""Cut Interval"": ""Free Cut"", ""SKU"": ""3D1010-10W-4K-IP67-FC""}")</f>
        <v>{"Power Consumption Rate": "10W/m", "Color Temperature": "4000K", "Voltage": "24V", "IP Rating": "IP67", "Dimension": "10mm (W) x 10mm (H)", "Cut Interval": "Free Cut", "SKU": "3D1010-10W-4K-IP67-FC"}</v>
      </c>
      <c r="Q142" s="17" t="s">
        <v>614</v>
      </c>
      <c r="R142" s="28"/>
      <c r="S142" s="29"/>
      <c r="T142" s="33"/>
      <c r="U142" s="34"/>
      <c r="V142" s="33"/>
      <c r="W142" s="33"/>
      <c r="X142" s="33"/>
      <c r="Y142" s="12" t="s">
        <v>42</v>
      </c>
      <c r="Z142" s="12" t="s">
        <v>608</v>
      </c>
      <c r="AA142" s="23" t="s">
        <v>44</v>
      </c>
      <c r="AB142" s="24"/>
      <c r="AC142" s="24"/>
      <c r="AD142" s="24"/>
    </row>
    <row r="143" ht="30.0" customHeight="1">
      <c r="A143" s="11" t="s">
        <v>615</v>
      </c>
      <c r="B143" s="12" t="s">
        <v>591</v>
      </c>
      <c r="C143" s="12" t="s">
        <v>32</v>
      </c>
      <c r="D143" s="13" t="s">
        <v>592</v>
      </c>
      <c r="E143" s="12" t="s">
        <v>34</v>
      </c>
      <c r="F143" s="13" t="str">
        <f>IFERROR(__xludf.DUMMYFUNCTION("AI(""Give me a paragraph marketing spiel for product in this row, no tech specs just marketing fluff "")"),"Step into the next dimension of luxury illumination with the Dual Colour 3D Bend Neon. Designed for visionaries who refuse to compromise on style, this revolutionary linear lighting masterpiece bends effortlessly in all directions to trace breathtaking ar"&amp;"chitectural curves and create captivating visual features. Whether you are transforming a high-end commercial venue, designing a sophisticated modern lounge, or adding a touch of drama to an intimate space, its seamless, uniform dual-colour glow wraps you"&amp;"r environment in a blanket of pure elegance. Crafted to elevate the ordinary into the extraordinary, it delivers an unmatched aesthetic ambiance that commands attention and inspires awe.")</f>
        <v>Step into the next dimension of luxury illumination with the Dual Colour 3D Bend Neon. Designed for visionaries who refuse to compromise on style, this revolutionary linear lighting masterpiece bends effortlessly in all directions to trace breathtaking architectural curves and create captivating visual features. Whether you are transforming a high-end commercial venue, designing a sophisticated modern lounge, or adding a touch of drama to an intimate space, its seamless, uniform dual-colour glow wraps your environment in a blanket of pure elegance. Crafted to elevate the ordinary into the extraordinary, it delivers an unmatched aesthetic ambiance that commands attention and inspires awe.</v>
      </c>
      <c r="G143" s="12" t="s">
        <v>616</v>
      </c>
      <c r="H143" s="13" t="str">
        <f>IFERROR(__xludf.DUMMYFUNCTION("AI(""Give me a paragraph marketing spiel for product in this row, no tech specs just marketing fluff under 180 characters "")"),"Step into the next dimension of luxury illumination with the Dual Colour 3D Bend Neon, wrapping your space in a seamless dual-colour glow of pure elegance and awe.")</f>
        <v>Step into the next dimension of luxury illumination with the Dual Colour 3D Bend Neon, wrapping your space in a seamless dual-colour glow of pure elegance and awe.</v>
      </c>
      <c r="I143" s="12" t="s">
        <v>617</v>
      </c>
      <c r="J143" s="14"/>
      <c r="K143" s="14"/>
      <c r="L143" s="15" t="s">
        <v>615</v>
      </c>
      <c r="M143" s="15" t="s">
        <v>618</v>
      </c>
      <c r="N143" s="16"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Color Temperature (Example 2200K, 2700K, 3000K, 4000K, 5300K, RGBW (3000K), TW (2700K-5300K), TW (2700K-6500K), 2700K &amp; 3000K, RGB, RED)
- Voltage (Example 20V, 12V/24V)
- Current Type (Example AC/DC)
- I"&amp;"P Rating (Example IP67, IP68, IP20)
- Impact Strength (Example IK10, IK10 with Neon-AluProfile-1617)
- Optics (Example SYS30°)
- Finish (Example Black, Silver)
- Channel Configuration (Example Singel-Sided, Double-Sided, Bendable Single-Sided, Bendable Do"&amp;"uble-Sided)
- Dimension (Example 53mm (W) x 14mm (H), 480mm (L) x 240mm (W))
- Strip Width (Example 8mm, 12mm)
- Power Consumption Rate (Example 8W/m, 5W/m)
- AC Phase-Cut (Example Triac)
- Current Sinking (Example 0-10V)
- Current Sourcing (Example 1-10V"&amp;")
- Duty Cycle (Example PWM)
- Variable Resistance (Example Potentiometer)
- Pixel (Example 12 Pixels/m)
- Control Protocol (Example DMX, SPI)
- Cut Interval (Example Free Cut)
- Glare Control (Example Honeycomb Anti Glare Louvre)
- Beam Angle (Example 30"&amp;"°, 36°)
### STRICT OUTPUT RULES
1. Output ONLY the corresponding labels mentioned above separated by pipes ('|'). 
2. Do not include the values in your output.
3. Do not include any conversational text, introductory remarks, or markdown formatting blocks"&amp;".
4. The number of labels in your output must exactly match the number of values provided in the input.
---
### FEW-SHOT EXAMPLES
#### Example 1 (Standard Neon Strip)
Input: 1.2W | SYM30° | 3000K | IP67 | IK10
Output: Power|Optics|Color Temperature|IP "&amp;"Rating|Impact Strength
Input: 15W/m | RGB | 24V | IP69 | 16mm (W) x 17mm (H) | Max 5,000mm (L) | DMX | 12 Pixels/m | IK10 with Neon-AluProfile-1617
Output: Power Consumption Rate|Color Temperature|Voltage|IP Rating|Dimension|Length|Control Protocol|Pixel"&amp;"|Impact Strength
---
### YOUR TASK
Generate output for the values text ""&amp;M143)"),"Power Consumption Rate | Color Temperature | Voltage | IP Rating | Dimension")</f>
        <v>Power Consumption Rate | Color Temperature | Voltage | IP Rating | Dimension</v>
      </c>
      <c r="O143" s="17" t="s">
        <v>189</v>
      </c>
      <c r="P143" s="16"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""&amp;O143&amp;"", Values: ""&amp;M143&amp; "" and SKU Code: "&amp;"""&amp;L143)"),"{""Power Consumption Rate"": ""10W/m"", ""Color Temperature"": ""2700K &amp; 3000K"", ""Voltage"": ""24V"", ""IP Rating"": ""IP67"", ""Dimension"": ""10mm (W) x 10mm (H)"", ""SKU"": ""3D1010-10W-2.7-3K-IP67""}")</f>
        <v>{"Power Consumption Rate": "10W/m", "Color Temperature": "2700K &amp; 3000K", "Voltage": "24V", "IP Rating": "IP67", "Dimension": "10mm (W) x 10mm (H)", "SKU": "3D1010-10W-2.7-3K-IP67"}</v>
      </c>
      <c r="Q143" s="17" t="s">
        <v>619</v>
      </c>
      <c r="R143" s="16" t="s">
        <v>620</v>
      </c>
      <c r="S143" s="37" t="s">
        <v>620</v>
      </c>
      <c r="T143" s="18"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Q143)"),"{""Options"": {""Power Consumption Rate"": [{""name"": ""10W/m"", ""id"": ""101""}], ""Color Temperature"": [{""name"": ""3000K"", ""id"": ""102""}], ""Voltage"": [{""name"": ""24V"", ""id"": ""103""}], ""IP Rating"": [{""name"": ""IP67"", ""id"": ""104"""&amp;"}], ""Dimension"": [{""name"": ""10mm (W) x 10mm (H)"", ""id"": ""105""}], ""Cut Interval"": [{""name"": ""Free Cut"", ""id"": ""106""}]}, ""Constraints"": {}, ""sku_mappings"": [{""sku"": ""3D1010-10W-3K-IP67-FC"", ""combination"": [""101"", ""102"", ""1"&amp;"03"", ""104"", ""105"", ""106""]}]}")</f>
        <v>{"Options": {"Power Consumption Rate": [{"name": "10W/m", "id": "101"}], "Color Temperature": [{"name": "3000K", "id": "102"}], "Voltage": [{"name": "24V", "id": "103"}], "IP Rating": [{"name": "IP67", "id": "104"}], "Dimension": [{"name": "10mm (W) x 10mm (H)", "id": "105"}], "Cut Interval": [{"name": "Free Cut", "id": "106"}]}, "Constraints": {}, "sku_mappings": [{"sku": "3D1010-10W-3K-IP67-FC", "combination": ["101", "102", "103", "104", "105", "106"]}]}</v>
      </c>
      <c r="U143" s="35" t="s">
        <v>621</v>
      </c>
      <c r="V143" s="21" t="str">
        <f>IFERROR(__xludf.DUMMYFUNCTION("AI(""Extract options object from the json"", U143)"),"{""Power Consumption Rate"": [{""name"": ""10W/m"", ""id"": ""101""}], ""Color Temperature"": [{""name"": ""3000K"", ""id"": ""102""}], ""Voltage"": [{""name"": ""24V"", ""id"": ""103""}], ""IP Rating"": [{""name"": ""IP67"", ""id"": ""104""}], ""Dimensio"&amp;"n"": [{""name"": ""10mm (W) x 10mm (H)"", ""id"": ""105""}], ""Cut Interval"": [{""name"": ""Free Cut"", ""id"": ""106""}]}")</f>
        <v>{"Power Consumption Rate": [{"name": "10W/m", "id": "101"}], "Color Temperature": [{"name": "3000K", "id": "102"}], "Voltage": [{"name": "24V", "id": "103"}], "IP Rating": [{"name": "IP67", "id": "104"}], "Dimension": [{"name": "10mm (W) x 10mm (H)", "id": "105"}], "Cut Interval": [{"name": "Free Cut", "id": "106"}]}</v>
      </c>
      <c r="W143" s="21" t="str">
        <f>IFERROR(__xludf.DUMMYFUNCTION("AI(""Extract constraints object from the json"", U143)"),"{}")</f>
        <v>{}</v>
      </c>
      <c r="X143" s="21" t="str">
        <f>IFERROR(__xludf.DUMMYFUNCTION("AI(""Extract sku_mappings object from the json"", U143)"),"[{""sku"": ""3D1010-10W-3K-IP67-FC"", ""combination"": [""101"", ""102"", ""103"", ""104"", ""105"", ""106""]}]")</f>
        <v>[{"sku": "3D1010-10W-3K-IP67-FC", "combination": ["101", "102", "103", "104", "105", "106"]}]</v>
      </c>
      <c r="Y143" s="12" t="s">
        <v>42</v>
      </c>
      <c r="Z143" s="12" t="s">
        <v>622</v>
      </c>
      <c r="AA143" s="23" t="s">
        <v>44</v>
      </c>
      <c r="AB143" s="24"/>
      <c r="AC143" s="24" t="str">
        <f>IFERROR(__xludf.DUMMYFUNCTION("AI(""Generate 6 powerful unique keywords for the product in this row"")"),"Architectural lighting, 3D bend neon, Dual colour LED, Flexible liner light, Luxury ambiance illumination, Premium visual features")</f>
        <v>Architectural lighting, 3D bend neon, Dual colour LED, Flexible liner light, Luxury ambiance illumination, Premium visual features</v>
      </c>
      <c r="AD143" s="24" t="s">
        <v>623</v>
      </c>
    </row>
    <row r="144">
      <c r="A144" s="24"/>
      <c r="B144" s="24"/>
      <c r="C144" s="24"/>
      <c r="D144" s="38"/>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row>
    <row r="145">
      <c r="A145" s="24"/>
      <c r="B145" s="24"/>
      <c r="C145" s="24"/>
      <c r="D145" s="38"/>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row>
    <row r="146">
      <c r="A146" s="24"/>
      <c r="B146" s="24"/>
      <c r="C146" s="24"/>
      <c r="D146" s="38"/>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row>
    <row r="147">
      <c r="A147" s="24"/>
      <c r="B147" s="24"/>
      <c r="C147" s="24"/>
      <c r="D147" s="38"/>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row>
    <row r="148">
      <c r="A148" s="24"/>
      <c r="B148" s="24"/>
      <c r="C148" s="24"/>
      <c r="D148" s="38"/>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row>
    <row r="149">
      <c r="A149" s="24"/>
      <c r="B149" s="24"/>
      <c r="C149" s="24"/>
      <c r="D149" s="38"/>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row>
    <row r="150">
      <c r="A150" s="24"/>
      <c r="B150" s="24"/>
      <c r="C150" s="24"/>
      <c r="D150" s="38"/>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row>
    <row r="151">
      <c r="A151" s="24"/>
      <c r="B151" s="24"/>
      <c r="C151" s="24"/>
      <c r="D151" s="38"/>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row>
    <row r="152">
      <c r="A152" s="24"/>
      <c r="B152" s="24"/>
      <c r="C152" s="24"/>
      <c r="D152" s="38"/>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row>
    <row r="153">
      <c r="A153" s="24"/>
      <c r="B153" s="24"/>
      <c r="C153" s="24"/>
      <c r="D153" s="38"/>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row>
    <row r="154">
      <c r="A154" s="24"/>
      <c r="B154" s="24"/>
      <c r="C154" s="24"/>
      <c r="D154" s="38"/>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row>
    <row r="155">
      <c r="A155" s="24"/>
      <c r="B155" s="24"/>
      <c r="C155" s="24"/>
      <c r="D155" s="38"/>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row>
    <row r="156">
      <c r="A156" s="24"/>
      <c r="B156" s="24"/>
      <c r="C156" s="24"/>
      <c r="D156" s="38"/>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row>
    <row r="157">
      <c r="A157" s="24"/>
      <c r="B157" s="24"/>
      <c r="C157" s="24"/>
      <c r="D157" s="38"/>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row>
    <row r="158">
      <c r="A158" s="24"/>
      <c r="B158" s="24"/>
      <c r="C158" s="24"/>
      <c r="D158" s="38"/>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row>
    <row r="159">
      <c r="A159" s="24"/>
      <c r="B159" s="24"/>
      <c r="C159" s="24"/>
      <c r="D159" s="38"/>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row>
    <row r="160">
      <c r="A160" s="24"/>
      <c r="B160" s="24"/>
      <c r="C160" s="24"/>
      <c r="D160" s="38"/>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row>
    <row r="161">
      <c r="A161" s="24"/>
      <c r="B161" s="24"/>
      <c r="C161" s="24"/>
      <c r="D161" s="38"/>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row>
    <row r="162">
      <c r="A162" s="24"/>
      <c r="B162" s="24"/>
      <c r="C162" s="24"/>
      <c r="D162" s="38"/>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row>
    <row r="163">
      <c r="A163" s="24"/>
      <c r="B163" s="24"/>
      <c r="C163" s="24"/>
      <c r="D163" s="38"/>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row>
    <row r="164">
      <c r="A164" s="24"/>
      <c r="B164" s="24"/>
      <c r="C164" s="24"/>
      <c r="D164" s="38"/>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row>
    <row r="165">
      <c r="A165" s="24"/>
      <c r="B165" s="24"/>
      <c r="C165" s="24"/>
      <c r="D165" s="38"/>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row>
    <row r="166">
      <c r="A166" s="24"/>
      <c r="B166" s="24"/>
      <c r="C166" s="24"/>
      <c r="D166" s="38"/>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row>
    <row r="167">
      <c r="A167" s="24"/>
      <c r="B167" s="24"/>
      <c r="C167" s="24"/>
      <c r="D167" s="38"/>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row>
    <row r="168">
      <c r="A168" s="24"/>
      <c r="B168" s="24"/>
      <c r="C168" s="24"/>
      <c r="D168" s="38"/>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row>
    <row r="169">
      <c r="A169" s="24"/>
      <c r="B169" s="24"/>
      <c r="C169" s="24"/>
      <c r="D169" s="38"/>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row>
    <row r="170">
      <c r="A170" s="24"/>
      <c r="B170" s="24"/>
      <c r="C170" s="24"/>
      <c r="D170" s="38"/>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row>
    <row r="171">
      <c r="A171" s="24"/>
      <c r="B171" s="24"/>
      <c r="C171" s="24"/>
      <c r="D171" s="38"/>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row>
    <row r="172">
      <c r="A172" s="24"/>
      <c r="B172" s="24"/>
      <c r="C172" s="24"/>
      <c r="D172" s="38"/>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row>
    <row r="173">
      <c r="A173" s="24"/>
      <c r="B173" s="24"/>
      <c r="C173" s="24"/>
      <c r="D173" s="38"/>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row>
    <row r="174">
      <c r="A174" s="24"/>
      <c r="B174" s="24"/>
      <c r="C174" s="24"/>
      <c r="D174" s="38"/>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row>
    <row r="175">
      <c r="A175" s="24"/>
      <c r="B175" s="24"/>
      <c r="C175" s="24"/>
      <c r="D175" s="38"/>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row>
    <row r="176">
      <c r="A176" s="24"/>
      <c r="B176" s="24"/>
      <c r="C176" s="24"/>
      <c r="D176" s="38"/>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row>
    <row r="177">
      <c r="A177" s="24"/>
      <c r="B177" s="24"/>
      <c r="C177" s="24"/>
      <c r="D177" s="38"/>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row>
    <row r="178">
      <c r="A178" s="24"/>
      <c r="B178" s="24"/>
      <c r="C178" s="24"/>
      <c r="D178" s="38"/>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row>
    <row r="179">
      <c r="A179" s="24"/>
      <c r="B179" s="24"/>
      <c r="C179" s="24"/>
      <c r="D179" s="38"/>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row>
    <row r="180">
      <c r="A180" s="24"/>
      <c r="B180" s="24"/>
      <c r="C180" s="24"/>
      <c r="D180" s="38"/>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row>
    <row r="181">
      <c r="A181" s="24"/>
      <c r="B181" s="24"/>
      <c r="C181" s="24"/>
      <c r="D181" s="38"/>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row>
    <row r="182">
      <c r="A182" s="24"/>
      <c r="B182" s="24"/>
      <c r="C182" s="24"/>
      <c r="D182" s="38"/>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row>
    <row r="183">
      <c r="A183" s="24"/>
      <c r="B183" s="24"/>
      <c r="C183" s="24"/>
      <c r="D183" s="38"/>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row>
    <row r="184">
      <c r="A184" s="24"/>
      <c r="B184" s="24"/>
      <c r="C184" s="24"/>
      <c r="D184" s="38"/>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row>
    <row r="185">
      <c r="A185" s="24"/>
      <c r="B185" s="24"/>
      <c r="C185" s="24"/>
      <c r="D185" s="38"/>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row>
    <row r="186">
      <c r="A186" s="24"/>
      <c r="B186" s="24"/>
      <c r="C186" s="24"/>
      <c r="D186" s="38"/>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row>
    <row r="187">
      <c r="A187" s="24"/>
      <c r="B187" s="24"/>
      <c r="C187" s="24"/>
      <c r="D187" s="38"/>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row>
    <row r="188">
      <c r="A188" s="24"/>
      <c r="B188" s="24"/>
      <c r="C188" s="24"/>
      <c r="D188" s="38"/>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row>
    <row r="189">
      <c r="A189" s="24"/>
      <c r="B189" s="24"/>
      <c r="C189" s="24"/>
      <c r="D189" s="38"/>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row>
    <row r="190">
      <c r="A190" s="24"/>
      <c r="B190" s="24"/>
      <c r="C190" s="24"/>
      <c r="D190" s="38"/>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row>
    <row r="191">
      <c r="A191" s="24"/>
      <c r="B191" s="24"/>
      <c r="C191" s="24"/>
      <c r="D191" s="38"/>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row>
    <row r="192">
      <c r="A192" s="24"/>
      <c r="B192" s="24"/>
      <c r="C192" s="24"/>
      <c r="D192" s="38"/>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row>
    <row r="193">
      <c r="A193" s="24"/>
      <c r="B193" s="24"/>
      <c r="C193" s="24"/>
      <c r="D193" s="38"/>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row>
    <row r="194">
      <c r="A194" s="24"/>
      <c r="B194" s="24"/>
      <c r="C194" s="24"/>
      <c r="D194" s="38"/>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row>
    <row r="195">
      <c r="A195" s="24"/>
      <c r="B195" s="24"/>
      <c r="C195" s="24"/>
      <c r="D195" s="38"/>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row>
    <row r="196">
      <c r="A196" s="24"/>
      <c r="B196" s="24"/>
      <c r="C196" s="24"/>
      <c r="D196" s="38"/>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row>
    <row r="197">
      <c r="A197" s="24"/>
      <c r="B197" s="24"/>
      <c r="C197" s="24"/>
      <c r="D197" s="38"/>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row>
    <row r="198">
      <c r="A198" s="24"/>
      <c r="B198" s="24"/>
      <c r="C198" s="24"/>
      <c r="D198" s="38"/>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row>
    <row r="199">
      <c r="A199" s="24"/>
      <c r="B199" s="24"/>
      <c r="C199" s="24"/>
      <c r="D199" s="38"/>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row>
    <row r="200">
      <c r="A200" s="24"/>
      <c r="B200" s="24"/>
      <c r="C200" s="24"/>
      <c r="D200" s="38"/>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row>
    <row r="201">
      <c r="A201" s="24"/>
      <c r="B201" s="24"/>
      <c r="C201" s="24"/>
      <c r="D201" s="38"/>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row>
    <row r="202">
      <c r="A202" s="24"/>
      <c r="B202" s="24"/>
      <c r="C202" s="24"/>
      <c r="D202" s="38"/>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row>
    <row r="203">
      <c r="A203" s="24"/>
      <c r="B203" s="24"/>
      <c r="C203" s="24"/>
      <c r="D203" s="38"/>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row>
    <row r="204">
      <c r="A204" s="24"/>
      <c r="B204" s="24"/>
      <c r="C204" s="24"/>
      <c r="D204" s="38"/>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row>
    <row r="205">
      <c r="A205" s="24"/>
      <c r="B205" s="24"/>
      <c r="C205" s="24"/>
      <c r="D205" s="38"/>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row>
    <row r="206">
      <c r="A206" s="24"/>
      <c r="B206" s="24"/>
      <c r="C206" s="24"/>
      <c r="D206" s="38"/>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row>
    <row r="207">
      <c r="A207" s="24"/>
      <c r="B207" s="24"/>
      <c r="C207" s="24"/>
      <c r="D207" s="38"/>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row>
    <row r="208">
      <c r="A208" s="24"/>
      <c r="B208" s="24"/>
      <c r="C208" s="24"/>
      <c r="D208" s="38"/>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row>
    <row r="209">
      <c r="A209" s="24"/>
      <c r="B209" s="24"/>
      <c r="C209" s="24"/>
      <c r="D209" s="38"/>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row>
    <row r="210">
      <c r="A210" s="24"/>
      <c r="B210" s="24"/>
      <c r="C210" s="24"/>
      <c r="D210" s="38"/>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row>
    <row r="211">
      <c r="A211" s="24"/>
      <c r="B211" s="24"/>
      <c r="C211" s="24"/>
      <c r="D211" s="38"/>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row>
    <row r="212">
      <c r="A212" s="24"/>
      <c r="B212" s="24"/>
      <c r="C212" s="24"/>
      <c r="D212" s="38"/>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row>
    <row r="213">
      <c r="A213" s="24"/>
      <c r="B213" s="24"/>
      <c r="C213" s="24"/>
      <c r="D213" s="38"/>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row>
    <row r="214">
      <c r="A214" s="24"/>
      <c r="B214" s="24"/>
      <c r="C214" s="24"/>
      <c r="D214" s="38"/>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row>
    <row r="215">
      <c r="A215" s="24"/>
      <c r="B215" s="24"/>
      <c r="C215" s="24"/>
      <c r="D215" s="38"/>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row>
    <row r="216">
      <c r="A216" s="24"/>
      <c r="B216" s="24"/>
      <c r="C216" s="24"/>
      <c r="D216" s="38"/>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row>
    <row r="217">
      <c r="A217" s="24"/>
      <c r="B217" s="24"/>
      <c r="C217" s="24"/>
      <c r="D217" s="38"/>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row>
    <row r="218">
      <c r="A218" s="24"/>
      <c r="B218" s="24"/>
      <c r="C218" s="24"/>
      <c r="D218" s="38"/>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row>
    <row r="219">
      <c r="A219" s="24"/>
      <c r="B219" s="24"/>
      <c r="C219" s="24"/>
      <c r="D219" s="38"/>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row>
    <row r="220">
      <c r="A220" s="24"/>
      <c r="B220" s="24"/>
      <c r="C220" s="24"/>
      <c r="D220" s="38"/>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row>
    <row r="221">
      <c r="A221" s="24"/>
      <c r="B221" s="24"/>
      <c r="C221" s="24"/>
      <c r="D221" s="38"/>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row>
    <row r="222">
      <c r="A222" s="24"/>
      <c r="B222" s="24"/>
      <c r="C222" s="24"/>
      <c r="D222" s="38"/>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row>
    <row r="223">
      <c r="A223" s="24"/>
      <c r="B223" s="24"/>
      <c r="C223" s="24"/>
      <c r="D223" s="38"/>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row>
    <row r="224">
      <c r="A224" s="24"/>
      <c r="B224" s="24"/>
      <c r="C224" s="24"/>
      <c r="D224" s="38"/>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row>
    <row r="225">
      <c r="A225" s="24"/>
      <c r="B225" s="24"/>
      <c r="C225" s="24"/>
      <c r="D225" s="38"/>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row>
    <row r="226">
      <c r="A226" s="24"/>
      <c r="B226" s="24"/>
      <c r="C226" s="24"/>
      <c r="D226" s="38"/>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row>
    <row r="227">
      <c r="A227" s="24"/>
      <c r="B227" s="24"/>
      <c r="C227" s="24"/>
      <c r="D227" s="38"/>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row>
    <row r="228">
      <c r="A228" s="24"/>
      <c r="B228" s="24"/>
      <c r="C228" s="24"/>
      <c r="D228" s="38"/>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row>
    <row r="229">
      <c r="A229" s="24"/>
      <c r="B229" s="24"/>
      <c r="C229" s="24"/>
      <c r="D229" s="38"/>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row>
    <row r="230">
      <c r="A230" s="24"/>
      <c r="B230" s="24"/>
      <c r="C230" s="24"/>
      <c r="D230" s="38"/>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row>
    <row r="231">
      <c r="A231" s="24"/>
      <c r="B231" s="24"/>
      <c r="C231" s="24"/>
      <c r="D231" s="38"/>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row>
    <row r="232">
      <c r="A232" s="24"/>
      <c r="B232" s="24"/>
      <c r="C232" s="24"/>
      <c r="D232" s="38"/>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row>
    <row r="233">
      <c r="A233" s="24"/>
      <c r="B233" s="24"/>
      <c r="C233" s="24"/>
      <c r="D233" s="38"/>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row>
    <row r="234">
      <c r="A234" s="24"/>
      <c r="B234" s="24"/>
      <c r="C234" s="24"/>
      <c r="D234" s="38"/>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row>
    <row r="235">
      <c r="A235" s="24"/>
      <c r="B235" s="24"/>
      <c r="C235" s="24"/>
      <c r="D235" s="38"/>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row>
    <row r="236">
      <c r="A236" s="24"/>
      <c r="B236" s="24"/>
      <c r="C236" s="24"/>
      <c r="D236" s="38"/>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row>
    <row r="237">
      <c r="A237" s="24"/>
      <c r="B237" s="24"/>
      <c r="C237" s="24"/>
      <c r="D237" s="38"/>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row>
    <row r="238">
      <c r="A238" s="24"/>
      <c r="B238" s="24"/>
      <c r="C238" s="24"/>
      <c r="D238" s="38"/>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row>
    <row r="239">
      <c r="A239" s="24"/>
      <c r="B239" s="24"/>
      <c r="C239" s="24"/>
      <c r="D239" s="38"/>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row>
    <row r="240">
      <c r="A240" s="24"/>
      <c r="B240" s="24"/>
      <c r="C240" s="24"/>
      <c r="D240" s="38"/>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row>
    <row r="241">
      <c r="A241" s="24"/>
      <c r="B241" s="24"/>
      <c r="C241" s="24"/>
      <c r="D241" s="38"/>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row>
    <row r="242">
      <c r="A242" s="24"/>
      <c r="B242" s="24"/>
      <c r="C242" s="24"/>
      <c r="D242" s="38"/>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row>
    <row r="243">
      <c r="A243" s="24"/>
      <c r="B243" s="24"/>
      <c r="C243" s="24"/>
      <c r="D243" s="38"/>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row>
    <row r="244">
      <c r="A244" s="24"/>
      <c r="B244" s="24"/>
      <c r="C244" s="24"/>
      <c r="D244" s="38"/>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row>
    <row r="245">
      <c r="A245" s="24"/>
      <c r="B245" s="24"/>
      <c r="C245" s="24"/>
      <c r="D245" s="38"/>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row>
    <row r="246">
      <c r="A246" s="24"/>
      <c r="B246" s="24"/>
      <c r="C246" s="24"/>
      <c r="D246" s="38"/>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row>
    <row r="247">
      <c r="A247" s="24"/>
      <c r="B247" s="24"/>
      <c r="C247" s="24"/>
      <c r="D247" s="38"/>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row>
    <row r="248">
      <c r="A248" s="24"/>
      <c r="B248" s="24"/>
      <c r="C248" s="24"/>
      <c r="D248" s="38"/>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row>
    <row r="249">
      <c r="A249" s="24"/>
      <c r="B249" s="24"/>
      <c r="C249" s="24"/>
      <c r="D249" s="38"/>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row>
    <row r="250">
      <c r="A250" s="24"/>
      <c r="B250" s="24"/>
      <c r="C250" s="24"/>
      <c r="D250" s="38"/>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row>
    <row r="251">
      <c r="A251" s="24"/>
      <c r="B251" s="24"/>
      <c r="C251" s="24"/>
      <c r="D251" s="38"/>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row>
    <row r="252">
      <c r="A252" s="24"/>
      <c r="B252" s="24"/>
      <c r="C252" s="24"/>
      <c r="D252" s="38"/>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row>
    <row r="253">
      <c r="A253" s="24"/>
      <c r="B253" s="24"/>
      <c r="C253" s="24"/>
      <c r="D253" s="38"/>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row>
    <row r="254">
      <c r="A254" s="24"/>
      <c r="B254" s="24"/>
      <c r="C254" s="24"/>
      <c r="D254" s="38"/>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row>
    <row r="255">
      <c r="A255" s="24"/>
      <c r="B255" s="24"/>
      <c r="C255" s="24"/>
      <c r="D255" s="38"/>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row>
    <row r="256">
      <c r="A256" s="24"/>
      <c r="B256" s="24"/>
      <c r="C256" s="24"/>
      <c r="D256" s="38"/>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row>
    <row r="257">
      <c r="A257" s="24"/>
      <c r="B257" s="24"/>
      <c r="C257" s="24"/>
      <c r="D257" s="38"/>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row>
    <row r="258">
      <c r="A258" s="24"/>
      <c r="B258" s="24"/>
      <c r="C258" s="24"/>
      <c r="D258" s="38"/>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row>
    <row r="259">
      <c r="A259" s="24"/>
      <c r="B259" s="24"/>
      <c r="C259" s="24"/>
      <c r="D259" s="38"/>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row>
    <row r="260">
      <c r="A260" s="24"/>
      <c r="B260" s="24"/>
      <c r="C260" s="24"/>
      <c r="D260" s="38"/>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row>
    <row r="261">
      <c r="A261" s="24"/>
      <c r="B261" s="24"/>
      <c r="C261" s="24"/>
      <c r="D261" s="38"/>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row>
    <row r="262">
      <c r="A262" s="24"/>
      <c r="B262" s="24"/>
      <c r="C262" s="24"/>
      <c r="D262" s="38"/>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row>
    <row r="263">
      <c r="A263" s="24"/>
      <c r="B263" s="24"/>
      <c r="C263" s="24"/>
      <c r="D263" s="38"/>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row>
    <row r="264">
      <c r="A264" s="24"/>
      <c r="B264" s="24"/>
      <c r="C264" s="24"/>
      <c r="D264" s="38"/>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row>
    <row r="265">
      <c r="A265" s="24"/>
      <c r="B265" s="24"/>
      <c r="C265" s="24"/>
      <c r="D265" s="38"/>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row>
    <row r="266">
      <c r="A266" s="24"/>
      <c r="B266" s="24"/>
      <c r="C266" s="24"/>
      <c r="D266" s="38"/>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row>
    <row r="267">
      <c r="A267" s="24"/>
      <c r="B267" s="24"/>
      <c r="C267" s="24"/>
      <c r="D267" s="38"/>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row>
    <row r="268">
      <c r="A268" s="24"/>
      <c r="B268" s="24"/>
      <c r="C268" s="24"/>
      <c r="D268" s="38"/>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row>
    <row r="269">
      <c r="A269" s="24"/>
      <c r="B269" s="24"/>
      <c r="C269" s="24"/>
      <c r="D269" s="38"/>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row>
    <row r="270">
      <c r="A270" s="24"/>
      <c r="B270" s="24"/>
      <c r="C270" s="24"/>
      <c r="D270" s="38"/>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row>
    <row r="271">
      <c r="A271" s="24"/>
      <c r="B271" s="24"/>
      <c r="C271" s="24"/>
      <c r="D271" s="38"/>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row>
    <row r="272">
      <c r="A272" s="24"/>
      <c r="B272" s="24"/>
      <c r="C272" s="24"/>
      <c r="D272" s="38"/>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row>
    <row r="273">
      <c r="A273" s="24"/>
      <c r="B273" s="24"/>
      <c r="C273" s="24"/>
      <c r="D273" s="38"/>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row>
    <row r="274">
      <c r="A274" s="24"/>
      <c r="B274" s="24"/>
      <c r="C274" s="24"/>
      <c r="D274" s="38"/>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row>
    <row r="275">
      <c r="A275" s="24"/>
      <c r="B275" s="24"/>
      <c r="C275" s="24"/>
      <c r="D275" s="38"/>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row>
    <row r="276">
      <c r="A276" s="24"/>
      <c r="B276" s="24"/>
      <c r="C276" s="24"/>
      <c r="D276" s="38"/>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row>
    <row r="277">
      <c r="A277" s="24"/>
      <c r="B277" s="24"/>
      <c r="C277" s="24"/>
      <c r="D277" s="38"/>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row>
    <row r="278">
      <c r="A278" s="24"/>
      <c r="B278" s="24"/>
      <c r="C278" s="24"/>
      <c r="D278" s="38"/>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row>
    <row r="279">
      <c r="A279" s="24"/>
      <c r="B279" s="24"/>
      <c r="C279" s="24"/>
      <c r="D279" s="38"/>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row>
    <row r="280">
      <c r="A280" s="24"/>
      <c r="B280" s="24"/>
      <c r="C280" s="24"/>
      <c r="D280" s="38"/>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row>
    <row r="281">
      <c r="A281" s="24"/>
      <c r="B281" s="24"/>
      <c r="C281" s="24"/>
      <c r="D281" s="38"/>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row>
    <row r="282">
      <c r="A282" s="24"/>
      <c r="B282" s="24"/>
      <c r="C282" s="24"/>
      <c r="D282" s="38"/>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row>
    <row r="283">
      <c r="A283" s="24"/>
      <c r="B283" s="24"/>
      <c r="C283" s="24"/>
      <c r="D283" s="38"/>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row>
    <row r="284">
      <c r="A284" s="24"/>
      <c r="B284" s="24"/>
      <c r="C284" s="24"/>
      <c r="D284" s="38"/>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row>
    <row r="285">
      <c r="A285" s="24"/>
      <c r="B285" s="24"/>
      <c r="C285" s="24"/>
      <c r="D285" s="38"/>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row>
    <row r="286">
      <c r="A286" s="24"/>
      <c r="B286" s="24"/>
      <c r="C286" s="24"/>
      <c r="D286" s="38"/>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row>
    <row r="287">
      <c r="A287" s="24"/>
      <c r="B287" s="24"/>
      <c r="C287" s="24"/>
      <c r="D287" s="38"/>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row>
    <row r="288">
      <c r="A288" s="24"/>
      <c r="B288" s="24"/>
      <c r="C288" s="24"/>
      <c r="D288" s="38"/>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row>
    <row r="289">
      <c r="A289" s="24"/>
      <c r="B289" s="24"/>
      <c r="C289" s="24"/>
      <c r="D289" s="38"/>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row>
    <row r="290">
      <c r="A290" s="24"/>
      <c r="B290" s="24"/>
      <c r="C290" s="24"/>
      <c r="D290" s="38"/>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row>
    <row r="291">
      <c r="A291" s="24"/>
      <c r="B291" s="24"/>
      <c r="C291" s="24"/>
      <c r="D291" s="38"/>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row>
    <row r="292">
      <c r="A292" s="24"/>
      <c r="B292" s="24"/>
      <c r="C292" s="24"/>
      <c r="D292" s="38"/>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row>
    <row r="293">
      <c r="A293" s="24"/>
      <c r="B293" s="24"/>
      <c r="C293" s="24"/>
      <c r="D293" s="38"/>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row>
    <row r="294">
      <c r="A294" s="24"/>
      <c r="B294" s="24"/>
      <c r="C294" s="24"/>
      <c r="D294" s="38"/>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row>
    <row r="295">
      <c r="A295" s="24"/>
      <c r="B295" s="24"/>
      <c r="C295" s="24"/>
      <c r="D295" s="38"/>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row>
    <row r="296">
      <c r="A296" s="24"/>
      <c r="B296" s="24"/>
      <c r="C296" s="24"/>
      <c r="D296" s="38"/>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row>
    <row r="297">
      <c r="A297" s="24"/>
      <c r="B297" s="24"/>
      <c r="C297" s="24"/>
      <c r="D297" s="38"/>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row>
    <row r="298">
      <c r="A298" s="24"/>
      <c r="B298" s="24"/>
      <c r="C298" s="24"/>
      <c r="D298" s="38"/>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row>
    <row r="299">
      <c r="A299" s="24"/>
      <c r="B299" s="24"/>
      <c r="C299" s="24"/>
      <c r="D299" s="38"/>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row>
    <row r="300">
      <c r="A300" s="24"/>
      <c r="B300" s="24"/>
      <c r="C300" s="24"/>
      <c r="D300" s="38"/>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row>
    <row r="301">
      <c r="A301" s="24"/>
      <c r="B301" s="24"/>
      <c r="C301" s="24"/>
      <c r="D301" s="38"/>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row>
    <row r="302">
      <c r="A302" s="24"/>
      <c r="B302" s="24"/>
      <c r="C302" s="24"/>
      <c r="D302" s="38"/>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row>
    <row r="303">
      <c r="A303" s="24"/>
      <c r="B303" s="24"/>
      <c r="C303" s="24"/>
      <c r="D303" s="38"/>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row>
    <row r="304">
      <c r="A304" s="24"/>
      <c r="B304" s="24"/>
      <c r="C304" s="24"/>
      <c r="D304" s="38"/>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row>
    <row r="305">
      <c r="A305" s="24"/>
      <c r="B305" s="24"/>
      <c r="C305" s="24"/>
      <c r="D305" s="38"/>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row>
    <row r="306">
      <c r="A306" s="24"/>
      <c r="B306" s="24"/>
      <c r="C306" s="24"/>
      <c r="D306" s="38"/>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row>
    <row r="307">
      <c r="A307" s="24"/>
      <c r="B307" s="24"/>
      <c r="C307" s="24"/>
      <c r="D307" s="38"/>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row>
    <row r="308">
      <c r="A308" s="24"/>
      <c r="B308" s="24"/>
      <c r="C308" s="24"/>
      <c r="D308" s="38"/>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row>
    <row r="309">
      <c r="A309" s="24"/>
      <c r="B309" s="24"/>
      <c r="C309" s="24"/>
      <c r="D309" s="38"/>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row>
    <row r="310">
      <c r="A310" s="24"/>
      <c r="B310" s="24"/>
      <c r="C310" s="24"/>
      <c r="D310" s="38"/>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row>
    <row r="311">
      <c r="A311" s="24"/>
      <c r="B311" s="24"/>
      <c r="C311" s="24"/>
      <c r="D311" s="38"/>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row>
    <row r="312">
      <c r="A312" s="24"/>
      <c r="B312" s="24"/>
      <c r="C312" s="24"/>
      <c r="D312" s="38"/>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row>
    <row r="313">
      <c r="A313" s="24"/>
      <c r="B313" s="24"/>
      <c r="C313" s="24"/>
      <c r="D313" s="38"/>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row>
    <row r="314">
      <c r="A314" s="24"/>
      <c r="B314" s="24"/>
      <c r="C314" s="24"/>
      <c r="D314" s="38"/>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row>
    <row r="315">
      <c r="A315" s="24"/>
      <c r="B315" s="24"/>
      <c r="C315" s="24"/>
      <c r="D315" s="38"/>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row>
    <row r="316">
      <c r="A316" s="24"/>
      <c r="B316" s="24"/>
      <c r="C316" s="24"/>
      <c r="D316" s="38"/>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row>
    <row r="317">
      <c r="A317" s="24"/>
      <c r="B317" s="24"/>
      <c r="C317" s="24"/>
      <c r="D317" s="38"/>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row>
    <row r="318">
      <c r="A318" s="24"/>
      <c r="B318" s="24"/>
      <c r="C318" s="24"/>
      <c r="D318" s="38"/>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row>
    <row r="319">
      <c r="A319" s="24"/>
      <c r="B319" s="24"/>
      <c r="C319" s="24"/>
      <c r="D319" s="38"/>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row>
    <row r="320">
      <c r="A320" s="24"/>
      <c r="B320" s="24"/>
      <c r="C320" s="24"/>
      <c r="D320" s="38"/>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row>
    <row r="321">
      <c r="A321" s="24"/>
      <c r="B321" s="24"/>
      <c r="C321" s="24"/>
      <c r="D321" s="38"/>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row>
    <row r="322">
      <c r="A322" s="24"/>
      <c r="B322" s="24"/>
      <c r="C322" s="24"/>
      <c r="D322" s="38"/>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row>
    <row r="323">
      <c r="A323" s="24"/>
      <c r="B323" s="24"/>
      <c r="C323" s="24"/>
      <c r="D323" s="38"/>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row>
    <row r="324">
      <c r="A324" s="24"/>
      <c r="B324" s="24"/>
      <c r="C324" s="24"/>
      <c r="D324" s="38"/>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row>
    <row r="325">
      <c r="A325" s="24"/>
      <c r="B325" s="24"/>
      <c r="C325" s="24"/>
      <c r="D325" s="38"/>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row>
    <row r="326">
      <c r="A326" s="24"/>
      <c r="B326" s="24"/>
      <c r="C326" s="24"/>
      <c r="D326" s="38"/>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row>
    <row r="327">
      <c r="A327" s="24"/>
      <c r="B327" s="24"/>
      <c r="C327" s="24"/>
      <c r="D327" s="38"/>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row>
    <row r="328">
      <c r="A328" s="24"/>
      <c r="B328" s="24"/>
      <c r="C328" s="24"/>
      <c r="D328" s="38"/>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row>
    <row r="329">
      <c r="A329" s="24"/>
      <c r="B329" s="24"/>
      <c r="C329" s="24"/>
      <c r="D329" s="38"/>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row>
    <row r="330">
      <c r="A330" s="24"/>
      <c r="B330" s="24"/>
      <c r="C330" s="24"/>
      <c r="D330" s="38"/>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row>
    <row r="331">
      <c r="A331" s="24"/>
      <c r="B331" s="24"/>
      <c r="C331" s="24"/>
      <c r="D331" s="38"/>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row>
    <row r="332">
      <c r="A332" s="24"/>
      <c r="B332" s="24"/>
      <c r="C332" s="24"/>
      <c r="D332" s="38"/>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row>
    <row r="333">
      <c r="A333" s="24"/>
      <c r="B333" s="24"/>
      <c r="C333" s="24"/>
      <c r="D333" s="38"/>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row>
    <row r="334">
      <c r="A334" s="24"/>
      <c r="B334" s="24"/>
      <c r="C334" s="24"/>
      <c r="D334" s="38"/>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row>
    <row r="335">
      <c r="A335" s="24"/>
      <c r="B335" s="24"/>
      <c r="C335" s="24"/>
      <c r="D335" s="38"/>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row>
    <row r="336">
      <c r="A336" s="24"/>
      <c r="B336" s="24"/>
      <c r="C336" s="24"/>
      <c r="D336" s="38"/>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row>
    <row r="337">
      <c r="A337" s="24"/>
      <c r="B337" s="24"/>
      <c r="C337" s="24"/>
      <c r="D337" s="38"/>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row>
    <row r="338">
      <c r="A338" s="24"/>
      <c r="B338" s="24"/>
      <c r="C338" s="24"/>
      <c r="D338" s="38"/>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row>
    <row r="339">
      <c r="A339" s="24"/>
      <c r="B339" s="24"/>
      <c r="C339" s="24"/>
      <c r="D339" s="38"/>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row>
    <row r="340">
      <c r="A340" s="24"/>
      <c r="B340" s="24"/>
      <c r="C340" s="24"/>
      <c r="D340" s="38"/>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row>
    <row r="341">
      <c r="A341" s="24"/>
      <c r="B341" s="24"/>
      <c r="C341" s="24"/>
      <c r="D341" s="38"/>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row>
    <row r="342">
      <c r="A342" s="24"/>
      <c r="B342" s="24"/>
      <c r="C342" s="24"/>
      <c r="D342" s="38"/>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row>
    <row r="343">
      <c r="A343" s="24"/>
      <c r="B343" s="24"/>
      <c r="C343" s="24"/>
      <c r="D343" s="38"/>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row>
    <row r="344">
      <c r="A344" s="24"/>
      <c r="B344" s="24"/>
      <c r="C344" s="24"/>
      <c r="D344" s="38"/>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row>
    <row r="345">
      <c r="A345" s="24"/>
      <c r="B345" s="24"/>
      <c r="C345" s="24"/>
      <c r="D345" s="38"/>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row>
    <row r="346">
      <c r="A346" s="24"/>
      <c r="B346" s="24"/>
      <c r="C346" s="24"/>
      <c r="D346" s="38"/>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row>
    <row r="347">
      <c r="A347" s="24"/>
      <c r="B347" s="24"/>
      <c r="C347" s="24"/>
      <c r="D347" s="38"/>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row>
    <row r="348">
      <c r="A348" s="24"/>
      <c r="B348" s="24"/>
      <c r="C348" s="24"/>
      <c r="D348" s="38"/>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row>
    <row r="349">
      <c r="A349" s="24"/>
      <c r="B349" s="24"/>
      <c r="C349" s="24"/>
      <c r="D349" s="38"/>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row>
    <row r="350">
      <c r="A350" s="24"/>
      <c r="B350" s="24"/>
      <c r="C350" s="24"/>
      <c r="D350" s="38"/>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row>
    <row r="351">
      <c r="A351" s="24"/>
      <c r="B351" s="24"/>
      <c r="C351" s="24"/>
      <c r="D351" s="38"/>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row>
    <row r="352">
      <c r="A352" s="24"/>
      <c r="B352" s="24"/>
      <c r="C352" s="24"/>
      <c r="D352" s="38"/>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row>
    <row r="353">
      <c r="A353" s="24"/>
      <c r="B353" s="24"/>
      <c r="C353" s="24"/>
      <c r="D353" s="38"/>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row>
    <row r="354">
      <c r="A354" s="24"/>
      <c r="B354" s="24"/>
      <c r="C354" s="24"/>
      <c r="D354" s="38"/>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row>
    <row r="355">
      <c r="A355" s="24"/>
      <c r="B355" s="24"/>
      <c r="C355" s="24"/>
      <c r="D355" s="38"/>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row>
    <row r="356">
      <c r="A356" s="24"/>
      <c r="B356" s="24"/>
      <c r="C356" s="24"/>
      <c r="D356" s="38"/>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row>
    <row r="357">
      <c r="A357" s="24"/>
      <c r="B357" s="24"/>
      <c r="C357" s="24"/>
      <c r="D357" s="38"/>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row>
    <row r="358">
      <c r="A358" s="24"/>
      <c r="B358" s="24"/>
      <c r="C358" s="24"/>
      <c r="D358" s="38"/>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row>
    <row r="359">
      <c r="A359" s="24"/>
      <c r="B359" s="24"/>
      <c r="C359" s="24"/>
      <c r="D359" s="38"/>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row>
    <row r="360">
      <c r="A360" s="24"/>
      <c r="B360" s="24"/>
      <c r="C360" s="24"/>
      <c r="D360" s="38"/>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row>
    <row r="361">
      <c r="A361" s="24"/>
      <c r="B361" s="24"/>
      <c r="C361" s="24"/>
      <c r="D361" s="38"/>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row>
    <row r="362">
      <c r="A362" s="24"/>
      <c r="B362" s="24"/>
      <c r="C362" s="24"/>
      <c r="D362" s="38"/>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row>
    <row r="363">
      <c r="A363" s="24"/>
      <c r="B363" s="24"/>
      <c r="C363" s="24"/>
      <c r="D363" s="38"/>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row>
    <row r="364">
      <c r="A364" s="24"/>
      <c r="B364" s="24"/>
      <c r="C364" s="24"/>
      <c r="D364" s="38"/>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row>
    <row r="365">
      <c r="A365" s="24"/>
      <c r="B365" s="24"/>
      <c r="C365" s="24"/>
      <c r="D365" s="38"/>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row>
    <row r="366">
      <c r="A366" s="24"/>
      <c r="B366" s="24"/>
      <c r="C366" s="24"/>
      <c r="D366" s="38"/>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row>
    <row r="367">
      <c r="A367" s="24"/>
      <c r="B367" s="24"/>
      <c r="C367" s="24"/>
      <c r="D367" s="38"/>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row>
    <row r="368">
      <c r="A368" s="24"/>
      <c r="B368" s="24"/>
      <c r="C368" s="24"/>
      <c r="D368" s="38"/>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row>
    <row r="369">
      <c r="A369" s="24"/>
      <c r="B369" s="24"/>
      <c r="C369" s="24"/>
      <c r="D369" s="38"/>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row>
    <row r="370">
      <c r="A370" s="24"/>
      <c r="B370" s="24"/>
      <c r="C370" s="24"/>
      <c r="D370" s="38"/>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row>
    <row r="371">
      <c r="A371" s="24"/>
      <c r="B371" s="24"/>
      <c r="C371" s="24"/>
      <c r="D371" s="38"/>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row>
    <row r="372">
      <c r="A372" s="24"/>
      <c r="B372" s="24"/>
      <c r="C372" s="24"/>
      <c r="D372" s="38"/>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row>
    <row r="373">
      <c r="A373" s="24"/>
      <c r="B373" s="24"/>
      <c r="C373" s="24"/>
      <c r="D373" s="38"/>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row>
    <row r="374">
      <c r="A374" s="24"/>
      <c r="B374" s="24"/>
      <c r="C374" s="24"/>
      <c r="D374" s="38"/>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row>
    <row r="375">
      <c r="A375" s="24"/>
      <c r="B375" s="24"/>
      <c r="C375" s="24"/>
      <c r="D375" s="38"/>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row>
    <row r="376">
      <c r="A376" s="24"/>
      <c r="B376" s="24"/>
      <c r="C376" s="24"/>
      <c r="D376" s="38"/>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row>
    <row r="377">
      <c r="A377" s="24"/>
      <c r="B377" s="24"/>
      <c r="C377" s="24"/>
      <c r="D377" s="38"/>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row>
    <row r="378">
      <c r="A378" s="24"/>
      <c r="B378" s="24"/>
      <c r="C378" s="24"/>
      <c r="D378" s="38"/>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row>
    <row r="379">
      <c r="A379" s="24"/>
      <c r="B379" s="24"/>
      <c r="C379" s="24"/>
      <c r="D379" s="38"/>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row>
    <row r="380">
      <c r="A380" s="24"/>
      <c r="B380" s="24"/>
      <c r="C380" s="24"/>
      <c r="D380" s="38"/>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row>
    <row r="381">
      <c r="A381" s="24"/>
      <c r="B381" s="24"/>
      <c r="C381" s="24"/>
      <c r="D381" s="38"/>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row>
    <row r="382">
      <c r="A382" s="24"/>
      <c r="B382" s="24"/>
      <c r="C382" s="24"/>
      <c r="D382" s="38"/>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row>
    <row r="383">
      <c r="A383" s="24"/>
      <c r="B383" s="24"/>
      <c r="C383" s="24"/>
      <c r="D383" s="38"/>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row>
    <row r="384">
      <c r="A384" s="24"/>
      <c r="B384" s="24"/>
      <c r="C384" s="24"/>
      <c r="D384" s="38"/>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row>
    <row r="385">
      <c r="A385" s="24"/>
      <c r="B385" s="24"/>
      <c r="C385" s="24"/>
      <c r="D385" s="38"/>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row>
    <row r="386">
      <c r="A386" s="24"/>
      <c r="B386" s="24"/>
      <c r="C386" s="24"/>
      <c r="D386" s="38"/>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row>
    <row r="387">
      <c r="A387" s="24"/>
      <c r="B387" s="24"/>
      <c r="C387" s="24"/>
      <c r="D387" s="38"/>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row>
    <row r="388">
      <c r="A388" s="24"/>
      <c r="B388" s="24"/>
      <c r="C388" s="24"/>
      <c r="D388" s="38"/>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row>
    <row r="389">
      <c r="A389" s="24"/>
      <c r="B389" s="24"/>
      <c r="C389" s="24"/>
      <c r="D389" s="38"/>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row>
    <row r="390">
      <c r="A390" s="24"/>
      <c r="B390" s="24"/>
      <c r="C390" s="24"/>
      <c r="D390" s="38"/>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row>
    <row r="391">
      <c r="A391" s="24"/>
      <c r="B391" s="24"/>
      <c r="C391" s="24"/>
      <c r="D391" s="38"/>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row>
    <row r="392">
      <c r="A392" s="24"/>
      <c r="B392" s="24"/>
      <c r="C392" s="24"/>
      <c r="D392" s="38"/>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row>
    <row r="393">
      <c r="A393" s="24"/>
      <c r="B393" s="24"/>
      <c r="C393" s="24"/>
      <c r="D393" s="38"/>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row>
    <row r="394">
      <c r="A394" s="24"/>
      <c r="B394" s="24"/>
      <c r="C394" s="24"/>
      <c r="D394" s="38"/>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row>
    <row r="395">
      <c r="A395" s="24"/>
      <c r="B395" s="24"/>
      <c r="C395" s="24"/>
      <c r="D395" s="38"/>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row>
    <row r="396">
      <c r="A396" s="24"/>
      <c r="B396" s="24"/>
      <c r="C396" s="24"/>
      <c r="D396" s="38"/>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row>
    <row r="397">
      <c r="A397" s="24"/>
      <c r="B397" s="24"/>
      <c r="C397" s="24"/>
      <c r="D397" s="38"/>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row>
    <row r="398">
      <c r="A398" s="24"/>
      <c r="B398" s="24"/>
      <c r="C398" s="24"/>
      <c r="D398" s="38"/>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row>
    <row r="399">
      <c r="A399" s="24"/>
      <c r="B399" s="24"/>
      <c r="C399" s="24"/>
      <c r="D399" s="38"/>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row>
    <row r="400">
      <c r="A400" s="24"/>
      <c r="B400" s="24"/>
      <c r="C400" s="24"/>
      <c r="D400" s="38"/>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row>
    <row r="401">
      <c r="A401" s="24"/>
      <c r="B401" s="24"/>
      <c r="C401" s="24"/>
      <c r="D401" s="38"/>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row>
    <row r="402">
      <c r="A402" s="24"/>
      <c r="B402" s="24"/>
      <c r="C402" s="24"/>
      <c r="D402" s="38"/>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row>
    <row r="403">
      <c r="A403" s="24"/>
      <c r="B403" s="24"/>
      <c r="C403" s="24"/>
      <c r="D403" s="38"/>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row>
    <row r="404">
      <c r="A404" s="24"/>
      <c r="B404" s="24"/>
      <c r="C404" s="24"/>
      <c r="D404" s="38"/>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row>
    <row r="405">
      <c r="A405" s="24"/>
      <c r="B405" s="24"/>
      <c r="C405" s="24"/>
      <c r="D405" s="38"/>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row>
    <row r="406">
      <c r="A406" s="24"/>
      <c r="B406" s="24"/>
      <c r="C406" s="24"/>
      <c r="D406" s="38"/>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row>
    <row r="407">
      <c r="A407" s="24"/>
      <c r="B407" s="24"/>
      <c r="C407" s="24"/>
      <c r="D407" s="38"/>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row>
    <row r="408">
      <c r="A408" s="24"/>
      <c r="B408" s="24"/>
      <c r="C408" s="24"/>
      <c r="D408" s="38"/>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row>
    <row r="409">
      <c r="A409" s="24"/>
      <c r="B409" s="24"/>
      <c r="C409" s="24"/>
      <c r="D409" s="38"/>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row>
    <row r="410">
      <c r="A410" s="24"/>
      <c r="B410" s="24"/>
      <c r="C410" s="24"/>
      <c r="D410" s="38"/>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row>
    <row r="411">
      <c r="A411" s="24"/>
      <c r="B411" s="24"/>
      <c r="C411" s="24"/>
      <c r="D411" s="38"/>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row>
    <row r="412">
      <c r="A412" s="24"/>
      <c r="B412" s="24"/>
      <c r="C412" s="24"/>
      <c r="D412" s="38"/>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row>
    <row r="413">
      <c r="A413" s="24"/>
      <c r="B413" s="24"/>
      <c r="C413" s="24"/>
      <c r="D413" s="38"/>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row>
    <row r="414">
      <c r="A414" s="24"/>
      <c r="B414" s="24"/>
      <c r="C414" s="24"/>
      <c r="D414" s="38"/>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row>
    <row r="415">
      <c r="A415" s="24"/>
      <c r="B415" s="24"/>
      <c r="C415" s="24"/>
      <c r="D415" s="38"/>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row>
    <row r="416">
      <c r="A416" s="24"/>
      <c r="B416" s="24"/>
      <c r="C416" s="24"/>
      <c r="D416" s="38"/>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row>
    <row r="417">
      <c r="A417" s="24"/>
      <c r="B417" s="24"/>
      <c r="C417" s="24"/>
      <c r="D417" s="38"/>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row>
    <row r="418">
      <c r="A418" s="24"/>
      <c r="B418" s="24"/>
      <c r="C418" s="24"/>
      <c r="D418" s="38"/>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row>
    <row r="419">
      <c r="A419" s="24"/>
      <c r="B419" s="24"/>
      <c r="C419" s="24"/>
      <c r="D419" s="38"/>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row>
    <row r="420">
      <c r="A420" s="24"/>
      <c r="B420" s="24"/>
      <c r="C420" s="24"/>
      <c r="D420" s="38"/>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row>
    <row r="421">
      <c r="A421" s="24"/>
      <c r="B421" s="24"/>
      <c r="C421" s="24"/>
      <c r="D421" s="38"/>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row>
    <row r="422">
      <c r="A422" s="24"/>
      <c r="B422" s="24"/>
      <c r="C422" s="24"/>
      <c r="D422" s="38"/>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row>
    <row r="423">
      <c r="A423" s="24"/>
      <c r="B423" s="24"/>
      <c r="C423" s="24"/>
      <c r="D423" s="38"/>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row>
    <row r="424">
      <c r="A424" s="24"/>
      <c r="B424" s="24"/>
      <c r="C424" s="24"/>
      <c r="D424" s="38"/>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row>
    <row r="425">
      <c r="A425" s="24"/>
      <c r="B425" s="24"/>
      <c r="C425" s="24"/>
      <c r="D425" s="38"/>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row>
    <row r="426">
      <c r="A426" s="24"/>
      <c r="B426" s="24"/>
      <c r="C426" s="24"/>
      <c r="D426" s="38"/>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row>
    <row r="427">
      <c r="A427" s="24"/>
      <c r="B427" s="24"/>
      <c r="C427" s="24"/>
      <c r="D427" s="38"/>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row>
    <row r="428">
      <c r="A428" s="24"/>
      <c r="B428" s="24"/>
      <c r="C428" s="24"/>
      <c r="D428" s="38"/>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row>
    <row r="429">
      <c r="A429" s="24"/>
      <c r="B429" s="24"/>
      <c r="C429" s="24"/>
      <c r="D429" s="38"/>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row>
    <row r="430">
      <c r="A430" s="24"/>
      <c r="B430" s="24"/>
      <c r="C430" s="24"/>
      <c r="D430" s="38"/>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row>
    <row r="431">
      <c r="A431" s="24"/>
      <c r="B431" s="24"/>
      <c r="C431" s="24"/>
      <c r="D431" s="38"/>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row>
    <row r="432">
      <c r="A432" s="24"/>
      <c r="B432" s="24"/>
      <c r="C432" s="24"/>
      <c r="D432" s="38"/>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row>
    <row r="433">
      <c r="A433" s="24"/>
      <c r="B433" s="24"/>
      <c r="C433" s="24"/>
      <c r="D433" s="38"/>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row>
    <row r="434">
      <c r="A434" s="24"/>
      <c r="B434" s="24"/>
      <c r="C434" s="24"/>
      <c r="D434" s="38"/>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row>
    <row r="435">
      <c r="A435" s="24"/>
      <c r="B435" s="24"/>
      <c r="C435" s="24"/>
      <c r="D435" s="38"/>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row>
    <row r="436">
      <c r="A436" s="24"/>
      <c r="B436" s="24"/>
      <c r="C436" s="24"/>
      <c r="D436" s="38"/>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row>
    <row r="437">
      <c r="A437" s="24"/>
      <c r="B437" s="24"/>
      <c r="C437" s="24"/>
      <c r="D437" s="38"/>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row>
    <row r="438">
      <c r="A438" s="24"/>
      <c r="B438" s="24"/>
      <c r="C438" s="24"/>
      <c r="D438" s="38"/>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row>
    <row r="439">
      <c r="A439" s="24"/>
      <c r="B439" s="24"/>
      <c r="C439" s="24"/>
      <c r="D439" s="38"/>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row>
    <row r="440">
      <c r="A440" s="24"/>
      <c r="B440" s="24"/>
      <c r="C440" s="24"/>
      <c r="D440" s="38"/>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row>
    <row r="441">
      <c r="A441" s="24"/>
      <c r="B441" s="24"/>
      <c r="C441" s="24"/>
      <c r="D441" s="38"/>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row>
    <row r="442">
      <c r="A442" s="24"/>
      <c r="B442" s="24"/>
      <c r="C442" s="24"/>
      <c r="D442" s="38"/>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row>
    <row r="443">
      <c r="A443" s="24"/>
      <c r="B443" s="24"/>
      <c r="C443" s="24"/>
      <c r="D443" s="38"/>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row>
    <row r="444">
      <c r="A444" s="24"/>
      <c r="B444" s="24"/>
      <c r="C444" s="24"/>
      <c r="D444" s="38"/>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row>
    <row r="445">
      <c r="A445" s="24"/>
      <c r="B445" s="24"/>
      <c r="C445" s="24"/>
      <c r="D445" s="38"/>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row>
    <row r="446">
      <c r="A446" s="24"/>
      <c r="B446" s="24"/>
      <c r="C446" s="24"/>
      <c r="D446" s="38"/>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row>
    <row r="447">
      <c r="A447" s="24"/>
      <c r="B447" s="24"/>
      <c r="C447" s="24"/>
      <c r="D447" s="38"/>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row>
    <row r="448">
      <c r="A448" s="24"/>
      <c r="B448" s="24"/>
      <c r="C448" s="24"/>
      <c r="D448" s="38"/>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row>
    <row r="449">
      <c r="A449" s="24"/>
      <c r="B449" s="24"/>
      <c r="C449" s="24"/>
      <c r="D449" s="38"/>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row>
    <row r="450">
      <c r="A450" s="24"/>
      <c r="B450" s="24"/>
      <c r="C450" s="24"/>
      <c r="D450" s="38"/>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row>
    <row r="451">
      <c r="A451" s="24"/>
      <c r="B451" s="24"/>
      <c r="C451" s="24"/>
      <c r="D451" s="38"/>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row>
    <row r="452">
      <c r="A452" s="24"/>
      <c r="B452" s="24"/>
      <c r="C452" s="24"/>
      <c r="D452" s="38"/>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row>
    <row r="453">
      <c r="A453" s="24"/>
      <c r="B453" s="24"/>
      <c r="C453" s="24"/>
      <c r="D453" s="38"/>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row>
    <row r="454">
      <c r="A454" s="24"/>
      <c r="B454" s="24"/>
      <c r="C454" s="24"/>
      <c r="D454" s="38"/>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row>
    <row r="455">
      <c r="A455" s="24"/>
      <c r="B455" s="24"/>
      <c r="C455" s="24"/>
      <c r="D455" s="38"/>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row>
    <row r="456">
      <c r="A456" s="24"/>
      <c r="B456" s="24"/>
      <c r="C456" s="24"/>
      <c r="D456" s="38"/>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row>
    <row r="457">
      <c r="A457" s="24"/>
      <c r="B457" s="24"/>
      <c r="C457" s="24"/>
      <c r="D457" s="38"/>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row>
    <row r="458">
      <c r="A458" s="24"/>
      <c r="B458" s="24"/>
      <c r="C458" s="24"/>
      <c r="D458" s="38"/>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row>
    <row r="459">
      <c r="A459" s="24"/>
      <c r="B459" s="24"/>
      <c r="C459" s="24"/>
      <c r="D459" s="38"/>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row>
    <row r="460">
      <c r="A460" s="24"/>
      <c r="B460" s="24"/>
      <c r="C460" s="24"/>
      <c r="D460" s="38"/>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row>
    <row r="461">
      <c r="A461" s="24"/>
      <c r="B461" s="24"/>
      <c r="C461" s="24"/>
      <c r="D461" s="38"/>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row>
    <row r="462">
      <c r="A462" s="24"/>
      <c r="B462" s="24"/>
      <c r="C462" s="24"/>
      <c r="D462" s="38"/>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row>
    <row r="463">
      <c r="A463" s="24"/>
      <c r="B463" s="24"/>
      <c r="C463" s="24"/>
      <c r="D463" s="38"/>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row>
    <row r="464">
      <c r="A464" s="24"/>
      <c r="B464" s="24"/>
      <c r="C464" s="24"/>
      <c r="D464" s="38"/>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row>
    <row r="465">
      <c r="A465" s="24"/>
      <c r="B465" s="24"/>
      <c r="C465" s="24"/>
      <c r="D465" s="38"/>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row>
    <row r="466">
      <c r="A466" s="24"/>
      <c r="B466" s="24"/>
      <c r="C466" s="24"/>
      <c r="D466" s="38"/>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row>
    <row r="467">
      <c r="A467" s="24"/>
      <c r="B467" s="24"/>
      <c r="C467" s="24"/>
      <c r="D467" s="38"/>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row>
    <row r="468">
      <c r="A468" s="24"/>
      <c r="B468" s="24"/>
      <c r="C468" s="24"/>
      <c r="D468" s="38"/>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row>
    <row r="469">
      <c r="A469" s="24"/>
      <c r="B469" s="24"/>
      <c r="C469" s="24"/>
      <c r="D469" s="38"/>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row>
    <row r="470">
      <c r="A470" s="24"/>
      <c r="B470" s="24"/>
      <c r="C470" s="24"/>
      <c r="D470" s="38"/>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row>
    <row r="471">
      <c r="A471" s="24"/>
      <c r="B471" s="24"/>
      <c r="C471" s="24"/>
      <c r="D471" s="38"/>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row>
    <row r="472">
      <c r="A472" s="24"/>
      <c r="B472" s="24"/>
      <c r="C472" s="24"/>
      <c r="D472" s="38"/>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row>
    <row r="473">
      <c r="A473" s="24"/>
      <c r="B473" s="24"/>
      <c r="C473" s="24"/>
      <c r="D473" s="38"/>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row>
    <row r="474">
      <c r="A474" s="24"/>
      <c r="B474" s="24"/>
      <c r="C474" s="24"/>
      <c r="D474" s="38"/>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row>
    <row r="475">
      <c r="A475" s="24"/>
      <c r="B475" s="24"/>
      <c r="C475" s="24"/>
      <c r="D475" s="38"/>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row>
    <row r="476">
      <c r="A476" s="24"/>
      <c r="B476" s="24"/>
      <c r="C476" s="24"/>
      <c r="D476" s="38"/>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row>
    <row r="477">
      <c r="A477" s="24"/>
      <c r="B477" s="24"/>
      <c r="C477" s="24"/>
      <c r="D477" s="38"/>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row>
    <row r="478">
      <c r="A478" s="24"/>
      <c r="B478" s="24"/>
      <c r="C478" s="24"/>
      <c r="D478" s="38"/>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row>
    <row r="479">
      <c r="A479" s="24"/>
      <c r="B479" s="24"/>
      <c r="C479" s="24"/>
      <c r="D479" s="38"/>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row>
    <row r="480">
      <c r="A480" s="24"/>
      <c r="B480" s="24"/>
      <c r="C480" s="24"/>
      <c r="D480" s="38"/>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row>
    <row r="481">
      <c r="A481" s="24"/>
      <c r="B481" s="24"/>
      <c r="C481" s="24"/>
      <c r="D481" s="38"/>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row>
    <row r="482">
      <c r="A482" s="24"/>
      <c r="B482" s="24"/>
      <c r="C482" s="24"/>
      <c r="D482" s="38"/>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row>
    <row r="483">
      <c r="A483" s="24"/>
      <c r="B483" s="24"/>
      <c r="C483" s="24"/>
      <c r="D483" s="38"/>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row>
    <row r="484">
      <c r="A484" s="24"/>
      <c r="B484" s="24"/>
      <c r="C484" s="24"/>
      <c r="D484" s="38"/>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row>
    <row r="485">
      <c r="A485" s="24"/>
      <c r="B485" s="24"/>
      <c r="C485" s="24"/>
      <c r="D485" s="38"/>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row>
    <row r="486">
      <c r="A486" s="24"/>
      <c r="B486" s="24"/>
      <c r="C486" s="24"/>
      <c r="D486" s="38"/>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row>
    <row r="487">
      <c r="A487" s="24"/>
      <c r="B487" s="24"/>
      <c r="C487" s="24"/>
      <c r="D487" s="38"/>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row>
    <row r="488">
      <c r="A488" s="24"/>
      <c r="B488" s="24"/>
      <c r="C488" s="24"/>
      <c r="D488" s="38"/>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row>
    <row r="489">
      <c r="A489" s="24"/>
      <c r="B489" s="24"/>
      <c r="C489" s="24"/>
      <c r="D489" s="38"/>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row>
    <row r="490">
      <c r="A490" s="24"/>
      <c r="B490" s="24"/>
      <c r="C490" s="24"/>
      <c r="D490" s="38"/>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row>
    <row r="491">
      <c r="A491" s="24"/>
      <c r="B491" s="24"/>
      <c r="C491" s="24"/>
      <c r="D491" s="38"/>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row>
    <row r="492">
      <c r="A492" s="24"/>
      <c r="B492" s="24"/>
      <c r="C492" s="24"/>
      <c r="D492" s="38"/>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row>
    <row r="493">
      <c r="A493" s="24"/>
      <c r="B493" s="24"/>
      <c r="C493" s="24"/>
      <c r="D493" s="38"/>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row>
    <row r="494">
      <c r="A494" s="24"/>
      <c r="B494" s="24"/>
      <c r="C494" s="24"/>
      <c r="D494" s="38"/>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row>
    <row r="495">
      <c r="A495" s="24"/>
      <c r="B495" s="24"/>
      <c r="C495" s="24"/>
      <c r="D495" s="38"/>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row>
    <row r="496">
      <c r="A496" s="24"/>
      <c r="B496" s="24"/>
      <c r="C496" s="24"/>
      <c r="D496" s="38"/>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row>
    <row r="497">
      <c r="A497" s="24"/>
      <c r="B497" s="24"/>
      <c r="C497" s="24"/>
      <c r="D497" s="38"/>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row>
    <row r="498">
      <c r="A498" s="24"/>
      <c r="B498" s="24"/>
      <c r="C498" s="24"/>
      <c r="D498" s="38"/>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row>
    <row r="499">
      <c r="A499" s="24"/>
      <c r="B499" s="24"/>
      <c r="C499" s="24"/>
      <c r="D499" s="38"/>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row>
    <row r="500">
      <c r="A500" s="24"/>
      <c r="B500" s="24"/>
      <c r="C500" s="24"/>
      <c r="D500" s="38"/>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row>
    <row r="501">
      <c r="A501" s="24"/>
      <c r="B501" s="24"/>
      <c r="C501" s="24"/>
      <c r="D501" s="38"/>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row>
    <row r="502">
      <c r="A502" s="24"/>
      <c r="B502" s="24"/>
      <c r="C502" s="24"/>
      <c r="D502" s="38"/>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row>
    <row r="503">
      <c r="A503" s="24"/>
      <c r="B503" s="24"/>
      <c r="C503" s="24"/>
      <c r="D503" s="38"/>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row>
    <row r="504">
      <c r="A504" s="24"/>
      <c r="B504" s="24"/>
      <c r="C504" s="24"/>
      <c r="D504" s="38"/>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row>
    <row r="505">
      <c r="A505" s="24"/>
      <c r="B505" s="24"/>
      <c r="C505" s="24"/>
      <c r="D505" s="38"/>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row>
    <row r="506">
      <c r="A506" s="24"/>
      <c r="B506" s="24"/>
      <c r="C506" s="24"/>
      <c r="D506" s="38"/>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row>
    <row r="507">
      <c r="A507" s="24"/>
      <c r="B507" s="24"/>
      <c r="C507" s="24"/>
      <c r="D507" s="38"/>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row>
    <row r="508">
      <c r="A508" s="24"/>
      <c r="B508" s="24"/>
      <c r="C508" s="24"/>
      <c r="D508" s="38"/>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row>
    <row r="509">
      <c r="A509" s="24"/>
      <c r="B509" s="24"/>
      <c r="C509" s="24"/>
      <c r="D509" s="38"/>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row>
    <row r="510">
      <c r="A510" s="24"/>
      <c r="B510" s="24"/>
      <c r="C510" s="24"/>
      <c r="D510" s="38"/>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row>
    <row r="511">
      <c r="A511" s="24"/>
      <c r="B511" s="24"/>
      <c r="C511" s="24"/>
      <c r="D511" s="38"/>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row>
    <row r="512">
      <c r="A512" s="24"/>
      <c r="B512" s="24"/>
      <c r="C512" s="24"/>
      <c r="D512" s="38"/>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row>
    <row r="513">
      <c r="A513" s="24"/>
      <c r="B513" s="24"/>
      <c r="C513" s="24"/>
      <c r="D513" s="38"/>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row>
    <row r="514">
      <c r="A514" s="24"/>
      <c r="B514" s="24"/>
      <c r="C514" s="24"/>
      <c r="D514" s="38"/>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row>
    <row r="515">
      <c r="A515" s="24"/>
      <c r="B515" s="24"/>
      <c r="C515" s="24"/>
      <c r="D515" s="38"/>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row>
    <row r="516">
      <c r="A516" s="24"/>
      <c r="B516" s="24"/>
      <c r="C516" s="24"/>
      <c r="D516" s="38"/>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row>
    <row r="517">
      <c r="A517" s="24"/>
      <c r="B517" s="24"/>
      <c r="C517" s="24"/>
      <c r="D517" s="38"/>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row>
    <row r="518">
      <c r="A518" s="24"/>
      <c r="B518" s="24"/>
      <c r="C518" s="24"/>
      <c r="D518" s="38"/>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row>
    <row r="519">
      <c r="A519" s="24"/>
      <c r="B519" s="24"/>
      <c r="C519" s="24"/>
      <c r="D519" s="38"/>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row>
    <row r="520">
      <c r="A520" s="24"/>
      <c r="B520" s="24"/>
      <c r="C520" s="24"/>
      <c r="D520" s="38"/>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row>
    <row r="521">
      <c r="A521" s="24"/>
      <c r="B521" s="24"/>
      <c r="C521" s="24"/>
      <c r="D521" s="38"/>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row>
    <row r="522">
      <c r="A522" s="24"/>
      <c r="B522" s="24"/>
      <c r="C522" s="24"/>
      <c r="D522" s="38"/>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row>
    <row r="523">
      <c r="A523" s="24"/>
      <c r="B523" s="24"/>
      <c r="C523" s="24"/>
      <c r="D523" s="38"/>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row>
    <row r="524">
      <c r="A524" s="24"/>
      <c r="B524" s="24"/>
      <c r="C524" s="24"/>
      <c r="D524" s="38"/>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row>
    <row r="525">
      <c r="A525" s="24"/>
      <c r="B525" s="24"/>
      <c r="C525" s="24"/>
      <c r="D525" s="38"/>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row>
    <row r="526">
      <c r="A526" s="24"/>
      <c r="B526" s="24"/>
      <c r="C526" s="24"/>
      <c r="D526" s="38"/>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row>
    <row r="527">
      <c r="A527" s="24"/>
      <c r="B527" s="24"/>
      <c r="C527" s="24"/>
      <c r="D527" s="38"/>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row>
    <row r="528">
      <c r="A528" s="24"/>
      <c r="B528" s="24"/>
      <c r="C528" s="24"/>
      <c r="D528" s="38"/>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row>
    <row r="529">
      <c r="A529" s="24"/>
      <c r="B529" s="24"/>
      <c r="C529" s="24"/>
      <c r="D529" s="38"/>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row>
    <row r="530">
      <c r="A530" s="24"/>
      <c r="B530" s="24"/>
      <c r="C530" s="24"/>
      <c r="D530" s="38"/>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row>
    <row r="531">
      <c r="A531" s="24"/>
      <c r="B531" s="24"/>
      <c r="C531" s="24"/>
      <c r="D531" s="38"/>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row>
    <row r="532">
      <c r="A532" s="24"/>
      <c r="B532" s="24"/>
      <c r="C532" s="24"/>
      <c r="D532" s="38"/>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row>
    <row r="533">
      <c r="A533" s="24"/>
      <c r="B533" s="24"/>
      <c r="C533" s="24"/>
      <c r="D533" s="38"/>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row>
    <row r="534">
      <c r="A534" s="24"/>
      <c r="B534" s="24"/>
      <c r="C534" s="24"/>
      <c r="D534" s="38"/>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row>
    <row r="535">
      <c r="A535" s="24"/>
      <c r="B535" s="24"/>
      <c r="C535" s="24"/>
      <c r="D535" s="38"/>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row>
    <row r="536">
      <c r="A536" s="24"/>
      <c r="B536" s="24"/>
      <c r="C536" s="24"/>
      <c r="D536" s="38"/>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row>
    <row r="537">
      <c r="A537" s="24"/>
      <c r="B537" s="24"/>
      <c r="C537" s="24"/>
      <c r="D537" s="38"/>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row>
    <row r="538">
      <c r="A538" s="24"/>
      <c r="B538" s="24"/>
      <c r="C538" s="24"/>
      <c r="D538" s="38"/>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row>
    <row r="539">
      <c r="A539" s="24"/>
      <c r="B539" s="24"/>
      <c r="C539" s="24"/>
      <c r="D539" s="38"/>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row>
    <row r="540">
      <c r="A540" s="24"/>
      <c r="B540" s="24"/>
      <c r="C540" s="24"/>
      <c r="D540" s="38"/>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row>
    <row r="541">
      <c r="A541" s="24"/>
      <c r="B541" s="24"/>
      <c r="C541" s="24"/>
      <c r="D541" s="38"/>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row>
    <row r="542">
      <c r="A542" s="24"/>
      <c r="B542" s="24"/>
      <c r="C542" s="24"/>
      <c r="D542" s="38"/>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row>
    <row r="543">
      <c r="A543" s="24"/>
      <c r="B543" s="24"/>
      <c r="C543" s="24"/>
      <c r="D543" s="38"/>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row>
    <row r="544">
      <c r="A544" s="24"/>
      <c r="B544" s="24"/>
      <c r="C544" s="24"/>
      <c r="D544" s="38"/>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row>
    <row r="545">
      <c r="A545" s="24"/>
      <c r="B545" s="24"/>
      <c r="C545" s="24"/>
      <c r="D545" s="38"/>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row>
    <row r="546">
      <c r="A546" s="24"/>
      <c r="B546" s="24"/>
      <c r="C546" s="24"/>
      <c r="D546" s="38"/>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row>
    <row r="547">
      <c r="A547" s="24"/>
      <c r="B547" s="24"/>
      <c r="C547" s="24"/>
      <c r="D547" s="38"/>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row>
    <row r="548">
      <c r="A548" s="24"/>
      <c r="B548" s="24"/>
      <c r="C548" s="24"/>
      <c r="D548" s="38"/>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row>
    <row r="549">
      <c r="A549" s="24"/>
      <c r="B549" s="24"/>
      <c r="C549" s="24"/>
      <c r="D549" s="38"/>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row>
    <row r="550">
      <c r="A550" s="24"/>
      <c r="B550" s="24"/>
      <c r="C550" s="24"/>
      <c r="D550" s="38"/>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row>
    <row r="551">
      <c r="A551" s="24"/>
      <c r="B551" s="24"/>
      <c r="C551" s="24"/>
      <c r="D551" s="38"/>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row>
    <row r="552">
      <c r="A552" s="24"/>
      <c r="B552" s="24"/>
      <c r="C552" s="24"/>
      <c r="D552" s="38"/>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row>
    <row r="553">
      <c r="A553" s="24"/>
      <c r="B553" s="24"/>
      <c r="C553" s="24"/>
      <c r="D553" s="38"/>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row>
    <row r="554">
      <c r="A554" s="24"/>
      <c r="B554" s="24"/>
      <c r="C554" s="24"/>
      <c r="D554" s="38"/>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row>
    <row r="555">
      <c r="A555" s="24"/>
      <c r="B555" s="24"/>
      <c r="C555" s="24"/>
      <c r="D555" s="38"/>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row>
    <row r="556">
      <c r="A556" s="24"/>
      <c r="B556" s="24"/>
      <c r="C556" s="24"/>
      <c r="D556" s="38"/>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row>
    <row r="557">
      <c r="A557" s="24"/>
      <c r="B557" s="24"/>
      <c r="C557" s="24"/>
      <c r="D557" s="38"/>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row>
    <row r="558">
      <c r="A558" s="24"/>
      <c r="B558" s="24"/>
      <c r="C558" s="24"/>
      <c r="D558" s="38"/>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row>
    <row r="559">
      <c r="A559" s="24"/>
      <c r="B559" s="24"/>
      <c r="C559" s="24"/>
      <c r="D559" s="38"/>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row>
    <row r="560">
      <c r="A560" s="24"/>
      <c r="B560" s="24"/>
      <c r="C560" s="24"/>
      <c r="D560" s="38"/>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row>
    <row r="561">
      <c r="A561" s="24"/>
      <c r="B561" s="24"/>
      <c r="C561" s="24"/>
      <c r="D561" s="38"/>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row>
    <row r="562">
      <c r="A562" s="24"/>
      <c r="B562" s="24"/>
      <c r="C562" s="24"/>
      <c r="D562" s="38"/>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row>
    <row r="563">
      <c r="A563" s="24"/>
      <c r="B563" s="24"/>
      <c r="C563" s="24"/>
      <c r="D563" s="38"/>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row>
    <row r="564">
      <c r="A564" s="24"/>
      <c r="B564" s="24"/>
      <c r="C564" s="24"/>
      <c r="D564" s="38"/>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row>
    <row r="565">
      <c r="A565" s="24"/>
      <c r="B565" s="24"/>
      <c r="C565" s="24"/>
      <c r="D565" s="38"/>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row>
    <row r="566">
      <c r="A566" s="24"/>
      <c r="B566" s="24"/>
      <c r="C566" s="24"/>
      <c r="D566" s="38"/>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row>
    <row r="567">
      <c r="A567" s="24"/>
      <c r="B567" s="24"/>
      <c r="C567" s="24"/>
      <c r="D567" s="38"/>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row>
    <row r="568">
      <c r="A568" s="24"/>
      <c r="B568" s="24"/>
      <c r="C568" s="24"/>
      <c r="D568" s="38"/>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row>
    <row r="569">
      <c r="A569" s="24"/>
      <c r="B569" s="24"/>
      <c r="C569" s="24"/>
      <c r="D569" s="38"/>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row>
    <row r="570">
      <c r="A570" s="24"/>
      <c r="B570" s="24"/>
      <c r="C570" s="24"/>
      <c r="D570" s="38"/>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row>
    <row r="571">
      <c r="A571" s="24"/>
      <c r="B571" s="24"/>
      <c r="C571" s="24"/>
      <c r="D571" s="38"/>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row>
    <row r="572">
      <c r="A572" s="24"/>
      <c r="B572" s="24"/>
      <c r="C572" s="24"/>
      <c r="D572" s="38"/>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row>
    <row r="573">
      <c r="A573" s="24"/>
      <c r="B573" s="24"/>
      <c r="C573" s="24"/>
      <c r="D573" s="38"/>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row>
    <row r="574">
      <c r="A574" s="24"/>
      <c r="B574" s="24"/>
      <c r="C574" s="24"/>
      <c r="D574" s="38"/>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row>
    <row r="575">
      <c r="A575" s="24"/>
      <c r="B575" s="24"/>
      <c r="C575" s="24"/>
      <c r="D575" s="38"/>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row>
    <row r="576">
      <c r="A576" s="24"/>
      <c r="B576" s="24"/>
      <c r="C576" s="24"/>
      <c r="D576" s="38"/>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row>
    <row r="577">
      <c r="A577" s="24"/>
      <c r="B577" s="24"/>
      <c r="C577" s="24"/>
      <c r="D577" s="38"/>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row>
    <row r="578">
      <c r="A578" s="24"/>
      <c r="B578" s="24"/>
      <c r="C578" s="24"/>
      <c r="D578" s="38"/>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row>
    <row r="579">
      <c r="A579" s="24"/>
      <c r="B579" s="24"/>
      <c r="C579" s="24"/>
      <c r="D579" s="38"/>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row>
    <row r="580">
      <c r="A580" s="24"/>
      <c r="B580" s="24"/>
      <c r="C580" s="24"/>
      <c r="D580" s="38"/>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row>
    <row r="581">
      <c r="A581" s="24"/>
      <c r="B581" s="24"/>
      <c r="C581" s="24"/>
      <c r="D581" s="38"/>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row>
    <row r="582">
      <c r="A582" s="24"/>
      <c r="B582" s="24"/>
      <c r="C582" s="24"/>
      <c r="D582" s="38"/>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row>
    <row r="583">
      <c r="A583" s="24"/>
      <c r="B583" s="24"/>
      <c r="C583" s="24"/>
      <c r="D583" s="38"/>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row>
    <row r="584">
      <c r="A584" s="24"/>
      <c r="B584" s="24"/>
      <c r="C584" s="24"/>
      <c r="D584" s="38"/>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row>
    <row r="585">
      <c r="A585" s="24"/>
      <c r="B585" s="24"/>
      <c r="C585" s="24"/>
      <c r="D585" s="38"/>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row>
    <row r="586">
      <c r="A586" s="24"/>
      <c r="B586" s="24"/>
      <c r="C586" s="24"/>
      <c r="D586" s="38"/>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row>
    <row r="587">
      <c r="A587" s="24"/>
      <c r="B587" s="24"/>
      <c r="C587" s="24"/>
      <c r="D587" s="38"/>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row>
    <row r="588">
      <c r="A588" s="24"/>
      <c r="B588" s="24"/>
      <c r="C588" s="24"/>
      <c r="D588" s="38"/>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row>
    <row r="589">
      <c r="A589" s="24"/>
      <c r="B589" s="24"/>
      <c r="C589" s="24"/>
      <c r="D589" s="38"/>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row>
    <row r="590">
      <c r="A590" s="24"/>
      <c r="B590" s="24"/>
      <c r="C590" s="24"/>
      <c r="D590" s="38"/>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row>
    <row r="591">
      <c r="A591" s="24"/>
      <c r="B591" s="24"/>
      <c r="C591" s="24"/>
      <c r="D591" s="38"/>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row>
    <row r="592">
      <c r="A592" s="24"/>
      <c r="B592" s="24"/>
      <c r="C592" s="24"/>
      <c r="D592" s="38"/>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row>
    <row r="593">
      <c r="A593" s="24"/>
      <c r="B593" s="24"/>
      <c r="C593" s="24"/>
      <c r="D593" s="38"/>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row>
    <row r="594">
      <c r="A594" s="24"/>
      <c r="B594" s="24"/>
      <c r="C594" s="24"/>
      <c r="D594" s="38"/>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row>
    <row r="595">
      <c r="A595" s="24"/>
      <c r="B595" s="24"/>
      <c r="C595" s="24"/>
      <c r="D595" s="38"/>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row>
    <row r="596">
      <c r="A596" s="24"/>
      <c r="B596" s="24"/>
      <c r="C596" s="24"/>
      <c r="D596" s="38"/>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row>
    <row r="597">
      <c r="A597" s="24"/>
      <c r="B597" s="24"/>
      <c r="C597" s="24"/>
      <c r="D597" s="38"/>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row>
    <row r="598">
      <c r="A598" s="24"/>
      <c r="B598" s="24"/>
      <c r="C598" s="24"/>
      <c r="D598" s="38"/>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row>
    <row r="599">
      <c r="A599" s="24"/>
      <c r="B599" s="24"/>
      <c r="C599" s="24"/>
      <c r="D599" s="38"/>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row>
    <row r="600">
      <c r="A600" s="24"/>
      <c r="B600" s="24"/>
      <c r="C600" s="24"/>
      <c r="D600" s="38"/>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row>
    <row r="601">
      <c r="A601" s="24"/>
      <c r="B601" s="24"/>
      <c r="C601" s="24"/>
      <c r="D601" s="38"/>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row>
    <row r="602">
      <c r="A602" s="24"/>
      <c r="B602" s="24"/>
      <c r="C602" s="24"/>
      <c r="D602" s="38"/>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row>
    <row r="603">
      <c r="A603" s="24"/>
      <c r="B603" s="24"/>
      <c r="C603" s="24"/>
      <c r="D603" s="38"/>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row>
    <row r="604">
      <c r="A604" s="24"/>
      <c r="B604" s="24"/>
      <c r="C604" s="24"/>
      <c r="D604" s="38"/>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row>
    <row r="605">
      <c r="A605" s="24"/>
      <c r="B605" s="24"/>
      <c r="C605" s="24"/>
      <c r="D605" s="38"/>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row>
    <row r="606">
      <c r="A606" s="24"/>
      <c r="B606" s="24"/>
      <c r="C606" s="24"/>
      <c r="D606" s="38"/>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row>
    <row r="607">
      <c r="A607" s="24"/>
      <c r="B607" s="24"/>
      <c r="C607" s="24"/>
      <c r="D607" s="38"/>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row>
    <row r="608">
      <c r="A608" s="24"/>
      <c r="B608" s="24"/>
      <c r="C608" s="24"/>
      <c r="D608" s="38"/>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row>
    <row r="609">
      <c r="A609" s="24"/>
      <c r="B609" s="24"/>
      <c r="C609" s="24"/>
      <c r="D609" s="38"/>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row>
    <row r="610">
      <c r="A610" s="24"/>
      <c r="B610" s="24"/>
      <c r="C610" s="24"/>
      <c r="D610" s="38"/>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row>
    <row r="611">
      <c r="A611" s="24"/>
      <c r="B611" s="24"/>
      <c r="C611" s="24"/>
      <c r="D611" s="38"/>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row>
    <row r="612">
      <c r="A612" s="24"/>
      <c r="B612" s="24"/>
      <c r="C612" s="24"/>
      <c r="D612" s="38"/>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row>
    <row r="613">
      <c r="A613" s="24"/>
      <c r="B613" s="24"/>
      <c r="C613" s="24"/>
      <c r="D613" s="38"/>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row>
    <row r="614">
      <c r="A614" s="24"/>
      <c r="B614" s="24"/>
      <c r="C614" s="24"/>
      <c r="D614" s="38"/>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row>
    <row r="615">
      <c r="A615" s="24"/>
      <c r="B615" s="24"/>
      <c r="C615" s="24"/>
      <c r="D615" s="38"/>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row>
    <row r="616">
      <c r="A616" s="24"/>
      <c r="B616" s="24"/>
      <c r="C616" s="24"/>
      <c r="D616" s="38"/>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row>
    <row r="617">
      <c r="A617" s="24"/>
      <c r="B617" s="24"/>
      <c r="C617" s="24"/>
      <c r="D617" s="38"/>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row>
    <row r="618">
      <c r="A618" s="24"/>
      <c r="B618" s="24"/>
      <c r="C618" s="24"/>
      <c r="D618" s="38"/>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row>
    <row r="619">
      <c r="A619" s="24"/>
      <c r="B619" s="24"/>
      <c r="C619" s="24"/>
      <c r="D619" s="38"/>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row>
    <row r="620">
      <c r="A620" s="24"/>
      <c r="B620" s="24"/>
      <c r="C620" s="24"/>
      <c r="D620" s="38"/>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row>
    <row r="621">
      <c r="A621" s="24"/>
      <c r="B621" s="24"/>
      <c r="C621" s="24"/>
      <c r="D621" s="38"/>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row>
    <row r="622">
      <c r="A622" s="24"/>
      <c r="B622" s="24"/>
      <c r="C622" s="24"/>
      <c r="D622" s="38"/>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row>
    <row r="623">
      <c r="A623" s="24"/>
      <c r="B623" s="24"/>
      <c r="C623" s="24"/>
      <c r="D623" s="38"/>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row>
    <row r="624">
      <c r="A624" s="24"/>
      <c r="B624" s="24"/>
      <c r="C624" s="24"/>
      <c r="D624" s="38"/>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row>
    <row r="625">
      <c r="A625" s="24"/>
      <c r="B625" s="24"/>
      <c r="C625" s="24"/>
      <c r="D625" s="38"/>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row>
    <row r="626">
      <c r="A626" s="24"/>
      <c r="B626" s="24"/>
      <c r="C626" s="24"/>
      <c r="D626" s="38"/>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row>
    <row r="627">
      <c r="A627" s="24"/>
      <c r="B627" s="24"/>
      <c r="C627" s="24"/>
      <c r="D627" s="38"/>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row>
    <row r="628">
      <c r="A628" s="24"/>
      <c r="B628" s="24"/>
      <c r="C628" s="24"/>
      <c r="D628" s="38"/>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row>
    <row r="629">
      <c r="A629" s="24"/>
      <c r="B629" s="24"/>
      <c r="C629" s="24"/>
      <c r="D629" s="38"/>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row>
    <row r="630">
      <c r="A630" s="24"/>
      <c r="B630" s="24"/>
      <c r="C630" s="24"/>
      <c r="D630" s="38"/>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row>
    <row r="631">
      <c r="A631" s="24"/>
      <c r="B631" s="24"/>
      <c r="C631" s="24"/>
      <c r="D631" s="38"/>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row>
    <row r="632">
      <c r="A632" s="24"/>
      <c r="B632" s="24"/>
      <c r="C632" s="24"/>
      <c r="D632" s="38"/>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row>
    <row r="633">
      <c r="A633" s="24"/>
      <c r="B633" s="24"/>
      <c r="C633" s="24"/>
      <c r="D633" s="38"/>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row>
    <row r="634">
      <c r="A634" s="24"/>
      <c r="B634" s="24"/>
      <c r="C634" s="24"/>
      <c r="D634" s="38"/>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row>
    <row r="635">
      <c r="A635" s="24"/>
      <c r="B635" s="24"/>
      <c r="C635" s="24"/>
      <c r="D635" s="38"/>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row>
    <row r="636">
      <c r="A636" s="24"/>
      <c r="B636" s="24"/>
      <c r="C636" s="24"/>
      <c r="D636" s="38"/>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row>
    <row r="637">
      <c r="A637" s="24"/>
      <c r="B637" s="24"/>
      <c r="C637" s="24"/>
      <c r="D637" s="38"/>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row>
    <row r="638">
      <c r="A638" s="24"/>
      <c r="B638" s="24"/>
      <c r="C638" s="24"/>
      <c r="D638" s="38"/>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row>
    <row r="639">
      <c r="A639" s="24"/>
      <c r="B639" s="24"/>
      <c r="C639" s="24"/>
      <c r="D639" s="38"/>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row>
    <row r="640">
      <c r="A640" s="24"/>
      <c r="B640" s="24"/>
      <c r="C640" s="24"/>
      <c r="D640" s="38"/>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row>
    <row r="641">
      <c r="A641" s="24"/>
      <c r="B641" s="24"/>
      <c r="C641" s="24"/>
      <c r="D641" s="38"/>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row>
    <row r="642">
      <c r="A642" s="24"/>
      <c r="B642" s="24"/>
      <c r="C642" s="24"/>
      <c r="D642" s="38"/>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row>
    <row r="643">
      <c r="A643" s="24"/>
      <c r="B643" s="24"/>
      <c r="C643" s="24"/>
      <c r="D643" s="38"/>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row>
    <row r="644">
      <c r="A644" s="24"/>
      <c r="B644" s="24"/>
      <c r="C644" s="24"/>
      <c r="D644" s="38"/>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row>
    <row r="645">
      <c r="A645" s="24"/>
      <c r="B645" s="24"/>
      <c r="C645" s="24"/>
      <c r="D645" s="38"/>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row>
    <row r="646">
      <c r="A646" s="24"/>
      <c r="B646" s="24"/>
      <c r="C646" s="24"/>
      <c r="D646" s="38"/>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row>
    <row r="647">
      <c r="A647" s="24"/>
      <c r="B647" s="24"/>
      <c r="C647" s="24"/>
      <c r="D647" s="38"/>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row>
    <row r="648">
      <c r="A648" s="24"/>
      <c r="B648" s="24"/>
      <c r="C648" s="24"/>
      <c r="D648" s="38"/>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row>
    <row r="649">
      <c r="A649" s="24"/>
      <c r="B649" s="24"/>
      <c r="C649" s="24"/>
      <c r="D649" s="38"/>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row>
    <row r="650">
      <c r="A650" s="24"/>
      <c r="B650" s="24"/>
      <c r="C650" s="24"/>
      <c r="D650" s="38"/>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row>
    <row r="651">
      <c r="A651" s="24"/>
      <c r="B651" s="24"/>
      <c r="C651" s="24"/>
      <c r="D651" s="38"/>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row>
    <row r="652">
      <c r="A652" s="24"/>
      <c r="B652" s="24"/>
      <c r="C652" s="24"/>
      <c r="D652" s="38"/>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row>
    <row r="653">
      <c r="A653" s="24"/>
      <c r="B653" s="24"/>
      <c r="C653" s="24"/>
      <c r="D653" s="38"/>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row>
    <row r="654">
      <c r="A654" s="24"/>
      <c r="B654" s="24"/>
      <c r="C654" s="24"/>
      <c r="D654" s="38"/>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row>
    <row r="655">
      <c r="A655" s="24"/>
      <c r="B655" s="24"/>
      <c r="C655" s="24"/>
      <c r="D655" s="38"/>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row>
    <row r="656">
      <c r="A656" s="24"/>
      <c r="B656" s="24"/>
      <c r="C656" s="24"/>
      <c r="D656" s="38"/>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row>
    <row r="657">
      <c r="A657" s="24"/>
      <c r="B657" s="24"/>
      <c r="C657" s="24"/>
      <c r="D657" s="38"/>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row>
    <row r="658">
      <c r="A658" s="24"/>
      <c r="B658" s="24"/>
      <c r="C658" s="24"/>
      <c r="D658" s="38"/>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row>
    <row r="659">
      <c r="A659" s="24"/>
      <c r="B659" s="24"/>
      <c r="C659" s="24"/>
      <c r="D659" s="38"/>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row>
    <row r="660">
      <c r="A660" s="24"/>
      <c r="B660" s="24"/>
      <c r="C660" s="24"/>
      <c r="D660" s="38"/>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row>
    <row r="661">
      <c r="A661" s="24"/>
      <c r="B661" s="24"/>
      <c r="C661" s="24"/>
      <c r="D661" s="38"/>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row>
    <row r="662">
      <c r="A662" s="24"/>
      <c r="B662" s="24"/>
      <c r="C662" s="24"/>
      <c r="D662" s="38"/>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row>
    <row r="663">
      <c r="A663" s="24"/>
      <c r="B663" s="24"/>
      <c r="C663" s="24"/>
      <c r="D663" s="38"/>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row>
    <row r="664">
      <c r="A664" s="24"/>
      <c r="B664" s="24"/>
      <c r="C664" s="24"/>
      <c r="D664" s="38"/>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row>
    <row r="665">
      <c r="A665" s="24"/>
      <c r="B665" s="24"/>
      <c r="C665" s="24"/>
      <c r="D665" s="38"/>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row>
    <row r="666">
      <c r="A666" s="24"/>
      <c r="B666" s="24"/>
      <c r="C666" s="24"/>
      <c r="D666" s="38"/>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row>
    <row r="667">
      <c r="A667" s="24"/>
      <c r="B667" s="24"/>
      <c r="C667" s="24"/>
      <c r="D667" s="38"/>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row>
    <row r="668">
      <c r="A668" s="24"/>
      <c r="B668" s="24"/>
      <c r="C668" s="24"/>
      <c r="D668" s="38"/>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row>
    <row r="669">
      <c r="A669" s="24"/>
      <c r="B669" s="24"/>
      <c r="C669" s="24"/>
      <c r="D669" s="38"/>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row>
    <row r="670">
      <c r="A670" s="24"/>
      <c r="B670" s="24"/>
      <c r="C670" s="24"/>
      <c r="D670" s="38"/>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row>
    <row r="671">
      <c r="A671" s="24"/>
      <c r="B671" s="24"/>
      <c r="C671" s="24"/>
      <c r="D671" s="38"/>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row>
    <row r="672">
      <c r="A672" s="24"/>
      <c r="B672" s="24"/>
      <c r="C672" s="24"/>
      <c r="D672" s="38"/>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row>
    <row r="673">
      <c r="A673" s="24"/>
      <c r="B673" s="24"/>
      <c r="C673" s="24"/>
      <c r="D673" s="38"/>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row>
    <row r="674">
      <c r="A674" s="24"/>
      <c r="B674" s="24"/>
      <c r="C674" s="24"/>
      <c r="D674" s="38"/>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row>
    <row r="675">
      <c r="A675" s="24"/>
      <c r="B675" s="24"/>
      <c r="C675" s="24"/>
      <c r="D675" s="38"/>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row>
    <row r="676">
      <c r="A676" s="24"/>
      <c r="B676" s="24"/>
      <c r="C676" s="24"/>
      <c r="D676" s="38"/>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row>
    <row r="677">
      <c r="A677" s="24"/>
      <c r="B677" s="24"/>
      <c r="C677" s="24"/>
      <c r="D677" s="38"/>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row>
    <row r="678">
      <c r="A678" s="24"/>
      <c r="B678" s="24"/>
      <c r="C678" s="24"/>
      <c r="D678" s="38"/>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row>
    <row r="679">
      <c r="A679" s="24"/>
      <c r="B679" s="24"/>
      <c r="C679" s="24"/>
      <c r="D679" s="38"/>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row>
    <row r="680">
      <c r="A680" s="24"/>
      <c r="B680" s="24"/>
      <c r="C680" s="24"/>
      <c r="D680" s="38"/>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row>
    <row r="681">
      <c r="A681" s="24"/>
      <c r="B681" s="24"/>
      <c r="C681" s="24"/>
      <c r="D681" s="38"/>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row>
    <row r="682">
      <c r="A682" s="24"/>
      <c r="B682" s="24"/>
      <c r="C682" s="24"/>
      <c r="D682" s="38"/>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row>
    <row r="683">
      <c r="A683" s="24"/>
      <c r="B683" s="24"/>
      <c r="C683" s="24"/>
      <c r="D683" s="38"/>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row>
    <row r="684">
      <c r="A684" s="24"/>
      <c r="B684" s="24"/>
      <c r="C684" s="24"/>
      <c r="D684" s="38"/>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row>
    <row r="685">
      <c r="A685" s="24"/>
      <c r="B685" s="24"/>
      <c r="C685" s="24"/>
      <c r="D685" s="38"/>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row>
    <row r="686">
      <c r="A686" s="24"/>
      <c r="B686" s="24"/>
      <c r="C686" s="24"/>
      <c r="D686" s="38"/>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row>
    <row r="687">
      <c r="A687" s="24"/>
      <c r="B687" s="24"/>
      <c r="C687" s="24"/>
      <c r="D687" s="38"/>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row>
    <row r="688">
      <c r="A688" s="24"/>
      <c r="B688" s="24"/>
      <c r="C688" s="24"/>
      <c r="D688" s="38"/>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row>
    <row r="689">
      <c r="A689" s="24"/>
      <c r="B689" s="24"/>
      <c r="C689" s="24"/>
      <c r="D689" s="38"/>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row>
    <row r="690">
      <c r="A690" s="24"/>
      <c r="B690" s="24"/>
      <c r="C690" s="24"/>
      <c r="D690" s="38"/>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row>
    <row r="691">
      <c r="A691" s="24"/>
      <c r="B691" s="24"/>
      <c r="C691" s="24"/>
      <c r="D691" s="38"/>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row>
    <row r="692">
      <c r="A692" s="24"/>
      <c r="B692" s="24"/>
      <c r="C692" s="24"/>
      <c r="D692" s="38"/>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row>
    <row r="693">
      <c r="A693" s="24"/>
      <c r="B693" s="24"/>
      <c r="C693" s="24"/>
      <c r="D693" s="38"/>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row>
    <row r="694">
      <c r="A694" s="24"/>
      <c r="B694" s="24"/>
      <c r="C694" s="24"/>
      <c r="D694" s="38"/>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row>
    <row r="695">
      <c r="A695" s="24"/>
      <c r="B695" s="24"/>
      <c r="C695" s="24"/>
      <c r="D695" s="38"/>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row>
    <row r="696">
      <c r="A696" s="24"/>
      <c r="B696" s="24"/>
      <c r="C696" s="24"/>
      <c r="D696" s="38"/>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row>
    <row r="697">
      <c r="A697" s="24"/>
      <c r="B697" s="24"/>
      <c r="C697" s="24"/>
      <c r="D697" s="38"/>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row>
    <row r="698">
      <c r="A698" s="24"/>
      <c r="B698" s="24"/>
      <c r="C698" s="24"/>
      <c r="D698" s="38"/>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row>
    <row r="699">
      <c r="A699" s="24"/>
      <c r="B699" s="24"/>
      <c r="C699" s="24"/>
      <c r="D699" s="38"/>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row>
    <row r="700">
      <c r="A700" s="24"/>
      <c r="B700" s="24"/>
      <c r="C700" s="24"/>
      <c r="D700" s="38"/>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row>
    <row r="701">
      <c r="A701" s="24"/>
      <c r="B701" s="24"/>
      <c r="C701" s="24"/>
      <c r="D701" s="38"/>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row>
    <row r="702">
      <c r="A702" s="24"/>
      <c r="B702" s="24"/>
      <c r="C702" s="24"/>
      <c r="D702" s="38"/>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row>
    <row r="703">
      <c r="A703" s="24"/>
      <c r="B703" s="24"/>
      <c r="C703" s="24"/>
      <c r="D703" s="38"/>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row>
    <row r="704">
      <c r="A704" s="24"/>
      <c r="B704" s="24"/>
      <c r="C704" s="24"/>
      <c r="D704" s="38"/>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row>
    <row r="705">
      <c r="A705" s="24"/>
      <c r="B705" s="24"/>
      <c r="C705" s="24"/>
      <c r="D705" s="38"/>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row>
    <row r="706">
      <c r="A706" s="24"/>
      <c r="B706" s="24"/>
      <c r="C706" s="24"/>
      <c r="D706" s="38"/>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row>
    <row r="707">
      <c r="A707" s="24"/>
      <c r="B707" s="24"/>
      <c r="C707" s="24"/>
      <c r="D707" s="38"/>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row>
    <row r="708">
      <c r="A708" s="24"/>
      <c r="B708" s="24"/>
      <c r="C708" s="24"/>
      <c r="D708" s="38"/>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row>
    <row r="709">
      <c r="A709" s="24"/>
      <c r="B709" s="24"/>
      <c r="C709" s="24"/>
      <c r="D709" s="38"/>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row>
    <row r="710">
      <c r="A710" s="24"/>
      <c r="B710" s="24"/>
      <c r="C710" s="24"/>
      <c r="D710" s="38"/>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row>
    <row r="711">
      <c r="A711" s="24"/>
      <c r="B711" s="24"/>
      <c r="C711" s="24"/>
      <c r="D711" s="38"/>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row>
    <row r="712">
      <c r="A712" s="24"/>
      <c r="B712" s="24"/>
      <c r="C712" s="24"/>
      <c r="D712" s="38"/>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row>
    <row r="713">
      <c r="A713" s="24"/>
      <c r="B713" s="24"/>
      <c r="C713" s="24"/>
      <c r="D713" s="38"/>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row>
    <row r="714">
      <c r="A714" s="24"/>
      <c r="B714" s="24"/>
      <c r="C714" s="24"/>
      <c r="D714" s="38"/>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row>
    <row r="715">
      <c r="A715" s="24"/>
      <c r="B715" s="24"/>
      <c r="C715" s="24"/>
      <c r="D715" s="38"/>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row>
    <row r="716">
      <c r="A716" s="24"/>
      <c r="B716" s="24"/>
      <c r="C716" s="24"/>
      <c r="D716" s="38"/>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row>
    <row r="717">
      <c r="A717" s="24"/>
      <c r="B717" s="24"/>
      <c r="C717" s="24"/>
      <c r="D717" s="38"/>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row>
    <row r="718">
      <c r="A718" s="24"/>
      <c r="B718" s="24"/>
      <c r="C718" s="24"/>
      <c r="D718" s="38"/>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row>
    <row r="719">
      <c r="A719" s="24"/>
      <c r="B719" s="24"/>
      <c r="C719" s="24"/>
      <c r="D719" s="38"/>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row>
    <row r="720">
      <c r="A720" s="24"/>
      <c r="B720" s="24"/>
      <c r="C720" s="24"/>
      <c r="D720" s="38"/>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row>
    <row r="721">
      <c r="A721" s="24"/>
      <c r="B721" s="24"/>
      <c r="C721" s="24"/>
      <c r="D721" s="38"/>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row>
    <row r="722">
      <c r="A722" s="24"/>
      <c r="B722" s="24"/>
      <c r="C722" s="24"/>
      <c r="D722" s="38"/>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row>
    <row r="723">
      <c r="A723" s="24"/>
      <c r="B723" s="24"/>
      <c r="C723" s="24"/>
      <c r="D723" s="38"/>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row>
    <row r="724">
      <c r="A724" s="24"/>
      <c r="B724" s="24"/>
      <c r="C724" s="24"/>
      <c r="D724" s="38"/>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row>
    <row r="725">
      <c r="A725" s="24"/>
      <c r="B725" s="24"/>
      <c r="C725" s="24"/>
      <c r="D725" s="38"/>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row>
    <row r="726">
      <c r="A726" s="24"/>
      <c r="B726" s="24"/>
      <c r="C726" s="24"/>
      <c r="D726" s="38"/>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row>
    <row r="727">
      <c r="A727" s="24"/>
      <c r="B727" s="24"/>
      <c r="C727" s="24"/>
      <c r="D727" s="38"/>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row>
    <row r="728">
      <c r="A728" s="24"/>
      <c r="B728" s="24"/>
      <c r="C728" s="24"/>
      <c r="D728" s="38"/>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row>
    <row r="729">
      <c r="A729" s="24"/>
      <c r="B729" s="24"/>
      <c r="C729" s="24"/>
      <c r="D729" s="38"/>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row>
    <row r="730">
      <c r="A730" s="24"/>
      <c r="B730" s="24"/>
      <c r="C730" s="24"/>
      <c r="D730" s="38"/>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row>
    <row r="731">
      <c r="A731" s="24"/>
      <c r="B731" s="24"/>
      <c r="C731" s="24"/>
      <c r="D731" s="38"/>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row>
    <row r="732">
      <c r="A732" s="24"/>
      <c r="B732" s="24"/>
      <c r="C732" s="24"/>
      <c r="D732" s="38"/>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row>
    <row r="733">
      <c r="A733" s="24"/>
      <c r="B733" s="24"/>
      <c r="C733" s="24"/>
      <c r="D733" s="38"/>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row>
    <row r="734">
      <c r="A734" s="24"/>
      <c r="B734" s="24"/>
      <c r="C734" s="24"/>
      <c r="D734" s="38"/>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row>
    <row r="735">
      <c r="A735" s="24"/>
      <c r="B735" s="24"/>
      <c r="C735" s="24"/>
      <c r="D735" s="38"/>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row>
    <row r="736">
      <c r="A736" s="24"/>
      <c r="B736" s="24"/>
      <c r="C736" s="24"/>
      <c r="D736" s="38"/>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row>
    <row r="737">
      <c r="A737" s="24"/>
      <c r="B737" s="24"/>
      <c r="C737" s="24"/>
      <c r="D737" s="38"/>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row>
    <row r="738">
      <c r="A738" s="24"/>
      <c r="B738" s="24"/>
      <c r="C738" s="24"/>
      <c r="D738" s="38"/>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row>
    <row r="739">
      <c r="A739" s="24"/>
      <c r="B739" s="24"/>
      <c r="C739" s="24"/>
      <c r="D739" s="38"/>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row>
    <row r="740">
      <c r="A740" s="24"/>
      <c r="B740" s="24"/>
      <c r="C740" s="24"/>
      <c r="D740" s="38"/>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row>
    <row r="741">
      <c r="A741" s="24"/>
      <c r="B741" s="24"/>
      <c r="C741" s="24"/>
      <c r="D741" s="38"/>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row>
    <row r="742">
      <c r="A742" s="24"/>
      <c r="B742" s="24"/>
      <c r="C742" s="24"/>
      <c r="D742" s="38"/>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row>
    <row r="743">
      <c r="A743" s="24"/>
      <c r="B743" s="24"/>
      <c r="C743" s="24"/>
      <c r="D743" s="38"/>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row>
    <row r="744">
      <c r="A744" s="24"/>
      <c r="B744" s="24"/>
      <c r="C744" s="24"/>
      <c r="D744" s="38"/>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row>
    <row r="745">
      <c r="A745" s="24"/>
      <c r="B745" s="24"/>
      <c r="C745" s="24"/>
      <c r="D745" s="38"/>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row>
    <row r="746">
      <c r="A746" s="24"/>
      <c r="B746" s="24"/>
      <c r="C746" s="24"/>
      <c r="D746" s="38"/>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row>
    <row r="747">
      <c r="A747" s="24"/>
      <c r="B747" s="24"/>
      <c r="C747" s="24"/>
      <c r="D747" s="38"/>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row>
    <row r="748">
      <c r="A748" s="24"/>
      <c r="B748" s="24"/>
      <c r="C748" s="24"/>
      <c r="D748" s="38"/>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row>
    <row r="749">
      <c r="A749" s="24"/>
      <c r="B749" s="24"/>
      <c r="C749" s="24"/>
      <c r="D749" s="38"/>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row>
    <row r="750">
      <c r="A750" s="24"/>
      <c r="B750" s="24"/>
      <c r="C750" s="24"/>
      <c r="D750" s="38"/>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row>
    <row r="751">
      <c r="A751" s="24"/>
      <c r="B751" s="24"/>
      <c r="C751" s="24"/>
      <c r="D751" s="38"/>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row>
    <row r="752">
      <c r="A752" s="24"/>
      <c r="B752" s="24"/>
      <c r="C752" s="24"/>
      <c r="D752" s="38"/>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row>
    <row r="753">
      <c r="A753" s="24"/>
      <c r="B753" s="24"/>
      <c r="C753" s="24"/>
      <c r="D753" s="38"/>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row>
    <row r="754">
      <c r="A754" s="24"/>
      <c r="B754" s="24"/>
      <c r="C754" s="24"/>
      <c r="D754" s="38"/>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row>
    <row r="755">
      <c r="A755" s="24"/>
      <c r="B755" s="24"/>
      <c r="C755" s="24"/>
      <c r="D755" s="38"/>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row>
    <row r="756">
      <c r="A756" s="24"/>
      <c r="B756" s="24"/>
      <c r="C756" s="24"/>
      <c r="D756" s="38"/>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row>
    <row r="757">
      <c r="A757" s="24"/>
      <c r="B757" s="24"/>
      <c r="C757" s="24"/>
      <c r="D757" s="38"/>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row>
    <row r="758">
      <c r="A758" s="24"/>
      <c r="B758" s="24"/>
      <c r="C758" s="24"/>
      <c r="D758" s="38"/>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row>
    <row r="759">
      <c r="A759" s="24"/>
      <c r="B759" s="24"/>
      <c r="C759" s="24"/>
      <c r="D759" s="38"/>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row>
    <row r="760">
      <c r="A760" s="24"/>
      <c r="B760" s="24"/>
      <c r="C760" s="24"/>
      <c r="D760" s="38"/>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row>
    <row r="761">
      <c r="A761" s="24"/>
      <c r="B761" s="24"/>
      <c r="C761" s="24"/>
      <c r="D761" s="38"/>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row>
    <row r="762">
      <c r="A762" s="24"/>
      <c r="B762" s="24"/>
      <c r="C762" s="24"/>
      <c r="D762" s="38"/>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row>
    <row r="763">
      <c r="A763" s="24"/>
      <c r="B763" s="24"/>
      <c r="C763" s="24"/>
      <c r="D763" s="38"/>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row>
    <row r="764">
      <c r="A764" s="24"/>
      <c r="B764" s="24"/>
      <c r="C764" s="24"/>
      <c r="D764" s="38"/>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row>
    <row r="765">
      <c r="A765" s="24"/>
      <c r="B765" s="24"/>
      <c r="C765" s="24"/>
      <c r="D765" s="38"/>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row>
    <row r="766">
      <c r="A766" s="24"/>
      <c r="B766" s="24"/>
      <c r="C766" s="24"/>
      <c r="D766" s="38"/>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row>
    <row r="767">
      <c r="A767" s="24"/>
      <c r="B767" s="24"/>
      <c r="C767" s="24"/>
      <c r="D767" s="38"/>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row>
    <row r="768">
      <c r="A768" s="24"/>
      <c r="B768" s="24"/>
      <c r="C768" s="24"/>
      <c r="D768" s="38"/>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row>
    <row r="769">
      <c r="A769" s="24"/>
      <c r="B769" s="24"/>
      <c r="C769" s="24"/>
      <c r="D769" s="38"/>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row>
    <row r="770">
      <c r="A770" s="24"/>
      <c r="B770" s="24"/>
      <c r="C770" s="24"/>
      <c r="D770" s="38"/>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row>
    <row r="771">
      <c r="A771" s="24"/>
      <c r="B771" s="24"/>
      <c r="C771" s="24"/>
      <c r="D771" s="38"/>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row>
    <row r="772">
      <c r="A772" s="24"/>
      <c r="B772" s="24"/>
      <c r="C772" s="24"/>
      <c r="D772" s="38"/>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row>
    <row r="773">
      <c r="A773" s="24"/>
      <c r="B773" s="24"/>
      <c r="C773" s="24"/>
      <c r="D773" s="38"/>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row>
    <row r="774">
      <c r="A774" s="24"/>
      <c r="B774" s="24"/>
      <c r="C774" s="24"/>
      <c r="D774" s="38"/>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row>
    <row r="775">
      <c r="A775" s="24"/>
      <c r="B775" s="24"/>
      <c r="C775" s="24"/>
      <c r="D775" s="38"/>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row>
    <row r="776">
      <c r="A776" s="24"/>
      <c r="B776" s="24"/>
      <c r="C776" s="24"/>
      <c r="D776" s="38"/>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row>
    <row r="777">
      <c r="A777" s="24"/>
      <c r="B777" s="24"/>
      <c r="C777" s="24"/>
      <c r="D777" s="38"/>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row>
    <row r="778">
      <c r="A778" s="24"/>
      <c r="B778" s="24"/>
      <c r="C778" s="24"/>
      <c r="D778" s="38"/>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row>
    <row r="779">
      <c r="A779" s="24"/>
      <c r="B779" s="24"/>
      <c r="C779" s="24"/>
      <c r="D779" s="38"/>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row>
    <row r="780">
      <c r="A780" s="24"/>
      <c r="B780" s="24"/>
      <c r="C780" s="24"/>
      <c r="D780" s="38"/>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row>
    <row r="781">
      <c r="A781" s="24"/>
      <c r="B781" s="24"/>
      <c r="C781" s="24"/>
      <c r="D781" s="38"/>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row>
    <row r="782">
      <c r="A782" s="24"/>
      <c r="B782" s="24"/>
      <c r="C782" s="24"/>
      <c r="D782" s="38"/>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row>
    <row r="783">
      <c r="A783" s="24"/>
      <c r="B783" s="24"/>
      <c r="C783" s="24"/>
      <c r="D783" s="38"/>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row>
    <row r="784">
      <c r="A784" s="24"/>
      <c r="B784" s="24"/>
      <c r="C784" s="24"/>
      <c r="D784" s="38"/>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row>
    <row r="785">
      <c r="A785" s="24"/>
      <c r="B785" s="24"/>
      <c r="C785" s="24"/>
      <c r="D785" s="38"/>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row>
    <row r="786">
      <c r="A786" s="24"/>
      <c r="B786" s="24"/>
      <c r="C786" s="24"/>
      <c r="D786" s="38"/>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row>
    <row r="787">
      <c r="A787" s="24"/>
      <c r="B787" s="24"/>
      <c r="C787" s="24"/>
      <c r="D787" s="38"/>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row>
    <row r="788">
      <c r="A788" s="24"/>
      <c r="B788" s="24"/>
      <c r="C788" s="24"/>
      <c r="D788" s="38"/>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row>
    <row r="789">
      <c r="A789" s="24"/>
      <c r="B789" s="24"/>
      <c r="C789" s="24"/>
      <c r="D789" s="38"/>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row>
    <row r="790">
      <c r="A790" s="24"/>
      <c r="B790" s="24"/>
      <c r="C790" s="24"/>
      <c r="D790" s="38"/>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row>
    <row r="791">
      <c r="A791" s="24"/>
      <c r="B791" s="24"/>
      <c r="C791" s="24"/>
      <c r="D791" s="38"/>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row>
    <row r="792">
      <c r="A792" s="24"/>
      <c r="B792" s="24"/>
      <c r="C792" s="24"/>
      <c r="D792" s="38"/>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row>
    <row r="793">
      <c r="A793" s="24"/>
      <c r="B793" s="24"/>
      <c r="C793" s="24"/>
      <c r="D793" s="38"/>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row>
    <row r="794">
      <c r="A794" s="24"/>
      <c r="B794" s="24"/>
      <c r="C794" s="24"/>
      <c r="D794" s="38"/>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row>
    <row r="795">
      <c r="A795" s="24"/>
      <c r="B795" s="24"/>
      <c r="C795" s="24"/>
      <c r="D795" s="38"/>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row>
    <row r="796">
      <c r="A796" s="24"/>
      <c r="B796" s="24"/>
      <c r="C796" s="24"/>
      <c r="D796" s="38"/>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row>
    <row r="797">
      <c r="A797" s="24"/>
      <c r="B797" s="24"/>
      <c r="C797" s="24"/>
      <c r="D797" s="38"/>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row>
    <row r="798">
      <c r="A798" s="24"/>
      <c r="B798" s="24"/>
      <c r="C798" s="24"/>
      <c r="D798" s="38"/>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row>
    <row r="799">
      <c r="A799" s="24"/>
      <c r="B799" s="24"/>
      <c r="C799" s="24"/>
      <c r="D799" s="38"/>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row>
    <row r="800">
      <c r="A800" s="24"/>
      <c r="B800" s="24"/>
      <c r="C800" s="24"/>
      <c r="D800" s="38"/>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row>
    <row r="801">
      <c r="A801" s="24"/>
      <c r="B801" s="24"/>
      <c r="C801" s="24"/>
      <c r="D801" s="38"/>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row>
    <row r="802">
      <c r="A802" s="24"/>
      <c r="B802" s="24"/>
      <c r="C802" s="24"/>
      <c r="D802" s="38"/>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row>
    <row r="803">
      <c r="A803" s="24"/>
      <c r="B803" s="24"/>
      <c r="C803" s="24"/>
      <c r="D803" s="38"/>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row>
    <row r="804">
      <c r="A804" s="24"/>
      <c r="B804" s="24"/>
      <c r="C804" s="24"/>
      <c r="D804" s="38"/>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row>
    <row r="805">
      <c r="A805" s="24"/>
      <c r="B805" s="24"/>
      <c r="C805" s="24"/>
      <c r="D805" s="38"/>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row>
    <row r="806">
      <c r="A806" s="24"/>
      <c r="B806" s="24"/>
      <c r="C806" s="24"/>
      <c r="D806" s="38"/>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row>
    <row r="807">
      <c r="A807" s="24"/>
      <c r="B807" s="24"/>
      <c r="C807" s="24"/>
      <c r="D807" s="38"/>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row>
    <row r="808">
      <c r="A808" s="24"/>
      <c r="B808" s="24"/>
      <c r="C808" s="24"/>
      <c r="D808" s="38"/>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row>
    <row r="809">
      <c r="A809" s="24"/>
      <c r="B809" s="24"/>
      <c r="C809" s="24"/>
      <c r="D809" s="38"/>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row>
    <row r="810">
      <c r="A810" s="24"/>
      <c r="B810" s="24"/>
      <c r="C810" s="24"/>
      <c r="D810" s="38"/>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row>
    <row r="811">
      <c r="A811" s="24"/>
      <c r="B811" s="24"/>
      <c r="C811" s="24"/>
      <c r="D811" s="38"/>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row>
    <row r="812">
      <c r="A812" s="24"/>
      <c r="B812" s="24"/>
      <c r="C812" s="24"/>
      <c r="D812" s="38"/>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row>
    <row r="813">
      <c r="A813" s="24"/>
      <c r="B813" s="24"/>
      <c r="C813" s="24"/>
      <c r="D813" s="38"/>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row>
    <row r="814">
      <c r="A814" s="24"/>
      <c r="B814" s="24"/>
      <c r="C814" s="24"/>
      <c r="D814" s="38"/>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row>
    <row r="815">
      <c r="A815" s="24"/>
      <c r="B815" s="24"/>
      <c r="C815" s="24"/>
      <c r="D815" s="38"/>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row>
    <row r="816">
      <c r="A816" s="24"/>
      <c r="B816" s="24"/>
      <c r="C816" s="24"/>
      <c r="D816" s="38"/>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row>
    <row r="817">
      <c r="A817" s="24"/>
      <c r="B817" s="24"/>
      <c r="C817" s="24"/>
      <c r="D817" s="38"/>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row>
    <row r="818">
      <c r="A818" s="24"/>
      <c r="B818" s="24"/>
      <c r="C818" s="24"/>
      <c r="D818" s="38"/>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row>
    <row r="819">
      <c r="A819" s="24"/>
      <c r="B819" s="24"/>
      <c r="C819" s="24"/>
      <c r="D819" s="38"/>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row>
    <row r="820">
      <c r="A820" s="24"/>
      <c r="B820" s="24"/>
      <c r="C820" s="24"/>
      <c r="D820" s="38"/>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row>
    <row r="821">
      <c r="A821" s="24"/>
      <c r="B821" s="24"/>
      <c r="C821" s="24"/>
      <c r="D821" s="38"/>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row>
    <row r="822">
      <c r="A822" s="24"/>
      <c r="B822" s="24"/>
      <c r="C822" s="24"/>
      <c r="D822" s="38"/>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row>
    <row r="823">
      <c r="A823" s="24"/>
      <c r="B823" s="24"/>
      <c r="C823" s="24"/>
      <c r="D823" s="38"/>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row>
    <row r="824">
      <c r="A824" s="24"/>
      <c r="B824" s="24"/>
      <c r="C824" s="24"/>
      <c r="D824" s="38"/>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row>
    <row r="825">
      <c r="A825" s="24"/>
      <c r="B825" s="24"/>
      <c r="C825" s="24"/>
      <c r="D825" s="38"/>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row>
    <row r="826">
      <c r="A826" s="24"/>
      <c r="B826" s="24"/>
      <c r="C826" s="24"/>
      <c r="D826" s="38"/>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row>
    <row r="827">
      <c r="A827" s="24"/>
      <c r="B827" s="24"/>
      <c r="C827" s="24"/>
      <c r="D827" s="38"/>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row>
    <row r="828">
      <c r="A828" s="24"/>
      <c r="B828" s="24"/>
      <c r="C828" s="24"/>
      <c r="D828" s="38"/>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row>
    <row r="829">
      <c r="A829" s="24"/>
      <c r="B829" s="24"/>
      <c r="C829" s="24"/>
      <c r="D829" s="38"/>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row>
    <row r="830">
      <c r="A830" s="24"/>
      <c r="B830" s="24"/>
      <c r="C830" s="24"/>
      <c r="D830" s="38"/>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row>
    <row r="831">
      <c r="A831" s="24"/>
      <c r="B831" s="24"/>
      <c r="C831" s="24"/>
      <c r="D831" s="38"/>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row>
    <row r="832">
      <c r="A832" s="24"/>
      <c r="B832" s="24"/>
      <c r="C832" s="24"/>
      <c r="D832" s="38"/>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row>
    <row r="833">
      <c r="A833" s="24"/>
      <c r="B833" s="24"/>
      <c r="C833" s="24"/>
      <c r="D833" s="38"/>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row>
    <row r="834">
      <c r="A834" s="24"/>
      <c r="B834" s="24"/>
      <c r="C834" s="24"/>
      <c r="D834" s="38"/>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row>
    <row r="835">
      <c r="A835" s="24"/>
      <c r="B835" s="24"/>
      <c r="C835" s="24"/>
      <c r="D835" s="38"/>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row>
    <row r="836">
      <c r="A836" s="24"/>
      <c r="B836" s="24"/>
      <c r="C836" s="24"/>
      <c r="D836" s="38"/>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row>
    <row r="837">
      <c r="A837" s="24"/>
      <c r="B837" s="24"/>
      <c r="C837" s="24"/>
      <c r="D837" s="38"/>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row>
    <row r="838">
      <c r="A838" s="24"/>
      <c r="B838" s="24"/>
      <c r="C838" s="24"/>
      <c r="D838" s="38"/>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row>
    <row r="839">
      <c r="A839" s="24"/>
      <c r="B839" s="24"/>
      <c r="C839" s="24"/>
      <c r="D839" s="38"/>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row>
    <row r="840">
      <c r="A840" s="24"/>
      <c r="B840" s="24"/>
      <c r="C840" s="24"/>
      <c r="D840" s="38"/>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row>
    <row r="841">
      <c r="A841" s="24"/>
      <c r="B841" s="24"/>
      <c r="C841" s="24"/>
      <c r="D841" s="38"/>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row>
    <row r="842">
      <c r="A842" s="24"/>
      <c r="B842" s="24"/>
      <c r="C842" s="24"/>
      <c r="D842" s="38"/>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row>
    <row r="843">
      <c r="A843" s="24"/>
      <c r="B843" s="24"/>
      <c r="C843" s="24"/>
      <c r="D843" s="38"/>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row>
    <row r="844">
      <c r="A844" s="24"/>
      <c r="B844" s="24"/>
      <c r="C844" s="24"/>
      <c r="D844" s="38"/>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row>
    <row r="845">
      <c r="A845" s="24"/>
      <c r="B845" s="24"/>
      <c r="C845" s="24"/>
      <c r="D845" s="38"/>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row>
    <row r="846">
      <c r="A846" s="24"/>
      <c r="B846" s="24"/>
      <c r="C846" s="24"/>
      <c r="D846" s="38"/>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row>
    <row r="847">
      <c r="A847" s="24"/>
      <c r="B847" s="24"/>
      <c r="C847" s="24"/>
      <c r="D847" s="38"/>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row>
    <row r="848">
      <c r="A848" s="24"/>
      <c r="B848" s="24"/>
      <c r="C848" s="24"/>
      <c r="D848" s="38"/>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row>
    <row r="849">
      <c r="A849" s="24"/>
      <c r="B849" s="24"/>
      <c r="C849" s="24"/>
      <c r="D849" s="38"/>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row>
    <row r="850">
      <c r="A850" s="24"/>
      <c r="B850" s="24"/>
      <c r="C850" s="24"/>
      <c r="D850" s="38"/>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row>
    <row r="851">
      <c r="A851" s="24"/>
      <c r="B851" s="24"/>
      <c r="C851" s="24"/>
      <c r="D851" s="38"/>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row>
    <row r="852">
      <c r="A852" s="24"/>
      <c r="B852" s="24"/>
      <c r="C852" s="24"/>
      <c r="D852" s="38"/>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row>
    <row r="853">
      <c r="A853" s="24"/>
      <c r="B853" s="24"/>
      <c r="C853" s="24"/>
      <c r="D853" s="38"/>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row>
    <row r="854">
      <c r="A854" s="24"/>
      <c r="B854" s="24"/>
      <c r="C854" s="24"/>
      <c r="D854" s="38"/>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row>
    <row r="855">
      <c r="A855" s="24"/>
      <c r="B855" s="24"/>
      <c r="C855" s="24"/>
      <c r="D855" s="38"/>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row>
    <row r="856">
      <c r="A856" s="24"/>
      <c r="B856" s="24"/>
      <c r="C856" s="24"/>
      <c r="D856" s="38"/>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row>
    <row r="857">
      <c r="A857" s="24"/>
      <c r="B857" s="24"/>
      <c r="C857" s="24"/>
      <c r="D857" s="38"/>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row>
    <row r="858">
      <c r="A858" s="24"/>
      <c r="B858" s="24"/>
      <c r="C858" s="24"/>
      <c r="D858" s="38"/>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row>
    <row r="859">
      <c r="A859" s="24"/>
      <c r="B859" s="24"/>
      <c r="C859" s="24"/>
      <c r="D859" s="38"/>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row>
    <row r="860">
      <c r="A860" s="24"/>
      <c r="B860" s="24"/>
      <c r="C860" s="24"/>
      <c r="D860" s="38"/>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row>
    <row r="861">
      <c r="A861" s="24"/>
      <c r="B861" s="24"/>
      <c r="C861" s="24"/>
      <c r="D861" s="38"/>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row>
    <row r="862">
      <c r="A862" s="24"/>
      <c r="B862" s="24"/>
      <c r="C862" s="24"/>
      <c r="D862" s="38"/>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row>
    <row r="863">
      <c r="A863" s="24"/>
      <c r="B863" s="24"/>
      <c r="C863" s="24"/>
      <c r="D863" s="38"/>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row>
    <row r="864">
      <c r="A864" s="24"/>
      <c r="B864" s="24"/>
      <c r="C864" s="24"/>
      <c r="D864" s="38"/>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row>
    <row r="865">
      <c r="A865" s="24"/>
      <c r="B865" s="24"/>
      <c r="C865" s="24"/>
      <c r="D865" s="38"/>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row>
    <row r="866">
      <c r="A866" s="24"/>
      <c r="B866" s="24"/>
      <c r="C866" s="24"/>
      <c r="D866" s="38"/>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row>
    <row r="867">
      <c r="A867" s="24"/>
      <c r="B867" s="24"/>
      <c r="C867" s="24"/>
      <c r="D867" s="38"/>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row>
    <row r="868">
      <c r="A868" s="24"/>
      <c r="B868" s="24"/>
      <c r="C868" s="24"/>
      <c r="D868" s="38"/>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row>
    <row r="869">
      <c r="A869" s="24"/>
      <c r="B869" s="24"/>
      <c r="C869" s="24"/>
      <c r="D869" s="38"/>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row>
    <row r="870">
      <c r="A870" s="24"/>
      <c r="B870" s="24"/>
      <c r="C870" s="24"/>
      <c r="D870" s="38"/>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row>
    <row r="871">
      <c r="A871" s="24"/>
      <c r="B871" s="24"/>
      <c r="C871" s="24"/>
      <c r="D871" s="38"/>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row>
    <row r="872">
      <c r="A872" s="24"/>
      <c r="B872" s="24"/>
      <c r="C872" s="24"/>
      <c r="D872" s="38"/>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row>
    <row r="873">
      <c r="A873" s="24"/>
      <c r="B873" s="24"/>
      <c r="C873" s="24"/>
      <c r="D873" s="38"/>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row>
    <row r="874">
      <c r="A874" s="24"/>
      <c r="B874" s="24"/>
      <c r="C874" s="24"/>
      <c r="D874" s="38"/>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row>
    <row r="875">
      <c r="A875" s="24"/>
      <c r="B875" s="24"/>
      <c r="C875" s="24"/>
      <c r="D875" s="38"/>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row>
    <row r="876">
      <c r="A876" s="24"/>
      <c r="B876" s="24"/>
      <c r="C876" s="24"/>
      <c r="D876" s="38"/>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row>
    <row r="877">
      <c r="A877" s="24"/>
      <c r="B877" s="24"/>
      <c r="C877" s="24"/>
      <c r="D877" s="38"/>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row>
    <row r="878">
      <c r="A878" s="24"/>
      <c r="B878" s="24"/>
      <c r="C878" s="24"/>
      <c r="D878" s="38"/>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row>
  </sheetData>
  <drawing r:id="rId1"/>
  <tableParts count="6">
    <tablePart r:id="rId8"/>
    <tablePart r:id="rId9"/>
    <tablePart r:id="rId10"/>
    <tablePart r:id="rId11"/>
    <tablePart r:id="rId12"/>
    <tablePart r:id="rId13"/>
  </tableParts>
</worksheet>
</file>