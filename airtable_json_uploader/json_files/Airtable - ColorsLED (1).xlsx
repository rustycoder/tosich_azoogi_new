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orsLED" sheetId="1" r:id="rId5"/>
  </sheets>
  <definedNames/>
  <calcPr/>
</workbook>
</file>

<file path=xl/sharedStrings.xml><?xml version="1.0" encoding="utf-8"?>
<sst xmlns="http://schemas.openxmlformats.org/spreadsheetml/2006/main" count="717" uniqueCount="382">
  <si>
    <t>Product Code</t>
  </si>
  <si>
    <t>Name</t>
  </si>
  <si>
    <t>Product type</t>
  </si>
  <si>
    <t>Categories</t>
  </si>
  <si>
    <t>Status</t>
  </si>
  <si>
    <t>AI Product description</t>
  </si>
  <si>
    <t>Product description</t>
  </si>
  <si>
    <t>AI Product short description</t>
  </si>
  <si>
    <t>Product short description</t>
  </si>
  <si>
    <t>Product image</t>
  </si>
  <si>
    <t>Product gallery</t>
  </si>
  <si>
    <t>SKU Code</t>
  </si>
  <si>
    <t>Specification</t>
  </si>
  <si>
    <t>AI Labels</t>
  </si>
  <si>
    <t>Labels</t>
  </si>
  <si>
    <t>AI Features</t>
  </si>
  <si>
    <t>Features</t>
  </si>
  <si>
    <t>AI Attributes</t>
  </si>
  <si>
    <t>Attributes</t>
  </si>
  <si>
    <t xml:space="preserve">AI Options and Constraints </t>
  </si>
  <si>
    <t>Options and Constraints</t>
  </si>
  <si>
    <t>Options</t>
  </si>
  <si>
    <t>Constraints</t>
  </si>
  <si>
    <t>SKU Mappings</t>
  </si>
  <si>
    <t>Supplier Name</t>
  </si>
  <si>
    <t>Supplier Code</t>
  </si>
  <si>
    <t>Datasheet</t>
  </si>
  <si>
    <t>Stocked Item</t>
  </si>
  <si>
    <t>AI Meta Keywords</t>
  </si>
  <si>
    <t>Meta Keywords</t>
  </si>
  <si>
    <t>COB001</t>
  </si>
  <si>
    <t>COB Strip</t>
  </si>
  <si>
    <t>simple</t>
  </si>
  <si>
    <t>COB</t>
  </si>
  <si>
    <t>draft</t>
  </si>
  <si>
    <t>Illuminate your architectural visions with the Top Bend IP69, a premium linear lighting solution designed to bring seamless radiance to any space. Engineered for incredible flexibility and breathtaking visual impact, this top-bending neon-style light curves effortlessly to accentuate contours and create striking design statements. Whether you are transforming a high-end commercial venue or adding sophisticated atmosphere to an outdoor landscape, its pristine, uniform glow delivers an unmatched aesthetic elegance. Built to withstand the elements while maintaining its flawless brilliance, it is the ultimate choice for designers who refuse to compromise on beauty, adaptability, and style.</t>
  </si>
  <si>
    <t>Bring seamless radiance to your space with Top Bend IP69, a premium linear light designed to effortlessly curve and accentuate contours with a flawless, uniform glow.</t>
  </si>
  <si>
    <t>5W/m | 2700K | 24V | IP20 | 8mm (W) | Free Cut</t>
  </si>
  <si>
    <t>Power Consumption Rate | Color Temperature | Voltage | IP Rating | Strip Width | Cut Interval</t>
  </si>
  <si>
    <t>{
"Power Consumption Rate": "5W/m",
"Color Temperature": "2700K",
"Voltage": "24V",
"IP Rating": "IP20",
"Strip Width": "8mm (W)",
"Cut Interval": "Free Cut",
"SKU": "COB001"
}</t>
  </si>
  <si>
    <t>{"Power Consumption Rate": ["5W/m", "10W/m"], "Color Temperature": ["2700K", "3000K", "4000K", "6000K"], "Voltage": "24V", "IP Rating": ["IP20", "IP65 (Nano-Coated)"], "Strip Width": "8mm (W)", "Cut Interval": "Free Cut", "SKU": ["COB001", "COB002", "COB003", "COB004", "COB005", "COB006", "COB007", "COB008", "COB009", "COB010", "COB011", "COB012"]}</t>
  </si>
  <si>
    <t>{ "Options": { "Power Consumption Rate": [ {"name": "5W/m", "id": "101"}, {"name": "10W/m", "id": "102"}, {"name": "15W/m", "id": "103"} ], "Color Temperature": [ {"name": "2700K", "id": "104"}, {"name": "3000K", "id": "105"}, {"name": "4000K", "id": "106"}, {"name": "6000K", "id": "107"} ], "Voltage": [ {"name": "24V", "id": "108"} ], "IP Rating": [ {"name": "IP20", "id": "109"}, {"name": "IP65 (Nano-Coated)", "id": "110"} ], "Strip Width": [ {"name": "8mm (W)", "id": "111"} ], "Cut Interval": [ {"name": "Free Cut", "id": "112"} ] }, "Constraints": {}, "sku_mappings": [ { "sku": "COB001", "combination": ["101", "104", "108", "109", "111", "112"] }, { "sku": "COB002", "combination": ["101", "105", "108", "109", "111", "112"] }, { "sku": "COB003", "combination": ["101", "106", "108", "109", "111", "112"] }, { "sku": "COB004", "combination": ["101", "107", "108", "109", "111", "112"] }, { "sku": "COB005", "combination": ["101", "104", "108", "110", "111", "112"] }, { "sku": "COB006", "combination": ["101", "105", "108", "110", "111", "112"] }, { "sku": "COB007", "combination": ["101", "106", "108", "110", "111", "112"] }, { "sku": "COB008", "combination": ["101", "107", "108", "110", "111", "112"] }, { "sku": "COB009", "combination": ["102", "104", "108", "109", "111", "112"] }, { "sku": "COB010", "combination": ["102", "105", "108", "109", "111", "112"] }, { "sku": "COB011", "combination": ["102", "106", "108", "109", "111", "112"] }, { "sku": "COB012", "combination": ["102", "107", "108", "109", "111", "112"] }, { "sku": "COB013", "combination": ["102", "104", "108", "110", "111", "112"] }, { "sku": "COB014", "combination": ["102", "105", "108", "110", "111", "112"] }, { "sku": "COB015", "combination": ["102", "106", "108", "110", "111", "112"] }, { "sku": "COB016", "combination": ["102", "107", "108", "110", "111", "112"] }, { "sku": "COB017", "combination": ["103", "104", "108", "109", "111", "112"] }, { "sku": "COB018", "combination": ["103", "105", "108", "109", "111", "112"] }, { "sku": "COB019", "combination": ["103", "106", "108", "109", "111", "112"] }, { "sku": "COB020", "combination": ["103", "107", "108", "109", "111", "112"] }, { "sku": "COB021", "combination": ["103", "104", "108", "110", "111", "112"] }, { "sku": "COB022", "combination": ["103", "105", "108", "110", "111", "112"] }, { "sku": "COB023", "combination": ["103", "106", "108", "110", "111", "112"] }, { "sku": "COB024", "combination": ["103", "107", "108", "110", "111", "112"] } ] }</t>
  </si>
  <si>
    <t>CHINA - Colorsled</t>
  </si>
  <si>
    <t>CF300-24V-8mm</t>
  </si>
  <si>
    <t>No</t>
  </si>
  <si>
    <t>Top Bend IP69, Premium Linear Lighting, Flexible Neon LED, Architectural Contour Light, Uniform Glow Strip, Waterproof Decorative Light</t>
  </si>
  <si>
    <t>COB002</t>
  </si>
  <si>
    <t>5W/m | 3000K | 24V | IP20 | 8mm (W) | Free Cut</t>
  </si>
  <si>
    <t>{ "Power Consumption Rate": "5W/m", "Color Temperature": "3000K", "Voltage": "24V", "IP Rating": "IP20", "Strip Width": "8mm (W)", "Cut Interval": "Free Cut", "SKU": "COB002" }</t>
  </si>
  <si>
    <t>COB003</t>
  </si>
  <si>
    <t>5W/m | 4000K | 24V | IP20 | 8mm (W) | Free Cut</t>
  </si>
  <si>
    <t>{ "Power Consumption Rate": "5W/m", "Color Temperature": "4000K", "Voltage": "24V", "IP Rating": "IP20", "Strip Width": "8mm (W)", "Cut Interval": "Free Cut", "SKU": "COB003" }</t>
  </si>
  <si>
    <t>COB004</t>
  </si>
  <si>
    <t>5W/m | 6000K | 24V | IP20 | 8mm (W) | Free Cut</t>
  </si>
  <si>
    <t>{ "Power Consumption Rate": "5W/m", "Color Temperature": "6000K", "Voltage": "24V", "IP Rating": "IP20", "Strip Width": "8mm (W)", "Cut Interval": "Free Cut", "SKU": "COB004" }</t>
  </si>
  <si>
    <t>COB005</t>
  </si>
  <si>
    <t>5W/m | 2700K | 24V | IP65 (Nano-Coated) | 8mm (W) | Free Cut</t>
  </si>
  <si>
    <t>{
"Power Consumption Rate": "5W/m",
"Color Temperature": "2700K",
"Voltage": "24V",
"IP Rating": "IP65 (Nano-Coated)",
"Strip Width": "8mm (W)",
"Cut Interval": "Free Cut",
"SKU": "COB005"
}</t>
  </si>
  <si>
    <t>COB006</t>
  </si>
  <si>
    <t>5W/m | 3000K | 24V | IP65 (Nano-Coated) | 8mm (W) | Free Cut</t>
  </si>
  <si>
    <t>{
"Power Consumption Rate": "5W/m",
"Color Temperature": "3000K",
"Voltage": "24V",
"IP Rating": "IP65 (Nano-Coated)",
"Strip Width": "8mm (W)",
"Cut Interval": "Free Cut",
"SKU": "COB006"
}</t>
  </si>
  <si>
    <t>COB007</t>
  </si>
  <si>
    <t>5W/m | 4000K | 24V | IP65 (Nano-Coated) | 8mm (W) | Free Cut</t>
  </si>
  <si>
    <t>{
"Power Consumption Rate": "5W/m",
"Color Temperature": "4000K",
"Voltage": "24V",
"IP Rating": "IP65 (Nano-Coated)",
"Strip Width": "8mm (W)",
"Cut Interval": "Free Cut",
"SKU": "COB007"
}</t>
  </si>
  <si>
    <t>COB008</t>
  </si>
  <si>
    <t>5W/m | 6000K | 24V | IP65 (Nano-Coated) | 8mm (W) | Free Cut</t>
  </si>
  <si>
    <t>{
"Power Consumption Rate": "5W/m",
"Color Temperature": "6000K",
"Voltage": "24V",
"IP Rating": "IP65 (Nano-Coated)",
"Strip Width": "8mm (W)",
"Cut Interval": "Free Cut",
"SKU": "COB008"
}</t>
  </si>
  <si>
    <t>COB009</t>
  </si>
  <si>
    <t>10W/m | 2700K | 24V | IP20 | 8mm (W) | Free Cut</t>
  </si>
  <si>
    <t>{ "Power Consumption Rate": "10W/m", "Color Temperature": "2700K", "Voltage": "24V", "IP Rating": "IP20", "Strip Width": "8mm (W)", "Cut Interval": "Free Cut", "SKU": "COB009" }</t>
  </si>
  <si>
    <t>CF400-24V-8mm</t>
  </si>
  <si>
    <t>Yes</t>
  </si>
  <si>
    <t>COB010</t>
  </si>
  <si>
    <t>10W/m | 3000K | 24V | IP20 | 8mm (W) | Free Cut</t>
  </si>
  <si>
    <t>{ "Power Consumption Rate": "10W/m", "Color Temperature": "3000K", "Voltage": "24V", "IP Rating": "IP20", "Strip Width": "8mm (W)", "Cut Interval": "Free Cut", "SKU": "COB010" }</t>
  </si>
  <si>
    <t>COB011</t>
  </si>
  <si>
    <t>10W/m | 4000K | 24V | IP20 | 8mm (W) | Free Cut</t>
  </si>
  <si>
    <t>{
"Power Consumption Rate": "10W/m",
"Color Temperature": "4000K",
"Voltage": "24V",
"IP Rating": "IP20",
"Strip Width": "8mm (W)",
"Cut Interval": "Free Cut",
"SKU": "COB011"
}</t>
  </si>
  <si>
    <t>COB012</t>
  </si>
  <si>
    <t>10W/m | 6000K | 24V | IP20 | 8mm (W) | Free Cut</t>
  </si>
  <si>
    <t>{
"Power Consumption Rate": "10W/m",
"Color Temperature": "6000K",
"Voltage": "24V",
"IP Rating": "IP20",
"Strip Width": "8mm (W)",
"Cut Interval": "Free Cut",
"SKU": "COB012"
}</t>
  </si>
  <si>
    <t>COB013</t>
  </si>
  <si>
    <t>10W/m | 2700K | 24V | IP65 (Nano-Coated) | 8mm (W) | Free Cut</t>
  </si>
  <si>
    <t>{
"Power Consumption Rate": "10W/m",
"Color Temperature": "2700K",
"Voltage": "24V",
"IP Rating": "IP65 (Nano-Coated)",
"Strip Width": "8mm (W)",
"Cut Interval": "Free Cut",
"SKU": "COB013"
}</t>
  </si>
  <si>
    <t>COB014</t>
  </si>
  <si>
    <t>10W/m | 3000K | 24V | IP65 (Nano-Coated) | 8mm (W) | Free Cut</t>
  </si>
  <si>
    <t>{ "Power Consumption Rate": "10W/m", "Color Temperature": "3000K", "Voltage": "24V", "IP Rating": "IP65 (Nano-Coated)", "Strip Width": "8mm (W)", "Cut Interval": "Free Cut", "SKU": "COB014" }</t>
  </si>
  <si>
    <t>COB015</t>
  </si>
  <si>
    <t>10W/m | 4000K | 24V | IP65 (Nano-Coated) | 8mm (W) | Free Cut</t>
  </si>
  <si>
    <t>{
"Power Consumption Rate": "10W/m",
"Color Temperature": "4000K",
"Voltage": "24V",
"IP Rating": "IP65 (Nano-Coated)",
"Strip Width": "8mm (W)",
"Cut Interval": "Free Cut",
"SKU": "COB015"
}</t>
  </si>
  <si>
    <t>COB016</t>
  </si>
  <si>
    <t>10W/m | 6000K | 24V | IP65 (Nano-Coated) | 8mm (W) | Free Cut</t>
  </si>
  <si>
    <t>{
"Power Consumption Rate": "10W/m",
"Color Temperature": "6000K",
"Voltage": "24V",
"IP Rating": "IP65 (Nano-Coated)",
"Strip Width": "8mm (W)",
"Cut Interval": "Free Cut",
"SKU": "COB016"
}</t>
  </si>
  <si>
    <t>COB017</t>
  </si>
  <si>
    <t>15W/m | 2700K | 24V | IP20 | 8mm (W) | Free Cut</t>
  </si>
  <si>
    <t>{
"Power Consumption Rate": "15W/m",
"Color Temperature": "2700K",
"Voltage": "24V",
"IP Rating": "IP20",
"Strip Width": "8mm (W)",
"Cut Interval": "Free Cut",
"SKU": "COB017"
}</t>
  </si>
  <si>
    <t>CF500-24V-8mm</t>
  </si>
  <si>
    <t>COB018</t>
  </si>
  <si>
    <t>15W/m | 3000K | 24V | IP20 | 8mm (W) | Free Cut</t>
  </si>
  <si>
    <t>{ "Power Consumption Rate": "15W/m", "Color Temperature": "3000K", "Voltage": "24V", "IP Rating": "IP20", "Strip Width": "8mm (W)", "Cut Interval": "Free Cut", "SKU": "COB018" }</t>
  </si>
  <si>
    <t>COB019</t>
  </si>
  <si>
    <t>15W/m | 4000K | 24V | IP20 | 8mm (W) | Free Cut</t>
  </si>
  <si>
    <t>{ "Power Consumption Rate": "15W/m", "Color Temperature": "4000K", "Voltage": "24V", "IP Rating": "IP20", "Strip Width": "8mm (W)", "Cut Interval": "Free Cut", "SKU": "COB019" }</t>
  </si>
  <si>
    <t>COB020</t>
  </si>
  <si>
    <t>15W/m | 6000K | 24V | IP20 | 8mm (W) | Free Cut</t>
  </si>
  <si>
    <t>{
"Power Consumption Rate": "15W/m",
"Color Temperature": "6000K",
"Voltage": "24V",
"IP Rating": "IP20",
"Strip Width": "8mm (W)",
"Cut Interval": "Free Cut",
"SKU": "COB020"
}</t>
  </si>
  <si>
    <t>COB021</t>
  </si>
  <si>
    <t>15W/m | 2700K | 24V | IP65 (Nano-Coated) | 8mm (W) | Free Cut</t>
  </si>
  <si>
    <t>{ "Power Consumption Rate": "15W/m", "Color Temperature": "2700K", "Voltage": "24V", "IP Rating": "IP65 (Nano-Coated)", "Strip Width": "8mm (W)", "Cut Interval": "Free Cut", "SKU": "COB021" }</t>
  </si>
  <si>
    <t>COB022</t>
  </si>
  <si>
    <t>15W/m | 3000K | 24V | IP65 (Nano-Coated) | 8mm (W) | Free Cut</t>
  </si>
  <si>
    <t>{
"Power Consumption Rate": "15W/m",
"Color Temperature": "3000K",
"Voltage": "24V",
"IP Rating": "IP65 (Nano-Coated)",
"Strip Width": "8mm (W)",
"Cut Interval": "Free Cut",
"SKU": "COB022"
}</t>
  </si>
  <si>
    <t>COB023</t>
  </si>
  <si>
    <t>15W/m | 4000K | 24V | IP65 (Nano-Coated) | 8mm (W) | Free Cut</t>
  </si>
  <si>
    <t>{
"Power Consumption Rate": "15W/m",
"Color Temperature": "4000K",
"Voltage": "24V",
"IP Rating": "IP65 (Nano-Coated)",
"Strip Width": "8mm (W)",
"Cut Interval": "Free Cut",
"SKU": "COB023"
}</t>
  </si>
  <si>
    <t>COB024</t>
  </si>
  <si>
    <t>15W/m | 6000K | 24V | IP65 (Nano-Coated) | 8mm (W) | Free Cut</t>
  </si>
  <si>
    <t>{
"Power Consumption Rate": "15W/m",
"Color Temperature": "6000K",
"Voltage": "24V",
"IP Rating": "IP65 (Nano-Coated)",
"Strip Width": "8mm (W)",
"Cut Interval": "Free Cut",
"SKU": "COB024"
}</t>
  </si>
  <si>
    <t>COBM001</t>
  </si>
  <si>
    <t>Mini COB Strip</t>
  </si>
  <si>
    <t>Mini COB</t>
  </si>
  <si>
    <t>Elevate your interior artistry with the Mini COB, a masterclass in minimalist linear lighting designed to infuse any room with a seamless, enchanting glow. Engineered to curve gracefully around the most delicate architectural details, this ultra-sleek light source disappears into your design while making a profound visual impact. Whether you are crafting a sophisticated mood in a contemporary lounge or adding subtle, luxurious ambiance to a refined workspace, its flawless brilliance accentuates contours effortlessly. It is the perfect choice for visionary designers who wish to transform ordinary spaces into breathtaking atmospheres of pure, unadulterated style.</t>
  </si>
  <si>
    <t>Infuse your space with a seamless, enchanting glow using Mini COB. This ultra-sleek light source curves gracefully to elevate your design with flawless, luxurious brilliance.</t>
  </si>
  <si>
    <t>10W/m | 2700K | 24V | IP20 | 4mm (W)</t>
  </si>
  <si>
    <t>Power Consumption Rate | Color Temperature | Voltage | IP Rating | Strip Width</t>
  </si>
  <si>
    <t>{ "Power Consumption Rate": "10W/m", "Color Temperature": "2700K", "Voltage": "24V", "IP Rating": "IP20", "Strip Width": "4mm (W)", "SKU": "COBM001" }</t>
  </si>
  <si>
    <t>{"Power Consumption Rate": "10W/m", "Color Temperature": ["2700K", "3000K", "4000K"], "Voltage": "24V", "IP Rating": "IP20", "Strip Width": "4mm (W)", "SKU": ["COBM001", "COBM002", "COBM003"]}</t>
  </si>
  <si>
    <t>{
"Options": {
"Power Consumption Rate": [
{"name": "10W/m", "id": "101"}
],
"Color Temperature": [
{"name": "2700K", "id": "102"},
{"name": "3000K", "id": "103"},
{"name": "4000K", "id": "104"}
],
"Voltage": [
{"name": "24V", "id": "105"}
],
"IP Rating": [
{"name": "IP20", "id": "106"}
],
"Strip Width": [
{"name": "4mm (W)", "id": "107"}
]
},
"Constraints": {},
"sku_mappings": [
{ "sku": "COBM001", "combination": ["101", "102", "105", "106", "107"] },
{ "sku": "COBM002", "combination": ["101", "103", "105", "106", "107"] },
{ "sku": "COBM003", "combination": ["101", "104", "105", "106", "107"] }
]
}</t>
  </si>
  <si>
    <t>DP7-24V-4mm</t>
  </si>
  <si>
    <t>Mini COB, Minimalist Linear Lighting, Ultra Sleek LED, Architectural Detail Light, Flawless Brilliance Strip, Luxury Ambiance Light</t>
  </si>
  <si>
    <t>COBM002</t>
  </si>
  <si>
    <t>10W/m | 3000K | 24V | IP20 | 4mm (W)</t>
  </si>
  <si>
    <t>{
"Power Consumption Rate": "10W/m",
"Color Temperature": "3000K",
"Voltage": "24V",
"IP Rating": "IP20",
"Strip Width": "4mm (W)",
"SKU": "COBM002"
}</t>
  </si>
  <si>
    <t>COBM003</t>
  </si>
  <si>
    <t>10W/m | 4000K | 24V | IP20 | 4mm (W)</t>
  </si>
  <si>
    <t>{
"Power Consumption Rate": "10W/m",
"Color Temperature": "4000K",
"Voltage": "24V",
"IP Rating": "IP20",
"Strip Width": "4mm (W)",
"SKU": "COBM003"
}</t>
  </si>
  <si>
    <t>COB-15W-RGB-IP20</t>
  </si>
  <si>
    <t>Multicolor COB</t>
  </si>
  <si>
    <t>Elevate your architectural and interior designs with this premium linear lighting solution, engineered to infuse any environment with a vibrant, sophisticated glow. Crafted for seamless flexibility and unforgettable visual allure, it effortlessly curves to accentuate contours, define borders, and turn artistic visions into striking design realities. Perfect for enhancing high-end commercial spaces or bringing an ultimate touch of luxury to bespoke residential atmospheres, its flawlessly uniform brilliance offers an unmatched aesthetic elegance. Combining ultimate adaptability with timeless elegance, this stunning lighting choice is tailor-made for designers who want to transform spaces with captivating color and uncompromising style.</t>
  </si>
  <si>
    <t>Transform your space with a vibrant, sophisticated glow. Crafted for seamless flexibility, it brings captivating color and luxury to any design reality.</t>
  </si>
  <si>
    <t>15W/m | RGB | 24V | IP20 | 10mm (W)</t>
  </si>
  <si>
    <t>{
"Power Consumption Rate": "15W/m",
"Color Temperature": "RGB",
"Voltage": "24V",
"IP Rating": "IP20",
"Strip Width": "10mm (W)",
"SKU": "COB-15W-RGB-IP20"
}</t>
  </si>
  <si>
    <t>{"Power Consumption Rate": ["15W/m", "17W/m", "18W/m"], "Color Temperature": ["RGB", "RGB+TW (2700K-6500K)", "RGBW (3000K)", "RGBW", "TW (2700K-6500K)"], "Voltage": "24V", "IP Rating": ["IP20", "IP65 (Nano-Coated)", "IP67"], "Strip Width": ["10mm (W)", "12mm (W)"], "SKU": ["COB-15W-RGB-IP20", "COB-15W-RGB-IP65-NA", "COB-18W-RGBTW-IP20", "COB-18W-RGBTW-IP65-NA", "COB-17W-RGBW-IP20", "COB-17W-RGBW-IP65-NA", "COB-15W-RGBW-IP67", "COB-18W-TW-IP20", "COB-18W-TW-IP65-NA"]}</t>
  </si>
  <si>
    <t>{
"Options": {
"Power Consumption Rate": [
{ "name": "15W/m", "id": "101" },
{ "name": "17W/m", "id": "102" },
{ "name": "18W/m", "id": "103" }
],
"Color Temperature": [
{ "name": "RGB", "id": "104" },
{ "name": "RGB+TW (2700K-6500K)", "id": "105" },
{ "name": "RGBW (3000K)", "id": "106" },
{ "name": "RGBW", "id": "107" },
{ "name": "TW (2700K-6500K)", "id": "108" }
],
"Voltage": [
{ "name": "24V", "id": "109" }
],
"IP Rating": [
{ "name": "IP20", "id": "110" },
{ "name": "IP65 (Nano-Coated)", "id": "111" },
{ "name": "IP67", "id": "112" }
],
"Strip Width": [
{ "name": "10mm (W)", "id": "113" },
{ "name": "12mm (W)", "id": "114" }
]
},
"Constraints": {
"101": ["105", "106", "108", "114"],
"102": ["104", "107", "108", "112", "113"],
"103": ["104", "105", "106", "107", "112", "114"],
"104": ["102", "103", "112", "114"],
"105": ["101", "103", "112", "113"],
"106": ["101", "103", "112", "113"],
"107": ["102", "103", "110", "111", "113"],
"108": ["101", "102", "112", "114"],
"110": ["107", "112"],
"111": ["107", "112"],
"112": ["102", "103", "104", "105", "106", "108", "110", "111", "113"],
"113": ["102", "105", "106", "107", "112"],
"114": ["101", "103", "104", "108"]
},
"sku_mappings": [
{
"sku": "COB-15W-RGB-IP20",
"combination": ["101", "104", "109", "110", "113"]
},
{
"sku": "COB-15W-RGB-IP65-NA",
"combination": ["101", "104", "109", "111", "113"]
},
{
"sku": "COB-18W-RGBTW-IP20",
"combination": ["102", "105", "109", "110", "114"]
},
{
"sku": "COB-18W-RGBTW-IP65-NA",
"combination": ["102", "105", "109", "111", "114"]
},
{
"sku": "COB-17W-RGBW-IP20",
"combination": ["102", "106", "109", "110", "114"]
},
{
"sku": "COB-17W-RGBW-IP65-NA",
"combination": ["102", "106", "109", "111", "114"]
},
{
"sku": "COB-15W-RGBW-IP67",
"combination": ["101", "107", "109", "112", "114"]
},
{
"sku": "COB-18W-TW-IP20",
"combination": ["103", "108", "109", "110", "113"]
},
{
"sku": "COB-18W-TW-IP65-NA",
"combination": ["103", "108", "109", "111", "113"]
}
]
}</t>
  </si>
  <si>
    <t>DP4RGB-24V-10mm</t>
  </si>
  <si>
    <t>Colour COB, Premium Linear Lighting, Flexible LED Strip, Vibrant Uniform Glow, Architectural Contour Lighting, High-End Interior Light</t>
  </si>
  <si>
    <t>COB-15W-RGB-IP65-NA</t>
  </si>
  <si>
    <t>15W/m | RGB | 24V | IP65 (Nano-Coated) | 10mm (W)</t>
  </si>
  <si>
    <t>{
"Power Consumption Rate": "15W/m",
"Color Temperature": "RGB",
"Voltage": "24V",
"IP Rating": "IP65 (Nano-Coated)",
"Strip Width": "10mm (W)",
"SKU": "COB-15W-RGB-IP65-NA"
}</t>
  </si>
  <si>
    <t>COB-18W-RGBTW-IP20</t>
  </si>
  <si>
    <t>17W/m | RGB+TW (2700K-6500K) | 24V | IP20 | 12mm (W)</t>
  </si>
  <si>
    <t>{
"Power Consumption Rate": "17W/m",
"Color Temperature": "RGB+TW (2700K-6500K)",
"Voltage": "24V",
"IP Rating": "IP20",
"Strip Width": "12mm (W)",
"SKU": "COB-18W-RGBTW-IP20"
}</t>
  </si>
  <si>
    <t>DP11RGBSWW-24V-12mm</t>
  </si>
  <si>
    <t>COB-18W-RGBTW-IP65-NA</t>
  </si>
  <si>
    <t>17W/m | RGB+TW (2700K-6500K) | 24V | IP65 (Nano-Coated) | 12mm (W)</t>
  </si>
  <si>
    <t>{ "Power Consumption Rate": "17W/m", "Color Temperature": "RGB+TW (2700K-6500K)", "Voltage": "24V", "IP Rating": "IP65 (Nano-Coated)", "Strip Width": "12mm (W)", "SKU": "COB-18W-RGBTW-IP65-NA" }</t>
  </si>
  <si>
    <t>COB-17W-RGBW-IP20</t>
  </si>
  <si>
    <t>17W/m | RGBW (3000K) | 24V | IP20 | 12mm (W)</t>
  </si>
  <si>
    <t>{
"Power Consumption Rate": "17W/m",
"Color Temperature": "RGBW (3000K)",
"Voltage": "24V",
"IP Rating": "IP20",
"Strip Width": "12mm (W)",
"SKU": "COB-17W-RGBW-IP20"
}</t>
  </si>
  <si>
    <t>DP6RGBW-24V-12mm</t>
  </si>
  <si>
    <t>COB-17W-RGBW-IP65-NA</t>
  </si>
  <si>
    <t>17W/m | RGBW (3000K) | 24V | IP65 (Nano-Coated) | 12mm (W)</t>
  </si>
  <si>
    <t>{ "Power Consumption Rate": "17W/m", "Color Temperature": "RGBW (3000K)", "Voltage": "24V", "IP Rating": "IP65 (Nano-Coated)", "Strip Width": "12mm (W)", "SKU": "COB-17W-RGBW-IP65-NA" }</t>
  </si>
  <si>
    <t>COB-15W-RGBW-IP67</t>
  </si>
  <si>
    <t>15W/m | RGBW | 24V | IP67 | 12mm (W)</t>
  </si>
  <si>
    <t>{
"Power Consumption Rate": "15W/m",
"Color Temperature": "RGBW",
"Voltage": "24V",
"IP Rating": "IP67",
"Strip Width": "12mm (W)",
"SKU": "COB-15W-RGBW-IP67"
}</t>
  </si>
  <si>
    <t>COB-18W-TW-IP20</t>
  </si>
  <si>
    <t>18W/m | TW (2700K-6500K) | 24V | IP20 | 10mm (W)</t>
  </si>
  <si>
    <t>{
"Power Consumption Rate": "18W/m",
"Color Temperature": "TW (2700K-6500K)",
"Voltage": "24V",
"IP Rating": "IP20",
"Strip Width": "10mm (W)",
"SKU": "COB-18W-TW-IP20"
}</t>
  </si>
  <si>
    <t>DP17SWW-24V-10mm</t>
  </si>
  <si>
    <t>COB-18W-TW-IP65-NA</t>
  </si>
  <si>
    <t>18W/m | TW (2700K-6500K) | 24V | IP65 (Nano-Coated) | 10mm (W)</t>
  </si>
  <si>
    <t>{
"Power Consumption Rate": "18W/m",
"Color Temperature": "TW (2700K-6500K)",
"Voltage": "24V",
"IP Rating": "IP65 (Nano-Coated)",
"Strip Width": "10mm (W)",
"SKU": "COB-18W-TW-IP65-NA"
}</t>
  </si>
  <si>
    <t>COB-18W-RGBW-IP20-SPI</t>
  </si>
  <si>
    <t>Transform your space with a vibrant, sophisticated glow designed to bring your boldest lighting visions to life. Engineered for ultimate creative freedom and dynamic visual impact, this premium flexible light strip seamlessly blends mesmerizing color with pure elegance. Whether you are crafting an immersive atmosphere for high-end commercial spaces, luxury hospitality venues, or modern architectural interiors, its seamless, uniform illumination creates an unforgettable ambiance. It is the perfect choice for visionary designers looking to elevate any environment with captivating, adaptable light.</t>
  </si>
  <si>
    <t>Transform your space with vibrant, seamless color. Effortlessly accentuating every contour, this premium light brings pure luxury and artistic elegance to any environment.</t>
  </si>
  <si>
    <t>18W/m | RGBW (3000K) | 24V | IP20 | 12mm (W) | SPI | 12 Pixels/m</t>
  </si>
  <si>
    <t>Power Consumption Rate | Color Temperature | Voltage | IP Rating | Strip Width | Control Protocol | Pixel</t>
  </si>
  <si>
    <t>{
"Power Consumption Rate": "18W/m",
"Color Temperature": "RGBW (3000K)",
"Voltage": "24V",
"IP Rating": "IP20",
"Strip Width": "12mm (W)",
"Control Protocol": "SPI",
"Pixel": "12 Pixels/m",
"SKU": "COB-18W-RGBW-IP20-SPI"
}</t>
  </si>
  <si>
    <t>{"Power Consumption Rate": ["15W/m", "17W/m", "18W/m"], "Color Temperature": ["RGB", "RGB+TW (2700K-6500K)", "RGBW (3000K)", "RGBW", "TW (2700K-6500K)"], "Voltage": "24V", "IP Rating": ["IP20", "IP65 (Nano-Coated)", "IP67"], "Strip Width": ["10mm (W)", "12mm (W)"], "Control Protocol": "SPI", "Pixel": "12 Pixels/m", "Length": "Max 5,000mm (L)", "SKU": ["COB-15W-RGB-IP20", "COB-15W-RGB-IP65-NA", "COB-18W-RGBTW-IP20", "COB-18W-RGBTW-IP65-NA", "COB-17W-RGBW-IP20", "COB-18W-RGBW-IP20-SPI", "COB-17W-RGBW-IP65-NA", "COB-18W-RGBW-IP65-NA-SPI", "COB-15W-RGBW-IP67", "COB-18W-TW-IP20", "COB-18W-TW-IP65-NA"]}</t>
  </si>
  <si>
    <t>{
"Options": {
"Power Consumption Rate": [
{
"name": "18W/m",
"id": "101"
}
],
"Color Temperature": [
{
"name": "RGBW (3000K)",
"id": "102"
}
],
"Voltage": [
{
"name": "24V",
"id": "103"
}
],
"IP Rating": [
{
"name": "IP20",
"id": "104"
},
{
"name": "IP65 (Nano-Coated)",
"id": "105"
}
],
"Strip Width": [
{
"name": "12mm (W)",
"id": "106"
}
],
"Control Protocol": [
{
"name": "SPI",
"id": "107"
}
],
"Pixel": [
{
"name": "12 Pixels/m",
"id": "108"
}
]
},
"Constraints": {},
"sku_mappings": [
{
"sku": "COB-18W-RGBW-IP20-SPI",
"combination": [
"101",
"102",
"103",
"104",
"106",
"107",
"108"
]
},
{
"sku": "COB-18W-RGBW-IP65-NA-SPI",
"combination": [
"101",
"102",
"103",
"105",
"106",
"107",
"108"
]
}
]
}</t>
  </si>
  <si>
    <t>DPS4RGBW-24V-10mm</t>
  </si>
  <si>
    <t>COB-18W-RGBW-IP65-NA-SPI</t>
  </si>
  <si>
    <t>18W/m | RGBW (3000K) | 24V | IP65 (Nano-Coated) | 12mm (W) | SPI | 12 Pixels/m</t>
  </si>
  <si>
    <t>{
"Power Consumption Rate": "18W/m",
"Color Temperature": "RGBW (3000K)",
"Voltage": "24V",
"IP Rating": "IP65 (Nano-Coated)",
"Strip Width": "12mm (W)",
"Control Protocol": "SPI",
"Pixel": "12 Pixels/m",
"SKU": "COB-18W-RGBW-IP65-NA-SPI"
}</t>
  </si>
  <si>
    <t>SV1616-10W-2.7K-IP67-FC</t>
  </si>
  <si>
    <t>Neon Side View</t>
  </si>
  <si>
    <t>Standard Neon</t>
  </si>
  <si>
    <t>Transform your surroundings with our premium neon linear lighting, expertly crafted to bring a modern, sophisticated brilliance to any setting. Designed with ultimate flexibility and artistic flair in mind, this sleek lighting solution effortlessly curves to follow your unique architectural contours, turning ordinary spaces into breathtaking design statements. Whether you are elevating a luxury interior or casting a captivating glow across a refined outdoor landscape, its flawless, uniform radiance offers an unparalleled upscale aesthetic. Embrace the perfect fusion of elegance and adaptability, and let your design visions shine with magnificent style.</t>
  </si>
  <si>
    <t>Bring a sophisticated brilliance to your space with premium neon linear lighting. Designed for ultimate flexibility, it effortlessly shapes your vision with a flawless glow.</t>
  </si>
  <si>
    <t>10W/m | 2700K | 24V | IP67 | 16mm (W) x 16mm (H) | Free-Cut</t>
  </si>
  <si>
    <t>Power Consumption Rate | Color Temperature | Voltage | IP Rating | Dimension | Cut Interval</t>
  </si>
  <si>
    <t>{
"Power Consumption Rate": "10W/m",
"Color Temperature": "2700K",
"Voltage": "24V",
"IP Rating": "IP67",
"Dimension": "16mm (W) x 16mm (H)",
"Cut Interval": "Free-Cut",
"SKU": "SV1616-10W-2.7K-IP67-FC"
}</t>
  </si>
  <si>
    <t>{"Power Consumption Rate": ["10W/m", "12W/m"], "Color Temperature": ["2700K", "3000K", "4000K", "RGB", "RGBW (3000K)"], "Voltage": "24V", "IP Rating": "IP67", "Dimension": "16mm (W) x 16mm (H)", "Cut Interval": "Free-Cut", "SKU": ["SV1616-10W-2.7K-IP67-FC", "SV1616-10W-3K-IP67-FC", "SV1616-10W-4K-IP67-FC", "SV1616-12W-RGB-IP67", "SV1616-12W-RGBW-IP67"]}</t>
  </si>
  <si>
    <t>{
"Options": {
"Power Consumption Rate": [
{"name": "10W/m", "id": "101"},
{"name": "12W/m", "id": "102"}
],
"Color Temperature": [
{"name": "2700K", "id": "103"},
{"name": "3000K", "id": "104"},
{"name": "4000K", "id": "105"},
{"name": "RGB", "id": "106"},
{"name": "RGBW (3000K)", "id": "107"}
],
"Voltage": [
{"name": "24V", "id": "108"}
],
"IP Rating": [
{"name": "IP67", "id": "109"}
],
"Dimension": [
{"name": "16mm (W) x 16mm (H)", "id": "110"}
],
"Cut Interval": [
{"name": "Free-Cut", "id": "111"}
]
},
"Constraints": {
"101": ["106", "107"],
"102": ["103", "104", "105", "111"]
},
"sku_mappings": [
{ "sku": "SV1616-10W-2.7K-IP67-FC", "combination": ["101", "103", "108", "109", "110", "111"] },
{ "sku": "SV1616-10W-3K-IP67-FC", "combination": ["101", "104", "108", "109", "110", "111"] },
{ "sku": "SV1616-10W-4K-IP67-FC", "combination": ["101", "105", "108", "109", "110", "111"] },
{ "sku": "SV1616-12W-RGB-IP67", "combination": ["102", "106", "108", "109", "110"] },
{ "sku": "SV1616-12W-RGBW-IP67", "combination": ["102", "107", "108", "109", "110"] }
]
}</t>
  </si>
  <si>
    <t>AHS1616-White light-24V</t>
  </si>
  <si>
    <t>Neon Linear Lighting, Premium Flexible LED, Modern Architectural Contour, High-End Luxury Interior, Waterproof Landscape Glow, Flawless Uniform Radiance</t>
  </si>
  <si>
    <t>SV1616-10W-3K-IP67-FC</t>
  </si>
  <si>
    <t>10W/m | 3000K | 24V | IP67 | 16mm (W) x 16mm (H) | Free-Cut</t>
  </si>
  <si>
    <t>{ "Power Consumption Rate": "10W/m", "Color Temperature": "3000K", "Voltage": "24V", "IP Rating": "IP67", "Dimension": "16mm (W) x 16mm (H)", "Cut Interval": "Free-Cut", "SKU": "SV1616-10W-3K-IP67-FC" }</t>
  </si>
  <si>
    <t>SV1616-10W-4K-IP67-FC</t>
  </si>
  <si>
    <t>10W/m | 4000K | 24V | IP67 | 16mm (W) x 16mm (H) | Free-Cut</t>
  </si>
  <si>
    <t>{ "Power Consumption Rate": "10W/m", "Color Temperature": "4000K", "Voltage": "24V", "IP Rating": "IP67", "Dimension": "16mm (W) x 16mm (H)", "Cut Interval": "Free-Cut", "SKU": "SV1616-10W-4K-IP67-FC" }</t>
  </si>
  <si>
    <t>SV1616-12W-RGB-IP67</t>
  </si>
  <si>
    <t>12W/m | RGB | 24V | IP67 | 16mm (W) x 16mm (H)</t>
  </si>
  <si>
    <t>Power Consumption Rate | Color Temperature | Voltage | IP Rating | Dimension</t>
  </si>
  <si>
    <t>{ "Power Consumption Rate": "12W/m", "Color Temperature": "RGB", "Voltage": "24V", "IP Rating": "IP67", "Dimension": "16mm (W) x 16mm (H)", "SKU": "SV1616-12W-RGB-IP67" }</t>
  </si>
  <si>
    <t>AFS1616-RGB-24V</t>
  </si>
  <si>
    <t>SV1616-12W-RGBW-IP67</t>
  </si>
  <si>
    <t>12W/m | RGBW (3000K) | 24V | IP67 | 16mm (W) x 16mm (H)</t>
  </si>
  <si>
    <t>{
"Power Consumption Rate": "12W/m",
"Color Temperature": "RGBW (3000K)",
"Voltage": "24V",
"IP Rating": "IP67",
"Dimension": "16mm (W) x 16mm (H)",
"SKU": "SV1616-12W-RGBW-IP67"
}</t>
  </si>
  <si>
    <t>AFS1616-RGBW-24V</t>
  </si>
  <si>
    <t>SV1616-12W-RGB-IP67-DMX</t>
  </si>
  <si>
    <t>Bring a sophisticated brilliance to your space with premium neon linear lighting. Designed for ultimate flexibility, it effortlessly shapes your vision with a flawless, uniform glow that elevates any architectural design. Whether you are creating dynamic accent lighting or transforming high-end commercial and residential environments, this solution delivers mesmerizing visual impact, seamless elegance, and unmatched versatility for designers who demand extraordinary style.</t>
  </si>
  <si>
    <t>Transform any space with breathtaking elegance. Our sleek neon lighting effortlessly curves to complement architectural contours, casting a captivating and sophisticated glow.</t>
  </si>
  <si>
    <t>14W/m | RGB | 24V | IP67 | 16mm (W) x 16mm (H) | DMX | 12 Pixels/m</t>
  </si>
  <si>
    <t>Power Consumption Rate | Color Temperature | Voltage | IP Rating | Dimension | Control Protocol | Pixel</t>
  </si>
  <si>
    <t>{ "Power Consumption Rate": "14W/m", "Color Temperature": "RGB", "Voltage": "24V", "IP Rating": "IP67", "Dimension": "16mm (W) x 16mm (H)", "Control Protocol": "DMX", "Pixel": "12 Pixels/m", "SKU": "SV1616-12W-RGB-IP67-DMX" }</t>
  </si>
  <si>
    <t>{"Power Consumption Rate": ["14W/m", "17W/m"], "Color Temperature": ["RGB", "RGBW (3000K)"], "Voltage": "24V", "IP Rating": "IP67", "Dimension": "16mm (W) x 16mm (H)", "Control Protocol": "DMX", "Pixel": "12 Pixels/m", "SKU": ["SV1616-12W-RGB-IP67-DMX", "SV1616-12W-RGBW-IP67-DMX"]}</t>
  </si>
  <si>
    <t>{ "Options": { "Power Consumption Rate": [ {"name": "14W/m", "id": "101"}, {"name": "17W/m", "id": "102"} ], "Color Temperature": [ {"name": "RGB", "id": "103"}, {"name": "RGBW (3000K)", "id": "104"} ], "Voltage": [ {"name": "24V", "id": "105"} ], "IP Rating": [ {"name": "IP67", "id": "106"} ], "Dimension": [ {"name": "16mm (W) x 16mm (H)", "id": "107"} ], "Control Protocol": [ {"name": "DMX", "id": "108"} ], "Pixel": [ {"name": "12 Pixels/m", "id": "109"} ] }, "Constraints": { "101": ["104"], "102": ["103"] }, "sku_mappings": [ { "sku": "SV1616-12W-RGB-IP67-DMX", "combination": ["101", "103", "105", "106", "107", "108", "109"] }, { "sku": "SV1616-12W-RGBW-IP67-DMX", "combination": ["102", "104", "105", "106", "107", "108", "109"] } ] }</t>
  </si>
  <si>
    <t>AFS1616-DMX512 RGB neon light-24V</t>
  </si>
  <si>
    <t>SV1616-12W-RGBW-IP67-DMX</t>
  </si>
  <si>
    <t>17W/m | RGBW (3000K) | 24V | IP67 | 16mm (W) x 16mm (H) | DMX |12 Pixels/m</t>
  </si>
  <si>
    <t>{
"Power Consumption Rate": "17W/m",
"Color Temperature": "RGBW (3000K)",
"Voltage": "24V",
"IP Rating": "IP67",
"Dimension": "16mm (W) x 16mm (H)",
"Control Protocol": "DMX",
"Pixel": "12 Pixels/m",
"SKU": "SV1616-12W-RGBW-IP67-DMX"
}</t>
  </si>
  <si>
    <t>AFS1616-DMX512 RGBW neon light-24V</t>
  </si>
  <si>
    <t>TV1616-10W-2.7K-IP67-FC</t>
  </si>
  <si>
    <t>Neon Top View</t>
  </si>
  <si>
    <t>Bring a sophisticated brilliance to your space with our premium neon linear lighting solution. Designed for ultimate flexibility and breathtaking visual impact, this top-view neon light effortlessly shapes your vision with a flawless, continuous glow. Whether you are illuminating high-end interior features or creating striking architectural accents, its seamless illumination brings warmth, elegance, and modern flair to any environment. Elevate your design concepts and transform ordinary spaces into extraordinary visual experiences with lighting crafted to inspire.</t>
  </si>
  <si>
    <t>Elevate your space with modern neon linear lighting, designed to effortlessly curve along your architectural contours and fill any room with a smooth, captivating glow.</t>
  </si>
  <si>
    <t>{ "Power Consumption Rate": "10W/m", "Color Temperature": "2700K", "Voltage": "24V", "IP Rating": "IP67", "Dimension": "16mm (W) x 16mm (H)", "Cut Interval": "Free-Cut", "SKU": "TV1616-10W-2.7K-IP67-FC" }</t>
  </si>
  <si>
    <t>{"Power Consumption Rate": ["10W/m", "12W/m"], "Color Temperature": ["2700K", "3000K", "4000K", "RGB", "RGBW (3000K)"], "Voltage": "24V", "IP Rating": "IP67", "Dimension": "16mm (W) x 16mm (H)", "Cut Interval": "Free-Cut", "SKU": ["TV1616-10W-2.7K-IP67-FC", "TV1616-10W-3K-IP67-FC", "TV1616-10W-4K-IP67-FC", "TV1616-12W-RGB-IP67", "TV1616-12W-RGBW-IP67"]}</t>
  </si>
  <si>
    <t>{
"Options": {
"Power Consumption Rate": [
{ "name": "10W/m", "id": "101" },
{ "name": "12W/m", "id": "102" }
],
"Color Temperature": [
{ "name": "2700K", "id": "103" },
{ "name": "3000K", "id": "104" },
{ "name": "4000K", "id": "105" },
{ "name": "RGB", "id": "106" },
{ "name": "RGBW (3000K)", "id": "107" }
],
"Voltage": [
{ "name": "24V", "id": "108" }
],
"IP Rating": [
{ "name": "IP67", "id": "109" }
],
"Dimension": [
{ "name": "16mm (W) x 16mm (H)", "id": "110" }
],
"Cut Interval": [
{ "name": "Free-Cut", "id": "111" }
]
},
"Constraints": {
"101": ["106", "107"],
"102": ["103", "104", "105", "111"]
},
"sku_mappings": [
{ "sku": "TV1616-10W-2.7K-IP67-FC", "combination": ["101", "103", "108", "109", "110", "111"] },
{ "sku": "TV1616-10W-3K-IP67-FC", "combination": ["101", "104", "108", "109", "110", "111"] },
{ "sku": "TV1616-10W-4K-IP67-FC", "combination": ["101", "105", "108", "109", "110", "111"] },
{ "sku": "TV1616-12W-RGB-IP67", "combination": ["102", "106", "108", "109", "110"] },
{ "sku": "TV1616-12W-RGBW-IP67", "combination": ["102", "107", "108", "109", "110"] }
]
}</t>
  </si>
  <si>
    <t>AHT1616-White light-24V</t>
  </si>
  <si>
    <t>TV1616-10W-3K-IP67-FC</t>
  </si>
  <si>
    <t>{
"Power Consumption Rate": "10W/m",
"Color Temperature": "3000K",
"Voltage": "24V",
"IP Rating": "IP67",
"Dimension": "16mm (W) x 16mm (H)",
"Cut Interval": "Free-Cut",
"SKU": "TV1616-10W-3K-IP67-FC"
}</t>
  </si>
  <si>
    <t>TV1616-10W-4K-IP67-FC</t>
  </si>
  <si>
    <t>{ "Power Consumption Rate": "10W/m", "Color Temperature": "4000K", "Voltage": "24V", "IP Rating": "IP67", "Dimension": "16mm (W) x 16mm (H)", "Cut Interval": "Free-Cut", "SKU": "TV1616-10W-4K-IP67-FC" }</t>
  </si>
  <si>
    <t>TV1616-12W-RGB-IP67</t>
  </si>
  <si>
    <t>{ "Power Consumption Rate": "12W/m", "Color Temperature": "RGB", "Voltage": "24V", "IP Rating": "IP67", "Dimension": "16mm (W) x 16mm (H)", "SKU": "TV1616-12W-RGB-IP67" }</t>
  </si>
  <si>
    <t>AFT1616-RGB-24V</t>
  </si>
  <si>
    <t>TV1616-12W-RGBW-IP67</t>
  </si>
  <si>
    <t>{ "Power Consumption Rate": "12W/m", "Color Temperature": "RGBW (3000K)", "Voltage": "24V", "IP Rating": "IP67", "Dimension": "16mm (W) x 16mm (H)", "SKU": "TV1616-12W-RGBW-IP67" }</t>
  </si>
  <si>
    <t>AFT1616-RGBW-24V</t>
  </si>
  <si>
    <t>TV1616-12W-RGB-IP67-DMX</t>
  </si>
  <si>
    <t>Elevate your space with modern neon linear lighting, designed to effortlessly curve along your architectural contours and fill any room with a smooth, captivating glow. Engineered for incredible flexibility and breathtaking visual impact, this top-bending light curves seamlessly to accentuate architectural features and create striking design statements. Whether you are transforming a high-end commercial venue or adding a sophisticated atmosphere to an outdoor landscape, its pristine, uniform illumination delivers unmatched aesthetic elegance for designers who refuse to compromise on style and adaptability.</t>
  </si>
  <si>
    <t>Transform your space with breathtaking neon elegance. Designed to shape your vision, it delivers a seamless, vibrant glow that elevates any ambiance.</t>
  </si>
  <si>
    <t>14W/m | RGB | 24V | IP67 | 16mm (W) x 16mm (H) | DMX |12 Pixels/m</t>
  </si>
  <si>
    <t>{
"Power Consumption Rate": "14W/m",
"Color Temperature": "RGB",
"Voltage": "24V",
"IP Rating": "IP67",
"Dimension": "16mm (W) x 16mm (H)",
"Control Protocol": "DMX",
"Pixel": "12 Pixels/m",
"SKU": "TV1616-12W-RGB-IP67-DMX"
}</t>
  </si>
  <si>
    <t>{"Power Consumption Rate": ["14W/m", "17W/m"], "Color Temperature": ["RGB", "RGBW (3000K)"], "Voltage": "24V", "IP Rating": "IP67", "Dimension": "16mm (W) x 16mm (H)", "Control Protocol": "DMX", "Pixel": "12 Pixels/m", "SKU": ["TV1616-12W-RGB-IP67-DMX", "TV1616-12W-RGBW-IP67-DMX"]}</t>
  </si>
  <si>
    <t>{
"Options": {
"Power Consumption Rate": [
{"name": "14W/m", "id": "101"},
{"name": "17W/m", "id": "102"}
],
"Color Temperature": [
{"name": "RGB", "id": "103"},
{"name": "RGBW (3000K)", "id": "104"}
],
"Voltage": [
{"name": "24V", "id": "105"}
],
"IP Rating": [
{"name": "IP67", "id": "106"}
],
"Dimension": [
{"name": "16mm (W) x 16mm (H)", "id": "107"}
],
"Control Protocol": [
{"name": "DMX", "id": "108"}
],
"Pixel": [
{"name": "12 Pixels/m", "id": "109"}
]
},
"Constraints": {
"101": ["104"],
"102": ["103"]
},
"sku_mappings": [
{
"sku": "TV1616-12W-RGB-IP67-DMX",
"combination": ["101", "103", "105", "106", "107", "108", "109"]
},
{
"sku": "TV1616-12W-RGBW-IP67-DMX",
"combination": ["102", "104", "105", "106", "107", "108", "109"]
}
]
}</t>
  </si>
  <si>
    <t>AFT1616-DMX512 RGB neon light-24V</t>
  </si>
  <si>
    <t>TV1616-12W-RGBW-IP67-DMX</t>
  </si>
  <si>
    <t>17W/m | RGBW (3000K) | 24V | IP67 | 16mm (W) x 16mm (H) | DMX | 12 Pixels/m</t>
  </si>
  <si>
    <t>{
"Power Consumption Rate": "17W/m",
"Color Temperature": "RGBW (3000K)",
"Voltage": "24V",
"IP Rating": "IP67",
"Dimension": "16mm (W) x 16mm (H)",
"Control Protocol": "DMX",
"Pixel": "12 Pixels/m",
"SKU": "TV1616-12W-RGBW-IP67-DMX"
}</t>
  </si>
  <si>
    <t>AFT1616-DMX512 RGBW neon light</t>
  </si>
  <si>
    <t>SMD-22W-2.7K-IP20</t>
  </si>
  <si>
    <t>SMD Strip</t>
  </si>
  <si>
    <t>SMD</t>
  </si>
  <si>
    <t>Elevate your architectural visions with the 22W SMD, a premium linear lighting solution designed to bring seamless radiance to any space. Engineered for incredible flexibility and breathtaking visual impact, this brilliant light curves effortlessly to accentuate contours and create striking design statements. Whether you are transforming a high-end commercial venue or adding a sophisticated atmosphere to an outdoor landscape, its pristine, uniform glow delivers unmatched aesthetic elegance. Built to maintain its flawless brilliance, it is the ultimate choice for designers who refuse to compromise on beauty, adaptability, and style.</t>
  </si>
  <si>
    <t>Elevate your architectural vision with stunning linear lighting designed to bring seamless radiance, breathtaking visual impact, and unmatched elegance to any space.</t>
  </si>
  <si>
    <t>22W/m | 2700K | 24V | IP20 | Free Cut</t>
  </si>
  <si>
    <t>Power Consumption Rate | Color Temperature | Voltage | IP Rating | Cut Interval</t>
  </si>
  <si>
    <t>{
"Power Consumption Rate": "22W/m",
"Color Temperature": "2700K",
"Voltage": "24V",
"IP Rating": "IP20",
"Cut Interval": "Free Cut",
"SKU": "SMD-22W-2.7K-IP20"
}</t>
  </si>
  <si>
    <t>{"Power Consumption Rate": "22W/m", "Color Temperature": ["2700K", "3000K", "4000K", "6000K"], "Voltage": "24V", "IP Rating": ["IP20", "IP65 (Nano-Coated)"], "Cut Interval": "Free Cut", "SKU": ["SMD-22W-2.7K-IP20", "SMD-22W-3K-IP20", "SMD-22W-4K-IP20", "SMD-22W-6K-IP20", "SMD-22W-2.7K-IP65", "SMD-22W-3K-IP65", "SMD-22W-4K-IP65", "SMD-22W-6K-IP65"]}</t>
  </si>
  <si>
    <t>{
"Options": {
"Power Consumption Rate": [
{"name": "22W/m", "id": "101"}
],
"Color Temperature": [
{"name": "2700K", "id": "102"},
{"name": "3000K", "id": "103"},
{"name": "4000K", "id": "104"},
{"name": "6000K", "id": "105"}
],
"Voltage": [
{"name": "24V", "id": "106"}
],
"IP Rating": [
{"name": "IP20", "id": "107"},
{"name": "IP65 (Nano-Coated)", "id": "108"}
],
"Cut Interval": [
{"name": "Free Cut", "id": "109"}
]
},
"Constraints": {},
"sku_mappings": [
{ "sku": "SMD-22W-2.7K-IP20", "combination": ["101", "102", "106", "107", "109"] },
{ "sku": "SMD-22W-3K-IP20", "combination": ["101", "103", "106", "107", "109"] },
{ "sku": "SMD-22W-4K-IP20", "combination": ["101", "104", "106", "107", "109"] },
{ "sku": "SMD-22W-6K-IP20", "combination": ["101", "105", "106", "107", "109"] },
{ "sku": "SMD-22W-2.7K-IP65", "combination": ["101", "102", "106", "108", "109"] },
{ "sku": "SMD-22W-3K-IP65", "combination": ["101", "103", "106", "108", "109"] },
{ "sku": "SMD-22W-4K-IP65", "combination": ["101", "104", "106", "108", "109"] },
{ "sku": "SMD-22W-6K-IP65", "combination": ["101", "105", "106", "108", "109"] }
]
}</t>
  </si>
  <si>
    <t>C8240-24V-10mm</t>
  </si>
  <si>
    <t>22W SMD Linear Light, Premium Linear Lighting, Flexible LED Strip, Architectural Contour Light, Uniform Glow Lighting, High Efficiency LED Tape</t>
  </si>
  <si>
    <t>SMD-22W-3K-IP20</t>
  </si>
  <si>
    <t>22W/m | 3000K | 24V | IP20 | Free Cut</t>
  </si>
  <si>
    <t>{
"Power Consumption Rate": "22W/m",
"Color Temperature": "3000K",
"Voltage": "24V",
"IP Rating": "IP20",
"Cut Interval": "Free Cut",
"SKU": "SMD-22W-3K-IP20"
}</t>
  </si>
  <si>
    <t>SMD-22W-4K-IP20</t>
  </si>
  <si>
    <t>22W/m | 4000K | 24V | IP20 | Free Cut</t>
  </si>
  <si>
    <t>{
"Power Consumption Rate": "22W/m",
"Color Temperature": "4000K",
"Voltage": "24V",
"IP Rating": "IP20",
"Cut Interval": "Free Cut",
"SKU": "SMD-22W-4K-IP20"
}</t>
  </si>
  <si>
    <t>SMD-22W-6K-IP20</t>
  </si>
  <si>
    <t>22W/m | 6000K | 24V | IP20 | Free Cut</t>
  </si>
  <si>
    <t>{
"Power Consumption Rate": "22W/m",
"Color Temperature": "6000K",
"Voltage": "24V",
"IP Rating": "IP20",
"Cut Interval": "Free Cut",
"SKU": "SMD-22W-6K-IP20"
}</t>
  </si>
  <si>
    <t>SMD-22W-2.7K-IP65</t>
  </si>
  <si>
    <t>22W/m | 2700K | 24V | IP65 (Nano-Coated) | Free Cut</t>
  </si>
  <si>
    <t>{
"Power Consumption Rate": "22W/m",
"Color Temperature": "2700K",
"Voltage": "24V",
"IP Rating": "IP65 (Nano-Coated)",
"Cut Interval": "Free Cut",
"SKU": "SMD-22W-2.7K-IP65"
}</t>
  </si>
  <si>
    <t>SMD-22W-3K-IP65</t>
  </si>
  <si>
    <t>22W/m | 3000K | 24V | IP65 (Nano-Coated) | Free Cut</t>
  </si>
  <si>
    <t>{
"Power Consumption Rate": "22W/m",
"Color Temperature": "3000K",
"Voltage": "24V",
"IP Rating": "IP65 (Nano-Coated)",
"Cut Interval": "Free Cut",
"SKU": "SMD-22W-3K-IP65"
}</t>
  </si>
  <si>
    <t>SMD-22W-4K-IP65</t>
  </si>
  <si>
    <t>22W/m | 4000K | 24V | IP65 (Nano-Coated) | Free Cut</t>
  </si>
  <si>
    <t>{
"Power Consumption Rate": "22W/m",
"Color Temperature": "4000K",
"Voltage": "24V",
"IP Rating": "IP65 (Nano-Coated)",
"Cut Interval": "Free Cut",
"SKU": "SMD-22W-4K-IP65"
}</t>
  </si>
  <si>
    <t>SMD-22W-6K-IP65</t>
  </si>
  <si>
    <t>22W/m | 6000K | 24V | IP65 (Nano-Coated) | Free Cut</t>
  </si>
  <si>
    <t>{
"Power Consumption Rate": "22W/m",
"Color Temperature": "6000K",
"Voltage": "24V",
"IP Rating": "IP65 (Nano-Coated)",
"Cut Interval": "Free Cut",
"SKU": "SMD-22W-6K-IP65"
}</t>
  </si>
  <si>
    <t>SMD-29W-2.7K-IP20</t>
  </si>
  <si>
    <t>Elevate your design visions with this premium linear lighting solution, crafted to bring seamless radiance and an unparalleled aesthetic elegance to any space. Engineered for exceptional flexibility and breathtaking visual impact, it accentuates contours effortlessly to create striking architectural design statements. Whether you are transforming a sophisticated commercial venue or adding a luxurious atmosphere to an interior landscape, its pristine, uniform glow delivers unmatched brilliance. It is the ultimate choice for designers and creators who refuse to compromise on beauty, modern adaptability, and pure style.</t>
  </si>
  <si>
    <t>Elevate your design visions with this premium linear lighting solution, crafted to bring seamless radiance and an unparalleled aesthetic elegance to any space.</t>
  </si>
  <si>
    <t>29W/m | 2700K | 24V | IP20 | 12mm (W)</t>
  </si>
  <si>
    <t>{
"Power Consumption Rate": "29W/m",
"Color Temperature": "2700K",
"Voltage": "24V",
"IP Rating": "IP20",
"Strip Width": "12mm (W)",
"SKU": "SMD-29W-2.7K-IP20"
}</t>
  </si>
  <si>
    <t>{"Power Consumption Rate": "29W/m", "Color Temperature": ["2700K", "3000K", "4000K", "6000K"], "Voltage": "24V", "IP Rating": "IP20", "Strip Width": "12mm (W)", "SKU": ["SMD-29W-2.7K-IP20", "SMD-29W-3K-IP20", "SMD-29W-4K-IP20", "SMD-29W-6K-IP20"]}</t>
  </si>
  <si>
    <t>{"Options": {"Power Consumption Rate": [{"name": "29W/m", "id": "101"}], "Color Temperature": [{"name": "2700K", "id": "102"}, {"name": "3000K", "id": "103"}, {"name": "4000K", "id": "104"}, {"name": "6000K", "id": "105"}], "Voltage": [{"name": "24V", "id": "106"}], "IP Rating": [{"name": "IP20", "id": "107"}], "Strip Width": [{"name": "12mm (W)", "id": "108"}]}, "Constraints": {}, "sku_mappings": [{"sku": "SMD-29W-2.7K-IP20", "combination": ["101", "102", "106", "107", "108"]}, {"sku": "SMD-29W-3K-IP20", "combination": ["101", "103", "106", "107", "108"]}, {"sku": "SMD-29W-4K-IP20", "combination": ["101", "104", "106", "107", "108"]}, {"sku": "SMD-29W-6K-IP20", "combination": ["101", "105", "106", "107", "108"]}]}</t>
  </si>
  <si>
    <t>DS8192-24V-12mm</t>
  </si>
  <si>
    <t>29W SMD, Premium Linear Lighting, Architectural Design Light, Uniform Glow Strip, Elegant Contour Light, High Power LED Strip</t>
  </si>
  <si>
    <t>SMD-29W-3K-IP20</t>
  </si>
  <si>
    <t>29W/m | 3000K | 24V | IP20 | 12mm (W)</t>
  </si>
  <si>
    <t>{
"Power Consumption Rate": "29W/m",
"Color Temperature": "3000K",
"Voltage": "24V",
"IP Rating": "IP20",
"Strip Width": "12mm (W)",
"SKU": "SMD-29W-3K-IP20"
}</t>
  </si>
  <si>
    <t>SMD-29W-4K-IP20</t>
  </si>
  <si>
    <t>29W/m | 4000K | 24V | IP20 | 12mm (W)</t>
  </si>
  <si>
    <t>{ "Power Consumption Rate": "29W/m", "Color Temperature": "4000K", "Voltage": "24V", "IP Rating": "IP20", "Strip Width": "12mm (W)", "SKU": "SMD-29W-4K-IP20" }</t>
  </si>
  <si>
    <t>SMD-29W-6K-IP20</t>
  </si>
  <si>
    <t>29W/m | 6000K | 24V | IP20 | 12mm (W)</t>
  </si>
  <si>
    <t>{ "Power Consumption Rate": "29W/m", "Color Temperature": "6000K", "Voltage": "24V", "IP Rating": "IP20", "Strip Width": "12mm (W)", "SKU": "SMD-29W-6K-IP20" }</t>
  </si>
  <si>
    <t>LMF13-9W-2.7K-IP65</t>
  </si>
  <si>
    <t>Mini Lumoflex</t>
  </si>
  <si>
    <t>360° Neon</t>
  </si>
  <si>
    <t>Elevate your design visions with Lumoflex, a premium neon lighting solution engineered to bring a seamless, captivating radiance to any space. Designed for exceptional adaptability and striking visual interest, this flexible linear light effortlessly curves to accentuate modern contours and carve out bold architectural narratives. Whether transforming a refined commercial interior or casting a sophisticated, atmospheric glow across a high-end venue, its flawless uniform brilliance delivers unparalleled aesthetic elegance. Perfect for creators who refuse to compromise on beauty and atmosphere, it stands as the ultimate choice for injecting modern style and timeless sophistication into any project.</t>
  </si>
  <si>
    <t>Bring seamless, captivating radiance to your space with Lumoflex, the ultimate choice for injecting modern style and timeless sophistication into any project.</t>
  </si>
  <si>
    <t>9W/m | 2700K | 24V | IP65 | 13mm (D) | 360°</t>
  </si>
  <si>
    <t>Power Consumption Rate | Color Temperature | Voltage | IP Rating | Depth | Beam Angle</t>
  </si>
  <si>
    <t>{
"Power Consumption Rate": "9W/m",
"Color Temperature": "2700K",
"Voltage": "24V",
"IP Rating": "IP65",
"Depth": "13mm (D)",
"Beam Angle": "360°",
"SKU": "LMF13-9W-2.7K-IP65"
}</t>
  </si>
  <si>
    <t>{"Power Consumption Rate": ["9W/m", "15W/m", "13W/m", "18W/m"], "Color Temperature": ["2700K", "3000K", "4000K", "RGB", "2300K-4000K", "RGBW (3000K)"], "Voltage": "24V", "IP Rating": "IP65", "Depth": ["13mm (D)", "18mm (D)", "25mm (D)", "30mm (D)", "40mm (D)"], "Beam Angle": "360°", "SKU": ["LMF13-9W-2.7K-IP65", "LMF13-9W-3K-IP65", "LMF13-9W-4K-IP65", "LMF18-15W-2.7K-IP65", "LMF18-15W-3K-IP65", "LMF18-15W-4K-IP65", "LMF18-13W-RGB-IP65", "LMF18-15W-TW-IP65", "LMF25-15W-2.7K-IP65", "LMF25-15W-3K-IP65", "LMF25-15W-4K-IP65", "LMF25-15W-RGB-IP65", "LMF25-15W-TW-IP65", "LMF25-18W-RGBW-IP65", "LMF30-15W-2.7K-IP65", "LMF30-15W-3K-IP65", "LMF30-15W-4K-IP65", "LMF30-18W-RGBW-IP65", "LMF40-18W-RGBW-IP65"]}</t>
  </si>
  <si>
    <t>{"Options":{"Power Consumption Rate":[{"name":"9W/m","id":"101"},{"name":"15W/m","id":"102"},{"name":"13W/m","id":"103"},{"name":"18W/m","id":"104"}],"Color Temperature":[{"name":"2700K","id":"105"},{"name":"3000K","id":"106"},{"name":"4000K","id":"107"},{"name":"RGB","id":"108"},{"name":"2300K-4000K","id":"109"},{"name":"RGBW (3000K)","id":"110"}],"Voltage":[{"name":"24V","id":"111"}],"IP Rating":[{"name":"IP65","id":"112"}],"Depth":[{"name":"13mm (D)","id":"113"},{"name":"18mm (D)","id":"114"},{"name":"25mm (D)","id":"115"},{"name":"30mm (D)","id":"116"},{"name":"40mm (D)","id":"117"}],"Beam Angle":[{"name":"360°","id":"118"}]},"Constraints":{"113":["102","103","104"],"114":["101","104"],"117":["101","102","103"]},"sku_mappings":[{"sku":"LMF13-9W-2.7K-IP65","combination":["101","105","111","112","113","118"]},{"sku":"LMF13-9W-3K-IP65","combination":["101","106","111","112","113","118"]},{"sku":"LMF13-9W-4K-IP65","combination":["101","107","111","112","113","118"]},{"sku":"LMF18-15W-2.7K-IP65","combination":["102","105","111","112","114","118"]},{"sku":"LMF18-15W-3K-IP65","combination":["102","106","111","112","114","118"]},{"sku":"LMF18-15W-4K-IP65","combination":["102","107","111","112","114","118"]},{"sku":"LMF18-13W-RGB-IP65","combination":["103","108","111","112","114","118"]},{"sku":"LMF18-15W-TW-IP65","combination":["102","109","111","112","114","118"]},{"sku":"LMF25-15W-2.7K-IP65","combination":["102","105","111","112","115","118"]},{"sku":"LMF25-15W-3K-IP65","combination":["102","106","111","112","115","118"]},{"sku":"LMF25-15W-4K-IP65","combination":["102","107","111","112","115","118"]},{"sku":"LMF25-15W-RGB-IP65","combination":["102","108","111","112","115","118"]},{"sku":"LMF25-15W-TW-IP65","combination":["102","109","111","112","115","118"]},{"sku":"LMF25-18W-RGBW-IP65","combination":["104","110","111","112","115","118"]},{"sku":"LMF30-15W-2.7K-IP65","combination":["102","105","111","112","116","118"]},{"sku":"LMF30-15W-3K-IP65","combination":["102","106","111","112","116","118"]},{"sku":"LMF30-15W-4K-IP65","combination":["102","107","111","112","116","118"]},{"sku":"LMF30-18W-RGBW-IP65","combination":["104","110","111","112","116","118"]},{"sku":"LMF40-18W-RGBW-IP65","combination":["104","110","111","112","117","118"]}]}</t>
  </si>
  <si>
    <t>NNR13-White light-24V</t>
  </si>
  <si>
    <t>Lumoflex Neon, Premium Flexible Lighting, 360 Degree LED Neon, Architectural Linear Light, Waterproof Decorative Neon, Uniform Glow Light Strip</t>
  </si>
  <si>
    <t>LMF13-9W-3K-IP65</t>
  </si>
  <si>
    <t>9W/m | 3000K | 24V | IP65 | 13mm (D) | 360°</t>
  </si>
  <si>
    <t>{
"Power Consumption Rate": "9W/m",
"Color Temperature": "3000K",
"Voltage": "24V",
"IP Rating": "IP65",
"Depth": "13mm (D)",
"Beam Angle": "360°",
"SKU": "LMF13-9W-3K-IP65"
}</t>
  </si>
  <si>
    <t>LMF13-9W-4K-IP65</t>
  </si>
  <si>
    <t>9W/m | 4000K | 24V | IP65 | 13mm (D) | 360°</t>
  </si>
  <si>
    <t>{ "Power Consumption Rate": "9W/m", "Color Temperature": "4000K", "Voltage": "24V", "IP Rating": "IP65", "Depth": "13mm (D)", "Beam Angle": "360°", "SKU": "LMF13-9W-4K-IP65" }</t>
  </si>
  <si>
    <t>LMF18-15W-2.7K-IP65</t>
  </si>
  <si>
    <t>15W/m | 2700K | 24V | IP65 | 18mm (D) | 360°</t>
  </si>
  <si>
    <t>{ "Power Consumption Rate": "15W/m", "Color Temperature": "2700K", "Voltage": "24V", "IP Rating": "IP65", "Depth": "18mm (D)", "Beam Angle": "360°", "SKU": "LMF18-15W-2.7K-IP65" }</t>
  </si>
  <si>
    <t>NNR18-White light-24V</t>
  </si>
  <si>
    <t>LMF18-15W-3K-IP65</t>
  </si>
  <si>
    <t>15W/m | 3000K | 24V | IP65 | 18mm (D) | 360°</t>
  </si>
  <si>
    <t>{ "Power Consumption Rate": "15W/m", "Color Temperature": "3000K", "Voltage": "24V", "IP Rating": "IP65", "Depth": "18mm (D)", "Beam Angle": "360°", "SKU": "LMF18-15W-3K-IP65" }</t>
  </si>
  <si>
    <t>LMF18-15W-4K-IP65</t>
  </si>
  <si>
    <t>15W/m | 4000K | 24V | IP65 | 18mm (D) | 360°</t>
  </si>
  <si>
    <t>{ "Power Consumption Rate": "15W/m", "Color Temperature": "4000K", "Voltage": "24V", "IP Rating": "IP65", "Depth": "18mm (D)", "Beam Angle": "360°", "SKU": "LMF18-15W-4K-IP65" }</t>
  </si>
  <si>
    <t>LMF18-13W-RGB-IP65</t>
  </si>
  <si>
    <t>13W/m | RGB | 24V | IP65 | 18mm (D) | 360°</t>
  </si>
  <si>
    <t>{
"Power Consumption Rate": "13W/m",
"Color Temperature": "RGB",
"Voltage": "24V",
"IP Rating": "IP65",
"Depth": "18mm (D)",
"Beam Angle": "360°",
"SKU": "LMF18-13W-RGB-IP65"
}</t>
  </si>
  <si>
    <t>NNR18-RGB-24V</t>
  </si>
  <si>
    <t>LMF18-15W-TW-IP65</t>
  </si>
  <si>
    <t>15W/m | 2300K-4000K | 24V | IP65 | 18mm (D) | 360°</t>
  </si>
  <si>
    <t>{ "Power Consumption Rate": "15W/m", "Color Temperature": "2300K-4000K", "Voltage": "24V", "IP Rating": "IP65", "Depth": "18mm (D)", "Beam Angle": "360°", "SKU": "LMF18-15W-TW-IP65" }</t>
  </si>
  <si>
    <t>NNR18-CCT-24V</t>
  </si>
  <si>
    <t>LMF25-15W-2.7K-IP65</t>
  </si>
  <si>
    <t>15W/m | 2700K | 24V | IP65 | 25mm (D) | 360°</t>
  </si>
  <si>
    <t>{
"Power Consumption Rate": "15W/m",
"Color Temperature": "2700K",
"Voltage": "24V",
"IP Rating": "IP65",
"Depth": "25mm (D)",
"Beam Angle": "360°",
"SKU": "LMF25-15W-2.7K-IP65"
}</t>
  </si>
  <si>
    <t>NNR25-White light-24V</t>
  </si>
  <si>
    <t>LMF25-15W-3K-IP65</t>
  </si>
  <si>
    <t>15W/m | 3000K | 24V | IP65 | 25mm (D) | 360°</t>
  </si>
  <si>
    <t>{
"Power Consumption Rate": "15W/m",
"Color Temperature": "3000K",
"Voltage": "24V",
"IP Rating": "IP65",
"Depth": "25mm (D)",
"Beam Angle": "360°",
"SKU": "LMF25-15W-3K-IP65"
}</t>
  </si>
  <si>
    <t>LMF25-15W-4K-IP65</t>
  </si>
  <si>
    <t>15W/m | 4000K | 24V | IP65 | 25mm (D) | 360°</t>
  </si>
  <si>
    <t>{
"Power Consumption Rate": "15W/m",
"Color Temperature": "4000K",
"Voltage": "24V",
"IP Rating": "IP65",
"Depth": "25mm (D)",
"Beam Angle": "360°",
"SKU": "LMF25-15W-4K-IP65"
}</t>
  </si>
  <si>
    <t>LMF25-15W-RGB-IP65</t>
  </si>
  <si>
    <t>15W/m | RGB | 24V | IP65 | 25mm (D) | 360°</t>
  </si>
  <si>
    <t>{
"Power Consumption Rate": "15W/m",
"Color Temperature": "RGB",
"Voltage": "24V",
"IP Rating": "IP65",
"Depth": "25mm (D)",
"Beam Angle": "360°",
"SKU": "LMF25-15W-RGB-IP65"
}</t>
  </si>
  <si>
    <t>NNR25-RGB-24V</t>
  </si>
  <si>
    <t>LMF25-15W-TW-IP65</t>
  </si>
  <si>
    <t>15W/m | 2300K-4000K | 24V | IP65 | 25mm (D) | 360°</t>
  </si>
  <si>
    <t>{ "Power Consumption Rate": "15W/m", "Color Temperature": "2300K-4000K", "Voltage": "24V", "IP Rating": "IP65", "Depth": "25mm (D)", "Beam Angle": "360°", "SKU": "LMF25-15W-TW-IP65" }</t>
  </si>
  <si>
    <t>NNR25-CCT-24V</t>
  </si>
  <si>
    <t>LMF25-18W-RGBW-IP65</t>
  </si>
  <si>
    <t>18W/m | RGBW (3000K) | 24V | IP65 | 25mm (D) | 360°</t>
  </si>
  <si>
    <t>{
"Power Consumption Rate": "18W/m",
"Color Temperature": "RGBW (3000K)",
"Voltage": "24V",
"IP Rating": "IP65",
"Depth": "25mm (D)",
"Beam Angle": "360°",
"SKU": "LMF25-18W-RGBW-IP65"
}</t>
  </si>
  <si>
    <t>NNR25-RGBW-24V</t>
  </si>
  <si>
    <t>LMF30-15W-2.7K-IP65</t>
  </si>
  <si>
    <t>15W/m | 2700K | 24V | IP65 | 30mm (D) | 360°</t>
  </si>
  <si>
    <t>{
"Power Consumption Rate": "15W/m",
"Color Temperature": "2700K",
"Voltage": "24V",
"IP Rating": "IP65",
"Depth": "30mm (D)",
"Beam Angle": "360°",
"SKU": "LMF30-15W-2.7K-IP65"
}</t>
  </si>
  <si>
    <t>NNR30-White light-24V</t>
  </si>
  <si>
    <t>LMF30-15W-3K-IP65</t>
  </si>
  <si>
    <t>15W/m | 3000K | 24V | IP65 | 30mm (D) | 360°</t>
  </si>
  <si>
    <t>{ "Power Consumption Rate": "15W/m", "Color Temperature": "3000K", "Voltage": "24V", "IP Rating": "IP65", "Depth": "30mm (D)", "Beam Angle": "360°", "SKU": "LMF30-15W-3K-IP65" }</t>
  </si>
  <si>
    <t>LMF30-15W-4K-IP65</t>
  </si>
  <si>
    <t>15W/m | 4000K | 24V | IP65 | 30mm (D) | 360°</t>
  </si>
  <si>
    <t>{
"Power Consumption Rate": "15W/m",
"Color Temperature": "4000K",
"Voltage": "24V",
"IP Rating": "IP65",
"Depth": "30mm (D)",
"Beam Angle": "360°",
"SKU": "LMF30-15W-4K-IP65"
}</t>
  </si>
  <si>
    <t>LMF30-18W-RGBW-IP65</t>
  </si>
  <si>
    <t>18W/m | RGBW (3000K) | 24V | IP65 | 30mm (D) | 360°</t>
  </si>
  <si>
    <t>{
"Power Consumption Rate": "18W/m",
"Color Temperature": "RGBW (3000K)",
"Voltage": "24V",
"IP Rating": "IP65",
"Depth": "30mm (D)",
"Beam Angle": "360°",
"SKU": "LMF30-18W-RGBW-IP65"
}</t>
  </si>
  <si>
    <t>NNR30-RGBW-24V</t>
  </si>
  <si>
    <t>LMF40-18W-RGBW-IP65</t>
  </si>
  <si>
    <t>18W/m | RGBW (3000K) | 24V | IP65 | 40mm (D) | 360°</t>
  </si>
  <si>
    <t>{
"Power Consumption Rate": "18W/m",
"Color Temperature": "RGBW (3000K)",
"Voltage": "24V",
"IP Rating": "IP65",
"Depth": "40mm (D)",
"Beam Angle": "360°",
"SKU": "LMF40-18W-RGBW-IP65"
}</t>
  </si>
  <si>
    <t>NNR40-RGBW-24V</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</si>
</sst>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DM Sans"/>
    </font>
    <font>
      <b/>
      <sz val="10.0"/>
      <color rgb="FFFFFFFF"/>
      <name val="DM Sans"/>
    </font>
    <font>
      <b/>
      <sz val="10.0"/>
      <color rgb="FF434343"/>
      <name val="DM Sans"/>
    </font>
    <font>
      <b/>
      <color theme="1"/>
      <name val="DM Sans"/>
    </font>
    <font>
      <sz val="10.0"/>
      <color theme="1"/>
      <name val="DM Sans"/>
    </font>
    <font>
      <sz val="10.0"/>
      <color rgb="FF434343"/>
      <name val="DM Sans"/>
    </font>
    <font>
      <color rgb="FF434343"/>
      <name val="DM Sans"/>
    </font>
    <font>
      <color theme="1"/>
      <name val="Arial"/>
      <scheme val="minor"/>
    </font>
  </fonts>
  <fills count="11">
    <fill>
      <patternFill patternType="none"/>
    </fill>
    <fill>
      <patternFill patternType="lightGray"/>
    </fill>
    <fill>
      <patternFill patternType="solid">
        <fgColor rgb="FFFFD966"/>
        <bgColor rgb="FFFFD966"/>
      </patternFill>
    </fill>
    <fill>
      <patternFill patternType="solid">
        <fgColor rgb="FFD9EAD3"/>
        <bgColor rgb="FFD9EAD3"/>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D2E9"/>
        <bgColor rgb="FFD9D2E9"/>
      </patternFill>
    </fill>
    <fill>
      <patternFill patternType="solid">
        <fgColor rgb="FFC9DAF8"/>
        <bgColor rgb="FFC9DAF8"/>
      </patternFill>
    </fill>
    <fill>
      <patternFill patternType="solid">
        <fgColor rgb="FFFFFFFF"/>
        <bgColor rgb="FFFFFFFF"/>
      </patternFill>
    </fill>
    <fill>
      <patternFill patternType="solid">
        <fgColor rgb="FF38761D"/>
        <bgColor rgb="FF38761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vertical="center"/>
    </xf>
    <xf borderId="1" fillId="5" fontId="2" numFmtId="0" xfId="0" applyAlignment="1" applyBorder="1" applyFill="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4" fontId="4" numFmtId="0" xfId="0" applyAlignment="1" applyBorder="1" applyFill="1" applyFont="1">
      <alignment horizontal="center" shrinkToFit="0" vertical="bottom" wrapText="1"/>
    </xf>
    <xf borderId="1" fillId="2" fontId="4" numFmtId="0" xfId="0" applyAlignment="1" applyBorder="1" applyFill="1" applyFont="1">
      <alignment horizontal="center" shrinkToFit="0" vertical="bottom" wrapText="1"/>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3" fontId="5" numFmtId="0" xfId="0" applyAlignment="1" applyBorder="1" applyFill="1" applyFont="1">
      <alignment readingOrder="0" shrinkToFit="0" vertical="center" wrapText="1"/>
    </xf>
    <xf borderId="1" fillId="0" fontId="5" numFmtId="0" xfId="0" applyAlignment="1" applyBorder="1" applyFont="1">
      <alignment readingOrder="0" shrinkToFit="0" vertical="center" wrapText="1"/>
    </xf>
    <xf borderId="1" fillId="7" fontId="5" numFmtId="0" xfId="0" applyAlignment="1" applyBorder="1" applyFill="1" applyFont="1">
      <alignment readingOrder="0" shrinkToFit="0" vertical="center" wrapText="1"/>
    </xf>
    <xf borderId="1" fillId="3" fontId="6" numFmtId="0" xfId="0" applyAlignment="1" applyBorder="1" applyFill="1" applyFont="1">
      <alignment shrinkToFit="0" vertical="center" wrapText="1"/>
    </xf>
    <xf borderId="1" fillId="8" fontId="6" numFmtId="0" xfId="0" applyAlignment="1" applyBorder="1" applyFill="1" applyFont="1">
      <alignment shrinkToFit="0" vertical="center" wrapText="1"/>
    </xf>
    <xf borderId="1" fillId="3"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xf borderId="1" fillId="9" fontId="7" numFmtId="0" xfId="0" applyAlignment="1" applyBorder="1" applyFill="1" applyFont="1">
      <alignment shrinkToFit="0" vertical="bottom" wrapText="1"/>
    </xf>
    <xf borderId="1" fillId="0" fontId="8" numFmtId="0" xfId="0" applyAlignment="1" applyBorder="1" applyFont="1">
      <alignment readingOrder="0"/>
    </xf>
    <xf borderId="1" fillId="0" fontId="6" numFmtId="0" xfId="0" applyAlignment="1" applyBorder="1" applyFont="1">
      <alignment readingOrder="0" shrinkToFit="0" vertical="center" wrapText="1"/>
    </xf>
    <xf borderId="1" fillId="0" fontId="5" numFmtId="0" xfId="0" applyAlignment="1" applyBorder="1" applyFont="1">
      <alignment shrinkToFit="0" vertical="center" wrapText="1"/>
    </xf>
    <xf borderId="1" fillId="3" fontId="5" numFmtId="0" xfId="0" applyAlignment="1" applyBorder="1" applyFill="1" applyFont="1">
      <alignment shrinkToFit="0" vertical="center" wrapText="1"/>
    </xf>
    <xf borderId="1" fillId="8" fontId="5" numFmtId="0" xfId="0" applyAlignment="1" applyBorder="1" applyFill="1" applyFont="1">
      <alignment shrinkToFit="0" vertical="center" wrapText="1"/>
    </xf>
    <xf borderId="1" fillId="8" fontId="5" numFmtId="0" xfId="0" applyAlignment="1" applyBorder="1" applyFill="1" applyFont="1">
      <alignment readingOrder="0" shrinkToFit="0" vertical="center" wrapText="1"/>
    </xf>
    <xf borderId="1" fillId="10" fontId="5" numFmtId="0" xfId="0" applyAlignment="1" applyBorder="1" applyFill="1" applyFont="1">
      <alignment readingOrder="0" shrinkToFit="0" vertical="center" wrapText="1"/>
    </xf>
    <xf borderId="1" fillId="5" fontId="5" numFmtId="0" xfId="0" applyAlignment="1" applyBorder="1" applyFill="1" applyFont="1">
      <alignment readingOrder="0" shrinkToFit="0" vertical="center" wrapText="1"/>
    </xf>
    <xf borderId="1" fillId="0" fontId="6" numFmtId="0" xfId="0" applyAlignment="1" applyBorder="1" applyFont="1">
      <alignmen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1">
    <tableStyle count="2" pivot="0" name="ColorsLED-style">
      <tableStyleElement dxfId="1" type="firstRowStripe"/>
      <tableStyleElement dxfId="2" type="secondRowStripe"/>
    </tableStyle>
    <tableStyle count="2" pivot="0" name="ColorsLED-style 2">
      <tableStyleElement dxfId="1" type="firstRowStripe"/>
      <tableStyleElement dxfId="2" type="secondRowStripe"/>
    </tableStyle>
    <tableStyle count="2" pivot="0" name="ColorsLED-style 3">
      <tableStyleElement dxfId="1" type="firstRowStripe"/>
      <tableStyleElement dxfId="2" type="secondRowStripe"/>
    </tableStyle>
    <tableStyle count="2" pivot="0" name="ColorsLED-style 4">
      <tableStyleElement dxfId="1" type="firstRowStripe"/>
      <tableStyleElement dxfId="2" type="secondRowStripe"/>
    </tableStyle>
    <tableStyle count="2" pivot="0" name="ColorsLED-style 5">
      <tableStyleElement dxfId="1" type="firstRowStripe"/>
      <tableStyleElement dxfId="2" type="secondRowStripe"/>
    </tableStyle>
    <tableStyle count="2" pivot="0" name="ColorsLED-style 6">
      <tableStyleElement dxfId="1" type="firstRowStripe"/>
      <tableStyleElement dxfId="2" type="secondRowStripe"/>
    </tableStyle>
    <tableStyle count="2" pivot="0" name="ColorsLED-style 7">
      <tableStyleElement dxfId="1" type="firstRowStripe"/>
      <tableStyleElement dxfId="2" type="secondRowStripe"/>
    </tableStyle>
    <tableStyle count="2" pivot="0" name="ColorsLED-style 8">
      <tableStyleElement dxfId="1" type="firstRowStripe"/>
      <tableStyleElement dxfId="2" type="secondRowStripe"/>
    </tableStyle>
    <tableStyle count="2" pivot="0" name="ColorsLED-style 9">
      <tableStyleElement dxfId="1" type="firstRowStripe"/>
      <tableStyleElement dxfId="2" type="secondRowStripe"/>
    </tableStyle>
    <tableStyle count="2" pivot="0" name="ColorsLED-style 10">
      <tableStyleElement dxfId="1" type="firstRowStripe"/>
      <tableStyleElement dxfId="2" type="secondRowStripe"/>
    </tableStyle>
    <tableStyle count="2" pivot="0" name="ColorsLED-style 11">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V2:X2" displayName="Table_1" name="Table_1" id="1">
  <tableColumns count="3">
    <tableColumn name="Column1" id="1"/>
    <tableColumn name="Column2" id="2"/>
    <tableColumn name="Column3" id="3"/>
  </tableColumns>
  <tableStyleInfo name="ColorsLED-style" showColumnStripes="0" showFirstColumn="1" showLastColumn="1" showRowStripes="1"/>
</table>
</file>

<file path=xl/tables/table2.xml><?xml version="1.0" encoding="utf-8"?>
<table xmlns="http://schemas.openxmlformats.org/spreadsheetml/2006/main" headerRowCount="0" ref="V26:X26" displayName="Table_2" name="Table_2" id="2">
  <tableColumns count="3">
    <tableColumn name="Column1" id="1"/>
    <tableColumn name="Column2" id="2"/>
    <tableColumn name="Column3" id="3"/>
  </tableColumns>
  <tableStyleInfo name="ColorsLED-style 2" showColumnStripes="0" showFirstColumn="1" showLastColumn="1" showRowStripes="1"/>
</table>
</file>

<file path=xl/tables/table3.xml><?xml version="1.0" encoding="utf-8"?>
<table xmlns="http://schemas.openxmlformats.org/spreadsheetml/2006/main" headerRowCount="0" ref="V29:X29" displayName="Table_3" name="Table_3" id="3">
  <tableColumns count="3">
    <tableColumn name="Column1" id="1"/>
    <tableColumn name="Column2" id="2"/>
    <tableColumn name="Column3" id="3"/>
  </tableColumns>
  <tableStyleInfo name="ColorsLED-style 3" showColumnStripes="0" showFirstColumn="1" showLastColumn="1" showRowStripes="1"/>
</table>
</file>

<file path=xl/tables/table4.xml><?xml version="1.0" encoding="utf-8"?>
<table xmlns="http://schemas.openxmlformats.org/spreadsheetml/2006/main" headerRowCount="0" ref="V38:X38" displayName="Table_4" name="Table_4" id="4">
  <tableColumns count="3">
    <tableColumn name="Column1" id="1"/>
    <tableColumn name="Column2" id="2"/>
    <tableColumn name="Column3" id="3"/>
  </tableColumns>
  <tableStyleInfo name="ColorsLED-style 4" showColumnStripes="0" showFirstColumn="1" showLastColumn="1" showRowStripes="1"/>
</table>
</file>

<file path=xl/tables/table5.xml><?xml version="1.0" encoding="utf-8"?>
<table xmlns="http://schemas.openxmlformats.org/spreadsheetml/2006/main" headerRowCount="0" ref="V40:X40" displayName="Table_5" name="Table_5" id="5">
  <tableColumns count="3">
    <tableColumn name="Column1" id="1"/>
    <tableColumn name="Column2" id="2"/>
    <tableColumn name="Column3" id="3"/>
  </tableColumns>
  <tableStyleInfo name="ColorsLED-style 5" showColumnStripes="0" showFirstColumn="1" showLastColumn="1" showRowStripes="1"/>
</table>
</file>

<file path=xl/tables/table6.xml><?xml version="1.0" encoding="utf-8"?>
<table xmlns="http://schemas.openxmlformats.org/spreadsheetml/2006/main" headerRowCount="0" ref="V45:X45" displayName="Table_6" name="Table_6" id="6">
  <tableColumns count="3">
    <tableColumn name="Column1" id="1"/>
    <tableColumn name="Column2" id="2"/>
    <tableColumn name="Column3" id="3"/>
  </tableColumns>
  <tableStyleInfo name="ColorsLED-style 6" showColumnStripes="0" showFirstColumn="1" showLastColumn="1" showRowStripes="1"/>
</table>
</file>

<file path=xl/tables/table7.xml><?xml version="1.0" encoding="utf-8"?>
<table xmlns="http://schemas.openxmlformats.org/spreadsheetml/2006/main" headerRowCount="0" ref="V47:X47" displayName="Table_7" name="Table_7" id="7">
  <tableColumns count="3">
    <tableColumn name="Column1" id="1"/>
    <tableColumn name="Column2" id="2"/>
    <tableColumn name="Column3" id="3"/>
  </tableColumns>
  <tableStyleInfo name="ColorsLED-style 7" showColumnStripes="0" showFirstColumn="1" showLastColumn="1" showRowStripes="1"/>
</table>
</file>

<file path=xl/tables/table8.xml><?xml version="1.0" encoding="utf-8"?>
<table xmlns="http://schemas.openxmlformats.org/spreadsheetml/2006/main" headerRowCount="0" ref="V52:X52" displayName="Table_8" name="Table_8" id="8">
  <tableColumns count="3">
    <tableColumn name="Column1" id="1"/>
    <tableColumn name="Column2" id="2"/>
    <tableColumn name="Column3" id="3"/>
  </tableColumns>
  <tableStyleInfo name="ColorsLED-style 8" showColumnStripes="0" showFirstColumn="1" showLastColumn="1" showRowStripes="1"/>
</table>
</file>

<file path=xl/tables/table9.xml><?xml version="1.0" encoding="utf-8"?>
<table xmlns="http://schemas.openxmlformats.org/spreadsheetml/2006/main" headerRowCount="0" ref="V54:X54" displayName="Table_9" name="Table_9" id="9">
  <tableColumns count="3">
    <tableColumn name="Column1" id="1"/>
    <tableColumn name="Column2" id="2"/>
    <tableColumn name="Column3" id="3"/>
  </tableColumns>
  <tableStyleInfo name="ColorsLED-style 9" showColumnStripes="0" showFirstColumn="1" showLastColumn="1" showRowStripes="1"/>
</table>
</file>

<file path=xl/tables/table10.xml><?xml version="1.0" encoding="utf-8"?>
<table xmlns="http://schemas.openxmlformats.org/spreadsheetml/2006/main" headerRowCount="0" ref="V62:X62" displayName="Table_10" name="Table_10" id="10">
  <tableColumns count="3">
    <tableColumn name="Column1" id="1"/>
    <tableColumn name="Column2" id="2"/>
    <tableColumn name="Column3" id="3"/>
  </tableColumns>
  <tableStyleInfo name="ColorsLED-style 10" showColumnStripes="0" showFirstColumn="1" showLastColumn="1" showRowStripes="1"/>
</table>
</file>

<file path=xl/tables/table11.xml><?xml version="1.0" encoding="utf-8"?>
<table xmlns="http://schemas.openxmlformats.org/spreadsheetml/2006/main" headerRowCount="0" ref="V66:X66" displayName="Table_11" name="Table_11" id="11">
  <tableColumns count="3">
    <tableColumn name="Column1" id="1"/>
    <tableColumn name="Column2" id="2"/>
    <tableColumn name="Column3" id="3"/>
  </tableColumns>
  <tableStyleInfo name="ColorsLED-style 11"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0" Type="http://schemas.openxmlformats.org/officeDocument/2006/relationships/table" Target="../tables/table8.xml"/><Relationship Id="rId22" Type="http://schemas.openxmlformats.org/officeDocument/2006/relationships/table" Target="../tables/table10.xml"/><Relationship Id="rId21" Type="http://schemas.openxmlformats.org/officeDocument/2006/relationships/table" Target="../tables/table9.xml"/><Relationship Id="rId13" Type="http://schemas.openxmlformats.org/officeDocument/2006/relationships/table" Target="../tables/table1.xml"/><Relationship Id="rId23" Type="http://schemas.openxmlformats.org/officeDocument/2006/relationships/table" Target="../tables/table11.xml"/><Relationship Id="rId15" Type="http://schemas.openxmlformats.org/officeDocument/2006/relationships/table" Target="../tables/table3.xml"/><Relationship Id="rId14" Type="http://schemas.openxmlformats.org/officeDocument/2006/relationships/table" Target="../tables/table2.xml"/><Relationship Id="rId17" Type="http://schemas.openxmlformats.org/officeDocument/2006/relationships/table" Target="../tables/table5.xml"/><Relationship Id="rId16" Type="http://schemas.openxmlformats.org/officeDocument/2006/relationships/table" Target="../tables/table4.xml"/><Relationship Id="rId19" Type="http://schemas.openxmlformats.org/officeDocument/2006/relationships/table" Target="../tables/table7.xml"/><Relationship Id="rId18"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27.25"/>
    <col customWidth="1" min="2" max="2" width="28.25"/>
    <col customWidth="1" min="3" max="3" width="11.75"/>
    <col customWidth="1" min="4" max="4" width="9.88"/>
    <col customWidth="1" min="5" max="5" width="6.38"/>
    <col customWidth="1" min="6" max="6" width="50.5"/>
    <col customWidth="1" min="7" max="7" width="33.0"/>
    <col customWidth="1" min="8" max="9" width="31.38"/>
    <col customWidth="1" min="10" max="11" width="28.75"/>
    <col customWidth="1" min="12" max="12" width="51.5"/>
    <col customWidth="1" min="13" max="13" width="72.0"/>
    <col customWidth="1" min="14" max="14" width="86.63"/>
    <col customWidth="1" min="15" max="15" width="99.63"/>
    <col customWidth="1" min="16" max="16" width="93.0"/>
    <col customWidth="1" min="17" max="17" width="100.5"/>
    <col customWidth="1" min="18" max="18" width="100.63"/>
    <col customWidth="1" min="19" max="19" width="50.13"/>
    <col customWidth="1" min="20" max="20" width="102.75"/>
    <col customWidth="1" min="21" max="24" width="50.13"/>
    <col customWidth="1" min="25" max="25" width="29.38"/>
    <col customWidth="1" min="26" max="26" width="37.63"/>
    <col customWidth="1" min="27" max="27" width="12.63"/>
    <col customWidth="1" min="29" max="30" width="34.0"/>
  </cols>
  <sheetData>
    <row r="1">
      <c r="A1" s="1" t="s">
        <v>0</v>
      </c>
      <c r="B1" s="1" t="s">
        <v>1</v>
      </c>
      <c r="C1" s="1" t="s">
        <v>2</v>
      </c>
      <c r="D1" s="2" t="s">
        <v>3</v>
      </c>
      <c r="E1" s="1" t="s">
        <v>4</v>
      </c>
      <c r="F1" s="3" t="s">
        <v>5</v>
      </c>
      <c r="G1" s="1" t="s">
        <v>6</v>
      </c>
      <c r="H1" s="3" t="s">
        <v>7</v>
      </c>
      <c r="I1" s="1" t="s">
        <v>8</v>
      </c>
      <c r="J1" s="1" t="s">
        <v>9</v>
      </c>
      <c r="K1" s="1" t="s">
        <v>10</v>
      </c>
      <c r="L1" s="4" t="s">
        <v>11</v>
      </c>
      <c r="M1" s="5" t="s">
        <v>12</v>
      </c>
      <c r="N1" s="3" t="s">
        <v>13</v>
      </c>
      <c r="O1" s="6" t="s">
        <v>14</v>
      </c>
      <c r="P1" s="3" t="s">
        <v>15</v>
      </c>
      <c r="Q1" s="7" t="s">
        <v>16</v>
      </c>
      <c r="R1" s="3" t="s">
        <v>17</v>
      </c>
      <c r="S1" s="1" t="s">
        <v>18</v>
      </c>
      <c r="T1" s="3" t="s">
        <v>19</v>
      </c>
      <c r="U1" s="7" t="s">
        <v>20</v>
      </c>
      <c r="V1" s="1" t="s">
        <v>21</v>
      </c>
      <c r="W1" s="1" t="s">
        <v>22</v>
      </c>
      <c r="X1" s="8" t="s">
        <v>23</v>
      </c>
      <c r="Y1" s="1" t="s">
        <v>24</v>
      </c>
      <c r="Z1" s="1" t="s">
        <v>25</v>
      </c>
      <c r="AA1" s="1" t="s">
        <v>26</v>
      </c>
      <c r="AB1" s="1" t="s">
        <v>27</v>
      </c>
      <c r="AC1" s="9" t="s">
        <v>28</v>
      </c>
      <c r="AD1" s="10" t="s">
        <v>29</v>
      </c>
    </row>
    <row r="2" ht="37.5" customHeight="1">
      <c r="A2" s="11" t="s">
        <v>30</v>
      </c>
      <c r="B2" s="12" t="s">
        <v>31</v>
      </c>
      <c r="C2" s="12" t="s">
        <v>32</v>
      </c>
      <c r="D2" s="13" t="s">
        <v>33</v>
      </c>
      <c r="E2" s="12" t="s">
        <v>34</v>
      </c>
      <c r="F2" s="13" t="str">
        <f>IFERROR(__xludf.DUMMYFUNCTION("AI(""Give me a paragraph marketing spiel for product in this row, no tech specs just marketing fluff "")"),"Illuminate your architectural visions with the Top Bend IP69, a premium linear lighting solution designed to bring seamless radiance to any space. Engineered for incredible flexibility and breathtaking visual impact, this top-bending neon-style light curv"&amp;"es effortlessly to accentuate contours and create striking design statements. Whether you are transforming a high-end commercial venue or adding sophisticated atmosphere to an outdoor landscape, its pristine, uniform glow delivers an unmatched aesthetic e"&amp;"legance. Built to withstand the elements while maintaining its flawless brilliance, it is the ultimate choice for designers who refuse to compromise on beauty, adaptability, and style.")</f>
        <v>Illuminate your architectural visions with the Top Bend IP69, a premium linear lighting solution designed to bring seamless radiance to any space. Engineered for incredible flexibility and breathtaking visual impact, this top-bending neon-style light curves effortlessly to accentuate contours and create striking design statements. Whether you are transforming a high-end commercial venue or adding sophisticated atmosphere to an outdoor landscape, its pristine, uniform glow delivers an unmatched aesthetic elegance. Built to withstand the elements while maintaining its flawless brilliance, it is the ultimate choice for designers who refuse to compromise on beauty, adaptability, and style.</v>
      </c>
      <c r="G2" s="12" t="s">
        <v>35</v>
      </c>
      <c r="H2" s="13" t="str">
        <f>IFERROR(__xludf.DUMMYFUNCTION("AI(""Give me a paragraph marketing spiel for product in this row, no tech specs just marketing fluff under 180 characters "")"),"Bring seamless radiance to your space with Top Bend IP69, a premium linear light designed to effortlessly curve and accentuate contours with a flawless, uniform glow.")</f>
        <v>Bring seamless radiance to your space with Top Bend IP69, a premium linear light designed to effortlessly curve and accentuate contours with a flawless, uniform glow.</v>
      </c>
      <c r="I2" s="12" t="s">
        <v>36</v>
      </c>
      <c r="J2" s="14"/>
      <c r="K2" s="14"/>
      <c r="L2" s="15" t="s">
        <v>30</v>
      </c>
      <c r="M2" s="15" t="s">
        <v>37</v>
      </c>
      <c r="N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""&amp;M2)"),"Power Consumption Rate | Color Temperature | Voltage | IP Rating | Strip Width | Cut Interval")</f>
        <v>Power Consumption Rate | Color Temperature | Voltage | IP Rating | Strip Width | Cut Interval</v>
      </c>
      <c r="O2" s="17" t="s">
        <v>38</v>
      </c>
      <c r="P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""&amp;O2&amp;"", Values: ""&amp;M2&amp; "" and SKU Code: ""&amp;L2"&amp;")"),"{
""Power Consumption Rate"": ""5W/m"",
""Color Temperature"": ""2700K"",
""Voltage"": ""24V"",
""IP Rating"": ""IP20"",
""Strip Width"": ""8mm (W)"",
""Cut Interval"": ""Free Cut"",
""SKU"": ""COB001""
}")</f>
        <v>{
"Power Consumption Rate": "5W/m",
"Color Temperature": "2700K",
"Voltage": "24V",
"IP Rating": "IP20",
"Strip Width": "8mm (W)",
"Cut Interval": "Free Cut",
"SKU": "COB001"
}</v>
      </c>
      <c r="Q2" s="17" t="s">
        <v>39</v>
      </c>
      <c r="R2"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Q2:Q13)"),"{""Power Consumption Rate"": [""5W/m"", ""10W/m""], ""Color Temperature"": [""2700K"", ""3000K"", ""4000K"", ""6000K""], ""Voltage"": ""24V"", ""IP Rating"": [""IP20"", ""IP65 (Nano-Coated)""], ""Strip Width"": ""8mm (W)"", ""Cut Interval"": ""Free Cut"","&amp;" ""SKU"": [""COB001"", ""COB002"", ""COB003"", ""COB004"", ""COB005"", ""COB006"", ""COB007"", ""COB008"", ""COB009"", ""COB010"", ""COB011"", ""COB012""]}")</f>
        <v>{"Power Consumption Rate": ["5W/m", "10W/m"], "Color Temperature": ["2700K", "3000K", "4000K", "6000K"], "Voltage": "24V", "IP Rating": ["IP20", "IP65 (Nano-Coated)"], "Strip Width": "8mm (W)", "Cut Interval": "Free Cut", "SKU": ["COB001", "COB002", "COB003", "COB004", "COB005", "COB006", "COB007", "COB008", "COB009", "COB010", "COB011", "COB012"]}</v>
      </c>
      <c r="S2" s="18" t="s">
        <v>40</v>
      </c>
      <c r="T2"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Q2:Q25)"),"{ ""Options"": { ""Power Consumption Rate"": [ {""name"": ""5W/m"", ""id"": ""101""}, {""name"": ""10W/m"", ""id"": ""102""}, {""name"": ""15W/m"", ""id"": ""103""} ], ""Color Temperature"": [ {""name"": ""2700K"", ""id"": ""104""}, {""name"": ""3000K"", "&amp;"""id"": ""105""}, {""name"": ""4000K"", ""id"": ""106""}, {""name"": ""6000K"", ""id"": ""107""} ], ""Voltage"": [ {""name"": ""24V"", ""id"": ""108""} ], ""IP Rating"": [ {""name"": ""IP20"", ""id"": ""109""}, {""name"": ""IP65 (Nano-Coated)"", ""id"": "&amp;"""110""} ], ""Strip Width"": [ {""name"": ""8mm (W)"", ""id"": ""111""} ], ""Cut Interval"": [ {""name"": ""Free Cut"", ""id"": ""112""} ] }, ""Constraints"": {}, ""sku_mappings"": [ { ""sku"": ""COB001"", ""combination"": [""101"", ""104"", ""108"", ""10"&amp;"9"", ""111"", ""112""] }, { ""sku"": ""COB002"", ""combination"": [""101"", ""105"", ""108"", ""109"", ""111"", ""112""] }, { ""sku"": ""COB003"", ""combination"": [""101"", ""106"", ""108"", ""109"", ""111"", ""112""] }, { ""sku"": ""COB004"", ""combinat"&amp;"ion"": [""101"", ""107"", ""108"", ""109"", ""111"", ""112""] }, { ""sku"": ""COB005"", ""combination"": [""101"", ""104"", ""108"", ""110"", ""111"", ""112""] }, { ""sku"": ""COB006"", ""combination"": [""101"", ""105"", ""108"", ""110"", ""111"", ""112"&amp;"""] }, { ""sku"": ""COB007"", ""combination"": [""101"", ""106"", ""108"", ""110"", ""111"", ""112""] }, { ""sku"": ""COB008"", ""combination"": [""101"", ""107"", ""108"", ""110"", ""111"", ""112""] }, { ""sku"": ""COB009"", ""combination"": [""102"", """&amp;"104"", ""108"", ""109"", ""111"", ""112""] }, { ""sku"": ""COB010"", ""combination"": [""102"", ""105"", ""108"", ""109"", ""111"", ""112""] }, { ""sku"": ""COB011"", ""combination"": [""102"", ""106"", ""108"", ""109"", ""111"", ""112""] }, { ""sku"": """&amp;"COB012"", ""combination"": [""102"", ""107"", ""108"", ""109"", ""111"", ""112""] }, { ""sku"": ""COB013"", ""combination"": [""102"", ""104"", ""108"", ""110"", ""111"", ""112""] }, { ""sku"": ""COB014"", ""combination"": [""102"", ""105"", ""108"", ""11"&amp;"0"", ""111"", ""112""] }, { ""sku"": ""COB015"", ""combination"": [""102"", ""106"", ""108"", ""110"", ""111"", ""112""] }, { ""sku"": ""COB016"", ""combination"": [""102"", ""107"", ""108"", ""110"", ""111"", ""112""] }, { ""sku"": ""COB017"", ""combinat"&amp;"ion"": [""103"", ""104"", ""108"", ""109"", ""111"", ""112""] }, { ""sku"": ""COB018"", ""combination"": [""103"", ""105"", ""108"", ""109"", ""111"", ""112""] }, { ""sku"": ""COB019"", ""combination"": [""103"", ""106"", ""108"", ""109"", ""111"", ""112"&amp;"""] }, { ""sku"": ""COB020"", ""combination"": [""103"", ""107"", ""108"", ""109"", ""111"", ""112""] }, { ""sku"": ""COB021"", ""combination"": [""103"", ""104"", ""108"", ""110"", ""111"", ""112""] }, { ""sku"": ""COB022"", ""combination"": [""103"", """&amp;"105"", ""108"", ""110"", ""111"", ""112""] }, { ""sku"": ""COB023"", ""combination"": [""103"", ""106"", ""108"", ""110"", ""111"", ""112""] }, { ""sku"": ""COB024"", ""combination"": [""103"", ""107"", ""108"", ""110"", ""111"", ""112""] } ] }")</f>
        <v>{ "Options": { "Power Consumption Rate": [ {"name": "5W/m", "id": "101"}, {"name": "10W/m", "id": "102"}, {"name": "15W/m", "id": "103"} ], "Color Temperature": [ {"name": "2700K", "id": "104"}, {"name": "3000K", "id": "105"}, {"name": "4000K", "id": "106"}, {"name": "6000K", "id": "107"} ], "Voltage": [ {"name": "24V", "id": "108"} ], "IP Rating": [ {"name": "IP20", "id": "109"}, {"name": "IP65 (Nano-Coated)", "id": "110"} ], "Strip Width": [ {"name": "8mm (W)", "id": "111"} ], "Cut Interval": [ {"name": "Free Cut", "id": "112"} ] }, "Constraints": {}, "sku_mappings": [ { "sku": "COB001", "combination": ["101", "104", "108", "109", "111", "112"] }, { "sku": "COB002", "combination": ["101", "105", "108", "109", "111", "112"] }, { "sku": "COB003", "combination": ["101", "106", "108", "109", "111", "112"] }, { "sku": "COB004", "combination": ["101", "107", "108", "109", "111", "112"] }, { "sku": "COB005", "combination": ["101", "104", "108", "110", "111", "112"] }, { "sku": "COB006", "combination": ["101", "105", "108", "110", "111", "112"] }, { "sku": "COB007", "combination": ["101", "106", "108", "110", "111", "112"] }, { "sku": "COB008", "combination": ["101", "107", "108", "110", "111", "112"] }, { "sku": "COB009", "combination": ["102", "104", "108", "109", "111", "112"] }, { "sku": "COB010", "combination": ["102", "105", "108", "109", "111", "112"] }, { "sku": "COB011", "combination": ["102", "106", "108", "109", "111", "112"] }, { "sku": "COB012", "combination": ["102", "107", "108", "109", "111", "112"] }, { "sku": "COB013", "combination": ["102", "104", "108", "110", "111", "112"] }, { "sku": "COB014", "combination": ["102", "105", "108", "110", "111", "112"] }, { "sku": "COB015", "combination": ["102", "106", "108", "110", "111", "112"] }, { "sku": "COB016", "combination": ["102", "107", "108", "110", "111", "112"] }, { "sku": "COB017", "combination": ["103", "104", "108", "109", "111", "112"] }, { "sku": "COB018", "combination": ["103", "105", "108", "109", "111", "112"] }, { "sku": "COB019", "combination": ["103", "106", "108", "109", "111", "112"] }, { "sku": "COB020", "combination": ["103", "107", "108", "109", "111", "112"] }, { "sku": "COB021", "combination": ["103", "104", "108", "110", "111", "112"] }, { "sku": "COB022", "combination": ["103", "105", "108", "110", "111", "112"] }, { "sku": "COB023", "combination": ["103", "106", "108", "110", "111", "112"] }, { "sku": "COB024", "combination": ["103", "107", "108", "110", "111", "112"] } ] }</v>
      </c>
      <c r="U2" s="19" t="s">
        <v>41</v>
      </c>
      <c r="V2" s="20" t="str">
        <f>IFERROR(__xludf.DUMMYFUNCTION("AI(""Extract options object from the json"", U2)"),"{""Power Consumption Rate"": [{""name"": ""5W/m"", ""id"": ""101""}, {""name"": ""10W/m"", ""id"": ""102""}, {""name"": ""15W/m"", ""id"": ""103""}], ""Color Temperature"": [{""name"": ""2700K"", ""id"": ""104""}, {""name"": ""3000K"", ""id"": ""105""}, {"&amp;"""name"": ""4000K"", ""id"": ""106""}, {""name"": ""6000K"", ""id"": ""107""}], ""Voltage"": [{""name"": ""24V"", ""id"": ""108""}], ""IP Rating"": [{""name"": ""IP20"", ""id"": ""109""}, {""name"": ""IP65 (Nano-Coated)"", ""id"": ""110""}], ""Strip Width"&amp;""": [{""name"": ""8mm (W)"", ""id"": ""111""}], ""Cut Interval"": [{""name"": ""Free Cut"", ""id"": ""112""}]}")</f>
        <v>{"Power Consumption Rate": [{"name": "5W/m", "id": "101"}, {"name": "10W/m", "id": "102"}, {"name": "15W/m", "id": "103"}], "Color Temperature": [{"name": "2700K", "id": "104"}, {"name": "3000K", "id": "105"}, {"name": "4000K", "id": "106"}, {"name": "6000K", "id": "107"}], "Voltage": [{"name": "24V", "id": "108"}], "IP Rating": [{"name": "IP20", "id": "109"}, {"name": "IP65 (Nano-Coated)", "id": "110"}], "Strip Width": [{"name": "8mm (W)", "id": "111"}], "Cut Interval": [{"name": "Free Cut", "id": "112"}]}</v>
      </c>
      <c r="W2" s="20" t="str">
        <f>IFERROR(__xludf.DUMMYFUNCTION("AI(""Extract constraints object from the json"", U2)"),"{}")</f>
        <v>{}</v>
      </c>
      <c r="X2" s="20" t="str">
        <f>IFERROR(__xludf.DUMMYFUNCTION("AI(""Extract sku_mappings object from the json"", U2)"),"[{""sku"":""COB001"",""combination"":[""101"",""104"",""108"",""109"",""111"",""112""]},{""sku"":""COB002"",""combination"":[""101"",""105"",""108"",""109"",""111"",""112""]},{""sku"":""COB003"",""combination"":[""101"",""106"",""108"",""109"",""111"",""1"&amp;"12""]},{""sku"":""COB004"",""combination"":[""101"",""107"",""108"",""109"",""111"",""112""]},{""sku"":""COB005"",""combination"":[""101"",""104"",""108"",""110"",""111"",""112""]},{""sku"":""COB006"",""combination"":[""101"",""105"",""108"",""110"",""111"&amp;""",""112""]},{""sku"":""COB007"",""combination"":[""101"",""106"",""108"",""110"",""111"",""112""]},{""sku"":""COB008"",""combination"":[""101"",""107"",""108"",""110"",""111"",""112""]},{""sku"":""COB009"",""combination"":[""102"",""104"",""108"",""109"""&amp;",""111"",""112""]},{""sku"":""COB010"",""combination"":[""102"",""105"",""108"",""109"",""111"",""112""]},{""sku"":""COB011"",""combination"":[""102"",""106"",""108"",""109"",""111"",""112""]},{""sku"":""COB012"",""combination"":[""102"",""107"",""108"","&amp;"""109"",""111"",""112""]},{""sku"":""COB013"",""combination"":[""102"",""104"",""108"",""110"",""111"",""112""]},{""sku"":""COB014"",""combination"":[""102"",""105"",""108"",""110"",""111"",""112""]},{""sku"":""COB015"",""combination"":[""102"",""106"","""&amp;"108"",""110"",""111"",""112""]},{""sku"":""COB016"",""combination"":[""102"",""107"",""108"",""110"",""111"",""112""]},{""sku"":""COB017"",""combination"":[""103"",""104"",""108"",""109"",""111"",""112""]},{""sku"":""COB018"",""combination"":[""103"",""10"&amp;"5"",""108"",""109"",""111"",""112""]},{""sku"":""COB019"",""combination"":[""103"",""106"",""108"",""109"",""111"",""112""]},{""sku"":""COB020"",""combination"":[""103"",""107"",""108"",""109"",""111"",""112""]},{""sku"":""COB021"",""combination"":[""103"&amp;""",""104"",""108"",""110"",""111"",""112""]},{""sku"":""COB022"",""combination"":[""103"",""105"",""108"",""110"",""111"",""112""]},{""sku"":""COB023"",""combination"":[""103"",""106"",""108"",""110"",""111"",""112""]},{""sku"":""COB024"",""combination"":"&amp;"[""103"",""107"",""108"",""110"",""111"",""112""]}]")</f>
        <v>[{"sku":"COB001","combination":["101","104","108","109","111","112"]},{"sku":"COB002","combination":["101","105","108","109","111","112"]},{"sku":"COB003","combination":["101","106","108","109","111","112"]},{"sku":"COB004","combination":["101","107","108","109","111","112"]},{"sku":"COB005","combination":["101","104","108","110","111","112"]},{"sku":"COB006","combination":["101","105","108","110","111","112"]},{"sku":"COB007","combination":["101","106","108","110","111","112"]},{"sku":"COB008","combination":["101","107","108","110","111","112"]},{"sku":"COB009","combination":["102","104","108","109","111","112"]},{"sku":"COB010","combination":["102","105","108","109","111","112"]},{"sku":"COB011","combination":["102","106","108","109","111","112"]},{"sku":"COB012","combination":["102","107","108","109","111","112"]},{"sku":"COB013","combination":["102","104","108","110","111","112"]},{"sku":"COB014","combination":["102","105","108","110","111","112"]},{"sku":"COB015","combination":["102","106","108","110","111","112"]},{"sku":"COB016","combination":["102","107","108","110","111","112"]},{"sku":"COB017","combination":["103","104","108","109","111","112"]},{"sku":"COB018","combination":["103","105","108","109","111","112"]},{"sku":"COB019","combination":["103","106","108","109","111","112"]},{"sku":"COB020","combination":["103","107","108","109","111","112"]},{"sku":"COB021","combination":["103","104","108","110","111","112"]},{"sku":"COB022","combination":["103","105","108","110","111","112"]},{"sku":"COB023","combination":["103","106","108","110","111","112"]},{"sku":"COB024","combination":["103","107","108","110","111","112"]}]</v>
      </c>
      <c r="Y2" s="21" t="s">
        <v>42</v>
      </c>
      <c r="Z2" s="21" t="s">
        <v>43</v>
      </c>
      <c r="AA2" s="22" t="s">
        <v>44</v>
      </c>
      <c r="AB2" s="23"/>
      <c r="AC2" s="23" t="str">
        <f>IFERROR(__xludf.DUMMYFUNCTION("AI(""Generate 6 powerful unique keywords for the product in this row"")"),"Top Bend IP69, Premium Linear Lighting, Flexible Neon LED, Architectural Contour Light, Uniform Glow Strip, Waterproof Decorative Light")</f>
        <v>Top Bend IP69, Premium Linear Lighting, Flexible Neon LED, Architectural Contour Light, Uniform Glow Strip, Waterproof Decorative Light</v>
      </c>
      <c r="AD2" s="23" t="s">
        <v>45</v>
      </c>
    </row>
    <row r="3" ht="37.5" customHeight="1">
      <c r="A3" s="11"/>
      <c r="B3" s="23"/>
      <c r="C3" s="23"/>
      <c r="D3" s="24"/>
      <c r="E3" s="23"/>
      <c r="F3" s="23"/>
      <c r="G3" s="23"/>
      <c r="H3" s="23"/>
      <c r="I3" s="23"/>
      <c r="J3" s="23"/>
      <c r="K3" s="23"/>
      <c r="L3" s="15" t="s">
        <v>46</v>
      </c>
      <c r="M3" s="15" t="s">
        <v>47</v>
      </c>
      <c r="N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""&amp;M3)"),"Power Consumption Rate | Color Temperature | Voltage | IP Rating | Strip Width | Cut Interval")</f>
        <v>Power Consumption Rate | Color Temperature | Voltage | IP Rating | Strip Width | Cut Interval</v>
      </c>
      <c r="O3" s="25" t="s">
        <v>38</v>
      </c>
      <c r="P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""&amp;O3&amp;"", Values: ""&amp;M3&amp; "" and SKU Code: ""&amp;L3"&amp;")"),"{ ""Power Consumption Rate"": ""5W/m"", ""Color Temperature"": ""3000K"", ""Voltage"": ""24V"", ""IP Rating"": ""IP20"", ""Strip Width"": ""8mm (W)"", ""Cut Interval"": ""Free Cut"", ""SKU"": ""COB002"" }")</f>
        <v>{ "Power Consumption Rate": "5W/m", "Color Temperature": "3000K", "Voltage": "24V", "IP Rating": "IP20", "Strip Width": "8mm (W)", "Cut Interval": "Free Cut", "SKU": "COB002" }</v>
      </c>
      <c r="Q3" s="25" t="s">
        <v>48</v>
      </c>
      <c r="R3" s="23"/>
      <c r="S3" s="23"/>
      <c r="T3" s="23"/>
      <c r="U3" s="23"/>
      <c r="V3" s="23"/>
      <c r="W3" s="23"/>
      <c r="X3" s="23"/>
      <c r="Y3" s="11" t="s">
        <v>42</v>
      </c>
      <c r="Z3" s="11" t="s">
        <v>43</v>
      </c>
      <c r="AA3" s="11" t="s">
        <v>44</v>
      </c>
      <c r="AB3" s="23"/>
      <c r="AC3" s="23"/>
      <c r="AD3" s="23"/>
    </row>
    <row r="4" ht="37.5" customHeight="1">
      <c r="A4" s="11"/>
      <c r="B4" s="23"/>
      <c r="C4" s="23"/>
      <c r="D4" s="24"/>
      <c r="E4" s="23"/>
      <c r="F4" s="23"/>
      <c r="G4" s="23"/>
      <c r="H4" s="23"/>
      <c r="I4" s="23"/>
      <c r="J4" s="23"/>
      <c r="K4" s="23"/>
      <c r="L4" s="15" t="s">
        <v>49</v>
      </c>
      <c r="M4" s="15" t="s">
        <v>50</v>
      </c>
      <c r="N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""&amp;M4)"),"Power Consumption Rate | Color Temperature | Voltage | IP Rating | Strip Width | Cut Interval")</f>
        <v>Power Consumption Rate | Color Temperature | Voltage | IP Rating | Strip Width | Cut Interval</v>
      </c>
      <c r="O4" s="25" t="s">
        <v>38</v>
      </c>
      <c r="P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""&amp;O4&amp;"", Values: ""&amp;M4&amp; "" and SKU Code: ""&amp;L4"&amp;")"),"{ ""Power Consumption Rate"": ""5W/m"", ""Color Temperature"": ""4000K"", ""Voltage"": ""24V"", ""IP Rating"": ""IP20"", ""Strip Width"": ""8mm (W)"", ""Cut Interval"": ""Free Cut"", ""SKU"": ""COB003"" }")</f>
        <v>{ "Power Consumption Rate": "5W/m", "Color Temperature": "4000K", "Voltage": "24V", "IP Rating": "IP20", "Strip Width": "8mm (W)", "Cut Interval": "Free Cut", "SKU": "COB003" }</v>
      </c>
      <c r="Q4" s="25" t="s">
        <v>51</v>
      </c>
      <c r="R4" s="23"/>
      <c r="S4" s="23"/>
      <c r="T4" s="23"/>
      <c r="U4" s="23"/>
      <c r="V4" s="23"/>
      <c r="W4" s="23"/>
      <c r="X4" s="23"/>
      <c r="Y4" s="11" t="s">
        <v>42</v>
      </c>
      <c r="Z4" s="11" t="s">
        <v>43</v>
      </c>
      <c r="AA4" s="11" t="s">
        <v>44</v>
      </c>
      <c r="AB4" s="23"/>
      <c r="AC4" s="23"/>
      <c r="AD4" s="23"/>
    </row>
    <row r="5" ht="37.5" customHeight="1">
      <c r="A5" s="11"/>
      <c r="B5" s="23"/>
      <c r="C5" s="23"/>
      <c r="D5" s="24"/>
      <c r="E5" s="23"/>
      <c r="F5" s="23"/>
      <c r="G5" s="23"/>
      <c r="H5" s="23"/>
      <c r="I5" s="23"/>
      <c r="J5" s="23"/>
      <c r="K5" s="23"/>
      <c r="L5" s="15" t="s">
        <v>52</v>
      </c>
      <c r="M5" s="15" t="s">
        <v>53</v>
      </c>
      <c r="N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""&amp;M5)"),"Power Consumption Rate | Color Temperature | Voltage | IP Rating | Strip Width | Cut Interval")</f>
        <v>Power Consumption Rate | Color Temperature | Voltage | IP Rating | Strip Width | Cut Interval</v>
      </c>
      <c r="O5" s="25" t="s">
        <v>38</v>
      </c>
      <c r="P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""&amp;O5&amp;"", Values: ""&amp;M5&amp; "" and SKU Code: ""&amp;L5"&amp;")"),"{ ""Power Consumption Rate"": ""5W/m"", ""Color Temperature"": ""6000K"", ""Voltage"": ""24V"", ""IP Rating"": ""IP20"", ""Strip Width"": ""8mm (W)"", ""Cut Interval"": ""Free Cut"", ""SKU"": ""COB004"" }")</f>
        <v>{ "Power Consumption Rate": "5W/m", "Color Temperature": "6000K", "Voltage": "24V", "IP Rating": "IP20", "Strip Width": "8mm (W)", "Cut Interval": "Free Cut", "SKU": "COB004" }</v>
      </c>
      <c r="Q5" s="25" t="s">
        <v>54</v>
      </c>
      <c r="R5" s="23"/>
      <c r="S5" s="23"/>
      <c r="T5" s="23"/>
      <c r="U5" s="23"/>
      <c r="V5" s="23"/>
      <c r="W5" s="23"/>
      <c r="X5" s="23"/>
      <c r="Y5" s="11" t="s">
        <v>42</v>
      </c>
      <c r="Z5" s="11" t="s">
        <v>43</v>
      </c>
      <c r="AA5" s="11" t="s">
        <v>44</v>
      </c>
      <c r="AB5" s="23"/>
      <c r="AC5" s="23"/>
      <c r="AD5" s="23"/>
    </row>
    <row r="6" ht="37.5" customHeight="1">
      <c r="A6" s="11"/>
      <c r="B6" s="23"/>
      <c r="C6" s="23"/>
      <c r="D6" s="24"/>
      <c r="E6" s="23"/>
      <c r="F6" s="23"/>
      <c r="G6" s="23"/>
      <c r="H6" s="23"/>
      <c r="I6" s="23"/>
      <c r="J6" s="23"/>
      <c r="K6" s="23"/>
      <c r="L6" s="15" t="s">
        <v>55</v>
      </c>
      <c r="M6" s="15" t="s">
        <v>56</v>
      </c>
      <c r="N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""&amp;M6)"),"Power Consumption Rate | Color Temperature | Voltage | IP Rating | Strip Width | Cut Interval")</f>
        <v>Power Consumption Rate | Color Temperature | Voltage | IP Rating | Strip Width | Cut Interval</v>
      </c>
      <c r="O6" s="25" t="s">
        <v>38</v>
      </c>
      <c r="P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""&amp;O6&amp;"", Values: ""&amp;M6&amp; "" and SKU Code: ""&amp;L6"&amp;")"),"{
""Power Consumption Rate"": ""5W/m"",
""Color Temperature"": ""2700K"",
""Voltage"": ""24V"",
""IP Rating"": ""IP65 (Nano-Coated)"",
""Strip Width"": ""8mm (W)"",
""Cut Interval"": ""Free Cut"",
""SKU"": ""COB005""
}")</f>
        <v>{
"Power Consumption Rate": "5W/m",
"Color Temperature": "2700K",
"Voltage": "24V",
"IP Rating": "IP65 (Nano-Coated)",
"Strip Width": "8mm (W)",
"Cut Interval": "Free Cut",
"SKU": "COB005"
}</v>
      </c>
      <c r="Q6" s="25" t="s">
        <v>57</v>
      </c>
      <c r="R6" s="23"/>
      <c r="S6" s="23"/>
      <c r="T6" s="23"/>
      <c r="U6" s="23"/>
      <c r="V6" s="23"/>
      <c r="W6" s="23"/>
      <c r="X6" s="23"/>
      <c r="Y6" s="11" t="s">
        <v>42</v>
      </c>
      <c r="Z6" s="11" t="s">
        <v>43</v>
      </c>
      <c r="AA6" s="11" t="s">
        <v>44</v>
      </c>
      <c r="AB6" s="23"/>
      <c r="AC6" s="23"/>
      <c r="AD6" s="23"/>
    </row>
    <row r="7" ht="37.5" customHeight="1">
      <c r="A7" s="11"/>
      <c r="B7" s="23"/>
      <c r="C7" s="23"/>
      <c r="D7" s="24"/>
      <c r="E7" s="23"/>
      <c r="F7" s="23"/>
      <c r="G7" s="23"/>
      <c r="H7" s="23"/>
      <c r="I7" s="23"/>
      <c r="J7" s="23"/>
      <c r="K7" s="23"/>
      <c r="L7" s="15" t="s">
        <v>58</v>
      </c>
      <c r="M7" s="15" t="s">
        <v>59</v>
      </c>
      <c r="N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""&amp;M7)"),"Power Consumption Rate | Color Temperature | Voltage | IP Rating | Strip Width | Cut Interval")</f>
        <v>Power Consumption Rate | Color Temperature | Voltage | IP Rating | Strip Width | Cut Interval</v>
      </c>
      <c r="O7" s="25" t="s">
        <v>38</v>
      </c>
      <c r="P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""&amp;O7&amp;"", Values: ""&amp;M7&amp; "" and SKU Code: ""&amp;L7"&amp;")"),"{
""Power Consumption Rate"": ""5W/m"",
""Color Temperature"": ""3000K"",
""Voltage"": ""24V"",
""IP Rating"": ""IP65 (Nano-Coated)"",
""Strip Width"": ""8mm (W)"",
""Cut Interval"": ""Free Cut"",
""SKU"": ""COB006""
}")</f>
        <v>{
"Power Consumption Rate": "5W/m",
"Color Temperature": "3000K",
"Voltage": "24V",
"IP Rating": "IP65 (Nano-Coated)",
"Strip Width": "8mm (W)",
"Cut Interval": "Free Cut",
"SKU": "COB006"
}</v>
      </c>
      <c r="Q7" s="25" t="s">
        <v>60</v>
      </c>
      <c r="R7" s="23"/>
      <c r="S7" s="23"/>
      <c r="T7" s="23"/>
      <c r="U7" s="23"/>
      <c r="V7" s="23"/>
      <c r="W7" s="23"/>
      <c r="X7" s="23"/>
      <c r="Y7" s="11" t="s">
        <v>42</v>
      </c>
      <c r="Z7" s="11" t="s">
        <v>43</v>
      </c>
      <c r="AA7" s="11" t="s">
        <v>44</v>
      </c>
      <c r="AB7" s="23"/>
      <c r="AC7" s="23"/>
      <c r="AD7" s="23"/>
    </row>
    <row r="8" ht="37.5" customHeight="1">
      <c r="A8" s="11"/>
      <c r="B8" s="23"/>
      <c r="C8" s="23"/>
      <c r="D8" s="24"/>
      <c r="E8" s="23"/>
      <c r="F8" s="23"/>
      <c r="G8" s="23"/>
      <c r="H8" s="23"/>
      <c r="I8" s="23"/>
      <c r="J8" s="23"/>
      <c r="K8" s="23"/>
      <c r="L8" s="15" t="s">
        <v>61</v>
      </c>
      <c r="M8" s="15" t="s">
        <v>62</v>
      </c>
      <c r="N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""&amp;M8)"),"Power Consumption Rate | Color Temperature | Voltage | IP Rating | Strip Width | Cut Interval")</f>
        <v>Power Consumption Rate | Color Temperature | Voltage | IP Rating | Strip Width | Cut Interval</v>
      </c>
      <c r="O8" s="25" t="s">
        <v>38</v>
      </c>
      <c r="P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""&amp;O8&amp;"", Values: ""&amp;M8&amp; "" and SKU Code: ""&amp;L8"&amp;")"),"{
""Power Consumption Rate"": ""5W/m"",
""Color Temperature"": ""4000K"",
""Voltage"": ""24V"",
""IP Rating"": ""IP65 (Nano-Coated)"",
""Strip Width"": ""8mm (W)"",
""Cut Interval"": ""Free Cut"",
""SKU"": ""COB007""
}")</f>
        <v>{
"Power Consumption Rate": "5W/m",
"Color Temperature": "4000K",
"Voltage": "24V",
"IP Rating": "IP65 (Nano-Coated)",
"Strip Width": "8mm (W)",
"Cut Interval": "Free Cut",
"SKU": "COB007"
}</v>
      </c>
      <c r="Q8" s="25" t="s">
        <v>63</v>
      </c>
      <c r="R8" s="23"/>
      <c r="S8" s="23"/>
      <c r="T8" s="23"/>
      <c r="U8" s="23"/>
      <c r="V8" s="23"/>
      <c r="W8" s="23"/>
      <c r="X8" s="23"/>
      <c r="Y8" s="11" t="s">
        <v>42</v>
      </c>
      <c r="Z8" s="11" t="s">
        <v>43</v>
      </c>
      <c r="AA8" s="11" t="s">
        <v>44</v>
      </c>
      <c r="AB8" s="23"/>
      <c r="AC8" s="23"/>
      <c r="AD8" s="23"/>
    </row>
    <row r="9" ht="37.5" customHeight="1">
      <c r="A9" s="11"/>
      <c r="B9" s="23"/>
      <c r="C9" s="23"/>
      <c r="D9" s="24"/>
      <c r="E9" s="23"/>
      <c r="F9" s="23"/>
      <c r="G9" s="23"/>
      <c r="H9" s="23"/>
      <c r="I9" s="23"/>
      <c r="J9" s="23"/>
      <c r="K9" s="23"/>
      <c r="L9" s="15" t="s">
        <v>64</v>
      </c>
      <c r="M9" s="15" t="s">
        <v>65</v>
      </c>
      <c r="N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""&amp;M9)"),"Power Consumption Rate | Color Temperature | Voltage | IP Rating | Strip Width | Cut Interval")</f>
        <v>Power Consumption Rate | Color Temperature | Voltage | IP Rating | Strip Width | Cut Interval</v>
      </c>
      <c r="O9" s="25" t="s">
        <v>38</v>
      </c>
      <c r="P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""&amp;O9&amp;"", Values: ""&amp;M9&amp; "" and SKU Code: ""&amp;L9"&amp;")"),"{
""Power Consumption Rate"": ""5W/m"",
""Color Temperature"": ""6000K"",
""Voltage"": ""24V"",
""IP Rating"": ""IP65 (Nano-Coated)"",
""Strip Width"": ""8mm (W)"",
""Cut Interval"": ""Free Cut"",
""SKU"": ""COB008""
}")</f>
        <v>{
"Power Consumption Rate": "5W/m",
"Color Temperature": "6000K",
"Voltage": "24V",
"IP Rating": "IP65 (Nano-Coated)",
"Strip Width": "8mm (W)",
"Cut Interval": "Free Cut",
"SKU": "COB008"
}</v>
      </c>
      <c r="Q9" s="25" t="s">
        <v>66</v>
      </c>
      <c r="R9" s="23"/>
      <c r="S9" s="23"/>
      <c r="T9" s="23"/>
      <c r="U9" s="23"/>
      <c r="V9" s="23"/>
      <c r="W9" s="23"/>
      <c r="X9" s="23"/>
      <c r="Y9" s="11" t="s">
        <v>42</v>
      </c>
      <c r="Z9" s="11" t="s">
        <v>43</v>
      </c>
      <c r="AA9" s="11" t="s">
        <v>44</v>
      </c>
      <c r="AB9" s="23"/>
      <c r="AC9" s="23"/>
      <c r="AD9" s="23"/>
    </row>
    <row r="10" ht="37.5" customHeight="1">
      <c r="A10" s="11"/>
      <c r="B10" s="23"/>
      <c r="C10" s="23"/>
      <c r="D10" s="24"/>
      <c r="E10" s="23"/>
      <c r="F10" s="23"/>
      <c r="G10" s="23"/>
      <c r="H10" s="23"/>
      <c r="I10" s="23"/>
      <c r="J10" s="23"/>
      <c r="K10" s="23"/>
      <c r="L10" s="15" t="s">
        <v>67</v>
      </c>
      <c r="M10" s="15" t="s">
        <v>68</v>
      </c>
      <c r="N1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""&amp;M10)"),"Power Consumption Rate | Color Temperature | Voltage | IP Rating | Strip Width | Cut Interval")</f>
        <v>Power Consumption Rate | Color Temperature | Voltage | IP Rating | Strip Width | Cut Interval</v>
      </c>
      <c r="O10" s="25" t="s">
        <v>38</v>
      </c>
      <c r="P1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""&amp;O10&amp;"", Values: ""&amp;M10&amp; "" and SKU Code: ""&amp;"&amp;"L10)"),"{ ""Power Consumption Rate"": ""10W/m"", ""Color Temperature"": ""2700K"", ""Voltage"": ""24V"", ""IP Rating"": ""IP20"", ""Strip Width"": ""8mm (W)"", ""Cut Interval"": ""Free Cut"", ""SKU"": ""COB009"" }")</f>
        <v>{ "Power Consumption Rate": "10W/m", "Color Temperature": "2700K", "Voltage": "24V", "IP Rating": "IP20", "Strip Width": "8mm (W)", "Cut Interval": "Free Cut", "SKU": "COB009" }</v>
      </c>
      <c r="Q10" s="25" t="s">
        <v>69</v>
      </c>
      <c r="R10" s="23"/>
      <c r="S10" s="23"/>
      <c r="T10" s="23"/>
      <c r="U10" s="23"/>
      <c r="V10" s="23"/>
      <c r="W10" s="23"/>
      <c r="X10" s="23"/>
      <c r="Y10" s="11" t="s">
        <v>42</v>
      </c>
      <c r="Z10" s="11" t="s">
        <v>70</v>
      </c>
      <c r="AA10" s="11" t="s">
        <v>71</v>
      </c>
      <c r="AB10" s="23"/>
      <c r="AC10" s="23"/>
      <c r="AD10" s="23"/>
    </row>
    <row r="11" ht="37.5" customHeight="1">
      <c r="A11" s="11"/>
      <c r="B11" s="23"/>
      <c r="C11" s="23"/>
      <c r="D11" s="24"/>
      <c r="E11" s="23"/>
      <c r="F11" s="23"/>
      <c r="G11" s="23"/>
      <c r="H11" s="23"/>
      <c r="I11" s="23"/>
      <c r="J11" s="23"/>
      <c r="K11" s="23"/>
      <c r="L11" s="15" t="s">
        <v>72</v>
      </c>
      <c r="M11" s="15" t="s">
        <v>73</v>
      </c>
      <c r="N1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""&amp;M11)"),"Power Consumption Rate | Color Temperature | Voltage | IP Rating | Strip Width | Cut Interval")</f>
        <v>Power Consumption Rate | Color Temperature | Voltage | IP Rating | Strip Width | Cut Interval</v>
      </c>
      <c r="O11" s="25" t="s">
        <v>38</v>
      </c>
      <c r="P1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""&amp;O11&amp;"", Values: ""&amp;M11&amp; "" and SKU Code: ""&amp;"&amp;"L11)"),"{ ""Power Consumption Rate"": ""10W/m"", ""Color Temperature"": ""3000K"", ""Voltage"": ""24V"", ""IP Rating"": ""IP20"", ""Strip Width"": ""8mm (W)"", ""Cut Interval"": ""Free Cut"", ""SKU"": ""COB010"" }")</f>
        <v>{ "Power Consumption Rate": "10W/m", "Color Temperature": "3000K", "Voltage": "24V", "IP Rating": "IP20", "Strip Width": "8mm (W)", "Cut Interval": "Free Cut", "SKU": "COB010" }</v>
      </c>
      <c r="Q11" s="25" t="s">
        <v>74</v>
      </c>
      <c r="R11" s="23"/>
      <c r="S11" s="23"/>
      <c r="T11" s="23"/>
      <c r="U11" s="23"/>
      <c r="V11" s="23"/>
      <c r="W11" s="23"/>
      <c r="X11" s="23"/>
      <c r="Y11" s="11" t="s">
        <v>42</v>
      </c>
      <c r="Z11" s="11" t="s">
        <v>70</v>
      </c>
      <c r="AA11" s="11" t="s">
        <v>71</v>
      </c>
      <c r="AB11" s="23"/>
      <c r="AC11" s="23"/>
      <c r="AD11" s="23"/>
    </row>
    <row r="12" ht="37.5" customHeight="1">
      <c r="A12" s="11"/>
      <c r="B12" s="23"/>
      <c r="C12" s="23"/>
      <c r="D12" s="24"/>
      <c r="E12" s="23"/>
      <c r="F12" s="23"/>
      <c r="G12" s="23"/>
      <c r="H12" s="23"/>
      <c r="I12" s="23"/>
      <c r="J12" s="23"/>
      <c r="K12" s="23"/>
      <c r="L12" s="15" t="s">
        <v>75</v>
      </c>
      <c r="M12" s="15" t="s">
        <v>76</v>
      </c>
      <c r="N1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""&amp;M12)"),"Power Consumption Rate | Color Temperature | Voltage | IP Rating | Strip Width | Cut Interval")</f>
        <v>Power Consumption Rate | Color Temperature | Voltage | IP Rating | Strip Width | Cut Interval</v>
      </c>
      <c r="O12" s="25" t="s">
        <v>38</v>
      </c>
      <c r="P1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""&amp;O12&amp;"", Values: ""&amp;M12&amp; "" and SKU Code: ""&amp;"&amp;"L12)"),"{
""Power Consumption Rate"": ""10W/m"",
""Color Temperature"": ""4000K"",
""Voltage"": ""24V"",
""IP Rating"": ""IP20"",
""Strip Width"": ""8mm (W)"",
""Cut Interval"": ""Free Cut"",
""SKU"": ""COB011""
}")</f>
        <v>{
"Power Consumption Rate": "10W/m",
"Color Temperature": "4000K",
"Voltage": "24V",
"IP Rating": "IP20",
"Strip Width": "8mm (W)",
"Cut Interval": "Free Cut",
"SKU": "COB011"
}</v>
      </c>
      <c r="Q12" s="25" t="s">
        <v>77</v>
      </c>
      <c r="R12" s="23"/>
      <c r="S12" s="23"/>
      <c r="T12" s="23"/>
      <c r="U12" s="23"/>
      <c r="V12" s="23"/>
      <c r="W12" s="23"/>
      <c r="X12" s="23"/>
      <c r="Y12" s="11" t="s">
        <v>42</v>
      </c>
      <c r="Z12" s="11" t="s">
        <v>70</v>
      </c>
      <c r="AA12" s="11" t="s">
        <v>71</v>
      </c>
      <c r="AB12" s="23"/>
      <c r="AC12" s="23"/>
      <c r="AD12" s="23"/>
    </row>
    <row r="13" ht="37.5" customHeight="1">
      <c r="A13" s="11"/>
      <c r="B13" s="23"/>
      <c r="C13" s="23"/>
      <c r="D13" s="24"/>
      <c r="E13" s="23"/>
      <c r="F13" s="23"/>
      <c r="G13" s="23"/>
      <c r="H13" s="23"/>
      <c r="I13" s="23"/>
      <c r="J13" s="23"/>
      <c r="K13" s="23"/>
      <c r="L13" s="15" t="s">
        <v>78</v>
      </c>
      <c r="M13" s="15" t="s">
        <v>79</v>
      </c>
      <c r="N1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""&amp;M13)"),"Power Consumption Rate | Color Temperature | Voltage | IP Rating | Strip Width | Cut Interval")</f>
        <v>Power Consumption Rate | Color Temperature | Voltage | IP Rating | Strip Width | Cut Interval</v>
      </c>
      <c r="O13" s="25" t="s">
        <v>38</v>
      </c>
      <c r="P1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""&amp;O13&amp;"", Values: ""&amp;M13&amp; "" and SKU Code: ""&amp;"&amp;"L13)"),"{
""Power Consumption Rate"": ""10W/m"",
""Color Temperature"": ""6000K"",
""Voltage"": ""24V"",
""IP Rating"": ""IP20"",
""Strip Width"": ""8mm (W)"",
""Cut Interval"": ""Free Cut"",
""SKU"": ""COB012""
}")</f>
        <v>{
"Power Consumption Rate": "10W/m",
"Color Temperature": "6000K",
"Voltage": "24V",
"IP Rating": "IP20",
"Strip Width": "8mm (W)",
"Cut Interval": "Free Cut",
"SKU": "COB012"
}</v>
      </c>
      <c r="Q13" s="25" t="s">
        <v>80</v>
      </c>
      <c r="R13" s="23"/>
      <c r="S13" s="23"/>
      <c r="T13" s="23"/>
      <c r="U13" s="23"/>
      <c r="V13" s="23"/>
      <c r="W13" s="23"/>
      <c r="X13" s="23"/>
      <c r="Y13" s="11" t="s">
        <v>42</v>
      </c>
      <c r="Z13" s="11" t="s">
        <v>70</v>
      </c>
      <c r="AA13" s="11" t="s">
        <v>71</v>
      </c>
      <c r="AB13" s="23"/>
      <c r="AC13" s="23"/>
      <c r="AD13" s="23"/>
    </row>
    <row r="14" ht="37.5" customHeight="1">
      <c r="A14" s="11"/>
      <c r="B14" s="23"/>
      <c r="C14" s="23"/>
      <c r="D14" s="24"/>
      <c r="E14" s="23"/>
      <c r="F14" s="23"/>
      <c r="G14" s="23"/>
      <c r="H14" s="23"/>
      <c r="I14" s="23"/>
      <c r="J14" s="23"/>
      <c r="K14" s="23"/>
      <c r="L14" s="15" t="s">
        <v>81</v>
      </c>
      <c r="M14" s="15" t="s">
        <v>82</v>
      </c>
      <c r="N1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""&amp;M14)"),"Power Consumption Rate | Color Temperature | Voltage | IP Rating | Strip Width | Cut Interval")</f>
        <v>Power Consumption Rate | Color Temperature | Voltage | IP Rating | Strip Width | Cut Interval</v>
      </c>
      <c r="O14" s="25" t="s">
        <v>38</v>
      </c>
      <c r="P1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""&amp;O14&amp;"", Values: ""&amp;M14&amp; "" and SKU Code: ""&amp;"&amp;"L14)"),"{
""Power Consumption Rate"": ""10W/m"",
""Color Temperature"": ""2700K"",
""Voltage"": ""24V"",
""IP Rating"": ""IP65 (Nano-Coated)"",
""Strip Width"": ""8mm (W)"",
""Cut Interval"": ""Free Cut"",
""SKU"": ""COB013""
}")</f>
        <v>{
"Power Consumption Rate": "10W/m",
"Color Temperature": "2700K",
"Voltage": "24V",
"IP Rating": "IP65 (Nano-Coated)",
"Strip Width": "8mm (W)",
"Cut Interval": "Free Cut",
"SKU": "COB013"
}</v>
      </c>
      <c r="Q14" s="25" t="s">
        <v>83</v>
      </c>
      <c r="R14" s="23"/>
      <c r="S14" s="23"/>
      <c r="T14" s="23"/>
      <c r="U14" s="23"/>
      <c r="V14" s="23"/>
      <c r="W14" s="23"/>
      <c r="X14" s="23"/>
      <c r="Y14" s="11" t="s">
        <v>42</v>
      </c>
      <c r="Z14" s="11" t="s">
        <v>70</v>
      </c>
      <c r="AA14" s="11" t="s">
        <v>71</v>
      </c>
      <c r="AB14" s="23"/>
      <c r="AC14" s="23"/>
      <c r="AD14" s="23"/>
    </row>
    <row r="15" ht="37.5" customHeight="1">
      <c r="A15" s="11"/>
      <c r="B15" s="23"/>
      <c r="C15" s="23"/>
      <c r="D15" s="24"/>
      <c r="E15" s="23"/>
      <c r="F15" s="23"/>
      <c r="G15" s="23"/>
      <c r="H15" s="23"/>
      <c r="I15" s="23"/>
      <c r="J15" s="23"/>
      <c r="K15" s="23"/>
      <c r="L15" s="15" t="s">
        <v>84</v>
      </c>
      <c r="M15" s="15" t="s">
        <v>85</v>
      </c>
      <c r="N1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""&amp;M15)"),"Power Consumption Rate | Color Temperature | Voltage | IP Rating | Strip Width | Cut Interval")</f>
        <v>Power Consumption Rate | Color Temperature | Voltage | IP Rating | Strip Width | Cut Interval</v>
      </c>
      <c r="O15" s="25" t="s">
        <v>38</v>
      </c>
      <c r="P1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""&amp;O15&amp;"", Values: ""&amp;M15&amp; "" and SKU Code: ""&amp;"&amp;"L15)"),"{ ""Power Consumption Rate"": ""10W/m"", ""Color Temperature"": ""3000K"", ""Voltage"": ""24V"", ""IP Rating"": ""IP65 (Nano-Coated)"", ""Strip Width"": ""8mm (W)"", ""Cut Interval"": ""Free Cut"", ""SKU"": ""COB014"" }")</f>
        <v>{ "Power Consumption Rate": "10W/m", "Color Temperature": "3000K", "Voltage": "24V", "IP Rating": "IP65 (Nano-Coated)", "Strip Width": "8mm (W)", "Cut Interval": "Free Cut", "SKU": "COB014" }</v>
      </c>
      <c r="Q15" s="25" t="s">
        <v>86</v>
      </c>
      <c r="R15" s="23"/>
      <c r="S15" s="23"/>
      <c r="T15" s="23"/>
      <c r="U15" s="23"/>
      <c r="V15" s="23"/>
      <c r="W15" s="23"/>
      <c r="X15" s="23"/>
      <c r="Y15" s="11" t="s">
        <v>42</v>
      </c>
      <c r="Z15" s="11" t="s">
        <v>70</v>
      </c>
      <c r="AA15" s="11" t="s">
        <v>71</v>
      </c>
      <c r="AB15" s="23"/>
      <c r="AC15" s="23"/>
      <c r="AD15" s="23"/>
    </row>
    <row r="16" ht="37.5" customHeight="1">
      <c r="A16" s="11"/>
      <c r="B16" s="23"/>
      <c r="C16" s="23"/>
      <c r="D16" s="24"/>
      <c r="E16" s="23"/>
      <c r="F16" s="23"/>
      <c r="G16" s="23"/>
      <c r="H16" s="23"/>
      <c r="I16" s="23"/>
      <c r="J16" s="23"/>
      <c r="K16" s="23"/>
      <c r="L16" s="15" t="s">
        <v>87</v>
      </c>
      <c r="M16" s="15" t="s">
        <v>88</v>
      </c>
      <c r="N1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""&amp;M16)"),"Power Consumption Rate | Color Temperature | Voltage | IP Rating | Strip Width | Cut Interval")</f>
        <v>Power Consumption Rate | Color Temperature | Voltage | IP Rating | Strip Width | Cut Interval</v>
      </c>
      <c r="O16" s="25" t="s">
        <v>38</v>
      </c>
      <c r="P1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""&amp;O16&amp;"", Values: ""&amp;M16&amp; "" and SKU Code: ""&amp;"&amp;"L16)"),"{
""Power Consumption Rate"": ""10W/m"",
""Color Temperature"": ""4000K"",
""Voltage"": ""24V"",
""IP Rating"": ""IP65 (Nano-Coated)"",
""Strip Width"": ""8mm (W)"",
""Cut Interval"": ""Free Cut"",
""SKU"": ""COB015""
}")</f>
        <v>{
"Power Consumption Rate": "10W/m",
"Color Temperature": "4000K",
"Voltage": "24V",
"IP Rating": "IP65 (Nano-Coated)",
"Strip Width": "8mm (W)",
"Cut Interval": "Free Cut",
"SKU": "COB015"
}</v>
      </c>
      <c r="Q16" s="25" t="s">
        <v>89</v>
      </c>
      <c r="R16" s="23"/>
      <c r="S16" s="23"/>
      <c r="T16" s="23"/>
      <c r="U16" s="23"/>
      <c r="V16" s="23"/>
      <c r="W16" s="23"/>
      <c r="X16" s="23"/>
      <c r="Y16" s="11" t="s">
        <v>42</v>
      </c>
      <c r="Z16" s="11" t="s">
        <v>70</v>
      </c>
      <c r="AA16" s="11" t="s">
        <v>71</v>
      </c>
      <c r="AB16" s="23"/>
      <c r="AC16" s="23"/>
      <c r="AD16" s="23"/>
    </row>
    <row r="17" ht="37.5" customHeight="1">
      <c r="A17" s="11"/>
      <c r="B17" s="23"/>
      <c r="C17" s="23"/>
      <c r="D17" s="24"/>
      <c r="E17" s="23"/>
      <c r="F17" s="23"/>
      <c r="G17" s="23"/>
      <c r="H17" s="23"/>
      <c r="I17" s="23"/>
      <c r="J17" s="23"/>
      <c r="K17" s="23"/>
      <c r="L17" s="15" t="s">
        <v>90</v>
      </c>
      <c r="M17" s="15" t="s">
        <v>91</v>
      </c>
      <c r="N1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""&amp;M17)"),"Power Consumption Rate | Color Temperature | Voltage | IP Rating | Strip Width | Cut Interval")</f>
        <v>Power Consumption Rate | Color Temperature | Voltage | IP Rating | Strip Width | Cut Interval</v>
      </c>
      <c r="O17" s="25" t="s">
        <v>38</v>
      </c>
      <c r="P1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""&amp;O17&amp;"", Values: ""&amp;M17&amp; "" and SKU Code: ""&amp;"&amp;"L17)"),"{
""Power Consumption Rate"": ""10W/m"",
""Color Temperature"": ""6000K"",
""Voltage"": ""24V"",
""IP Rating"": ""IP65 (Nano-Coated)"",
""Strip Width"": ""8mm (W)"",
""Cut Interval"": ""Free Cut"",
""SKU"": ""COB016""
}")</f>
        <v>{
"Power Consumption Rate": "10W/m",
"Color Temperature": "6000K",
"Voltage": "24V",
"IP Rating": "IP65 (Nano-Coated)",
"Strip Width": "8mm (W)",
"Cut Interval": "Free Cut",
"SKU": "COB016"
}</v>
      </c>
      <c r="Q17" s="25" t="s">
        <v>92</v>
      </c>
      <c r="R17" s="23"/>
      <c r="S17" s="23"/>
      <c r="T17" s="23"/>
      <c r="U17" s="23"/>
      <c r="V17" s="23"/>
      <c r="W17" s="23"/>
      <c r="X17" s="23"/>
      <c r="Y17" s="11" t="s">
        <v>42</v>
      </c>
      <c r="Z17" s="11" t="s">
        <v>70</v>
      </c>
      <c r="AA17" s="11" t="s">
        <v>71</v>
      </c>
      <c r="AB17" s="23"/>
      <c r="AC17" s="23"/>
      <c r="AD17" s="23"/>
    </row>
    <row r="18" ht="37.5" customHeight="1">
      <c r="A18" s="11"/>
      <c r="B18" s="23"/>
      <c r="C18" s="23"/>
      <c r="D18" s="24"/>
      <c r="E18" s="23"/>
      <c r="F18" s="23"/>
      <c r="G18" s="23"/>
      <c r="H18" s="23"/>
      <c r="I18" s="23"/>
      <c r="J18" s="23"/>
      <c r="K18" s="23"/>
      <c r="L18" s="15" t="s">
        <v>93</v>
      </c>
      <c r="M18" s="15" t="s">
        <v>94</v>
      </c>
      <c r="N1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""&amp;M18)"),"Power Consumption Rate | Color Temperature | Voltage | IP Rating | Strip Width | Cut Interval")</f>
        <v>Power Consumption Rate | Color Temperature | Voltage | IP Rating | Strip Width | Cut Interval</v>
      </c>
      <c r="O18" s="25" t="s">
        <v>38</v>
      </c>
      <c r="P1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""&amp;O18&amp;"", Values: ""&amp;M18&amp; "" and SKU Code: ""&amp;"&amp;"L18)"),"{
""Power Consumption Rate"": ""15W/m"",
""Color Temperature"": ""2700K"",
""Voltage"": ""24V"",
""IP Rating"": ""IP20"",
""Strip Width"": ""8mm (W)"",
""Cut Interval"": ""Free Cut"",
""SKU"": ""COB017""
}")</f>
        <v>{
"Power Consumption Rate": "15W/m",
"Color Temperature": "2700K",
"Voltage": "24V",
"IP Rating": "IP20",
"Strip Width": "8mm (W)",
"Cut Interval": "Free Cut",
"SKU": "COB017"
}</v>
      </c>
      <c r="Q18" s="25" t="s">
        <v>95</v>
      </c>
      <c r="R18" s="23"/>
      <c r="S18" s="23"/>
      <c r="T18" s="23"/>
      <c r="U18" s="23"/>
      <c r="V18" s="23"/>
      <c r="W18" s="23"/>
      <c r="X18" s="23"/>
      <c r="Y18" s="11" t="s">
        <v>42</v>
      </c>
      <c r="Z18" s="11" t="s">
        <v>96</v>
      </c>
      <c r="AA18" s="11" t="s">
        <v>44</v>
      </c>
      <c r="AB18" s="23"/>
      <c r="AC18" s="23"/>
      <c r="AD18" s="23"/>
    </row>
    <row r="19" ht="37.5" customHeight="1">
      <c r="A19" s="11"/>
      <c r="B19" s="23"/>
      <c r="C19" s="23"/>
      <c r="D19" s="24"/>
      <c r="E19" s="23"/>
      <c r="F19" s="23"/>
      <c r="G19" s="23"/>
      <c r="H19" s="23"/>
      <c r="I19" s="23"/>
      <c r="J19" s="23"/>
      <c r="K19" s="23"/>
      <c r="L19" s="15" t="s">
        <v>97</v>
      </c>
      <c r="M19" s="15" t="s">
        <v>98</v>
      </c>
      <c r="N1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""&amp;M19)"),"Power Consumption Rate | Color Temperature | Voltage | IP Rating | Strip Width | Cut Interval")</f>
        <v>Power Consumption Rate | Color Temperature | Voltage | IP Rating | Strip Width | Cut Interval</v>
      </c>
      <c r="O19" s="25" t="s">
        <v>38</v>
      </c>
      <c r="P1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""&amp;O19&amp;"", Values: ""&amp;M19&amp; "" and SKU Code: ""&amp;"&amp;"L19)"),"{ ""Power Consumption Rate"": ""15W/m"", ""Color Temperature"": ""3000K"", ""Voltage"": ""24V"", ""IP Rating"": ""IP20"", ""Strip Width"": ""8mm (W)"", ""Cut Interval"": ""Free Cut"", ""SKU"": ""COB018"" }")</f>
        <v>{ "Power Consumption Rate": "15W/m", "Color Temperature": "3000K", "Voltage": "24V", "IP Rating": "IP20", "Strip Width": "8mm (W)", "Cut Interval": "Free Cut", "SKU": "COB018" }</v>
      </c>
      <c r="Q19" s="25" t="s">
        <v>99</v>
      </c>
      <c r="R19" s="23"/>
      <c r="S19" s="23"/>
      <c r="T19" s="23"/>
      <c r="U19" s="23"/>
      <c r="V19" s="23"/>
      <c r="W19" s="23"/>
      <c r="X19" s="23"/>
      <c r="Y19" s="11" t="s">
        <v>42</v>
      </c>
      <c r="Z19" s="11" t="s">
        <v>96</v>
      </c>
      <c r="AA19" s="11" t="s">
        <v>44</v>
      </c>
      <c r="AB19" s="23"/>
      <c r="AC19" s="23"/>
      <c r="AD19" s="23"/>
    </row>
    <row r="20" ht="37.5" customHeight="1">
      <c r="A20" s="11"/>
      <c r="B20" s="23"/>
      <c r="C20" s="23"/>
      <c r="D20" s="24"/>
      <c r="E20" s="23"/>
      <c r="F20" s="23"/>
      <c r="G20" s="23"/>
      <c r="H20" s="23"/>
      <c r="I20" s="23"/>
      <c r="J20" s="23"/>
      <c r="K20" s="23"/>
      <c r="L20" s="15" t="s">
        <v>100</v>
      </c>
      <c r="M20" s="15" t="s">
        <v>101</v>
      </c>
      <c r="N2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""&amp;M20)"),"Power Consumption Rate | Color Temperature | Voltage | IP Rating | Strip Width | Cut Interval")</f>
        <v>Power Consumption Rate | Color Temperature | Voltage | IP Rating | Strip Width | Cut Interval</v>
      </c>
      <c r="O20" s="25" t="s">
        <v>38</v>
      </c>
      <c r="P2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""&amp;O20&amp;"", Values: ""&amp;M20&amp; "" and SKU Code: ""&amp;"&amp;"L20)"),"{ ""Power Consumption Rate"": ""15W/m"", ""Color Temperature"": ""4000K"", ""Voltage"": ""24V"", ""IP Rating"": ""IP20"", ""Strip Width"": ""8mm (W)"", ""Cut Interval"": ""Free Cut"", ""SKU"": ""COB019"" }")</f>
        <v>{ "Power Consumption Rate": "15W/m", "Color Temperature": "4000K", "Voltage": "24V", "IP Rating": "IP20", "Strip Width": "8mm (W)", "Cut Interval": "Free Cut", "SKU": "COB019" }</v>
      </c>
      <c r="Q20" s="25" t="s">
        <v>102</v>
      </c>
      <c r="R20" s="23"/>
      <c r="S20" s="23"/>
      <c r="T20" s="23"/>
      <c r="U20" s="23"/>
      <c r="V20" s="23"/>
      <c r="W20" s="23"/>
      <c r="X20" s="23"/>
      <c r="Y20" s="11" t="s">
        <v>42</v>
      </c>
      <c r="Z20" s="11" t="s">
        <v>96</v>
      </c>
      <c r="AA20" s="11" t="s">
        <v>44</v>
      </c>
      <c r="AB20" s="23"/>
      <c r="AC20" s="23"/>
      <c r="AD20" s="23"/>
    </row>
    <row r="21" ht="37.5" customHeight="1">
      <c r="A21" s="11"/>
      <c r="B21" s="23"/>
      <c r="C21" s="23"/>
      <c r="D21" s="24"/>
      <c r="E21" s="23"/>
      <c r="F21" s="23"/>
      <c r="G21" s="23"/>
      <c r="H21" s="23"/>
      <c r="I21" s="23"/>
      <c r="J21" s="23"/>
      <c r="K21" s="23"/>
      <c r="L21" s="15" t="s">
        <v>103</v>
      </c>
      <c r="M21" s="15" t="s">
        <v>104</v>
      </c>
      <c r="N2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""&amp;M21)"),"Power Consumption Rate | Color Temperature | Voltage | IP Rating | Strip Width | Cut Interval")</f>
        <v>Power Consumption Rate | Color Temperature | Voltage | IP Rating | Strip Width | Cut Interval</v>
      </c>
      <c r="O21" s="25" t="s">
        <v>38</v>
      </c>
      <c r="P2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""&amp;O21&amp;"", Values: ""&amp;M21&amp; "" and SKU Code: ""&amp;"&amp;"L21)"),"{
""Power Consumption Rate"": ""15W/m"",
""Color Temperature"": ""6000K"",
""Voltage"": ""24V"",
""IP Rating"": ""IP20"",
""Strip Width"": ""8mm (W)"",
""Cut Interval"": ""Free Cut"",
""SKU"": ""COB020""
}")</f>
        <v>{
"Power Consumption Rate": "15W/m",
"Color Temperature": "6000K",
"Voltage": "24V",
"IP Rating": "IP20",
"Strip Width": "8mm (W)",
"Cut Interval": "Free Cut",
"SKU": "COB020"
}</v>
      </c>
      <c r="Q21" s="25" t="s">
        <v>105</v>
      </c>
      <c r="R21" s="23"/>
      <c r="S21" s="23"/>
      <c r="T21" s="23"/>
      <c r="U21" s="23"/>
      <c r="V21" s="23"/>
      <c r="W21" s="23"/>
      <c r="X21" s="23"/>
      <c r="Y21" s="11" t="s">
        <v>42</v>
      </c>
      <c r="Z21" s="11" t="s">
        <v>96</v>
      </c>
      <c r="AA21" s="11" t="s">
        <v>44</v>
      </c>
      <c r="AB21" s="23"/>
      <c r="AC21" s="23"/>
      <c r="AD21" s="23"/>
    </row>
    <row r="22" ht="37.5" customHeight="1">
      <c r="A22" s="11"/>
      <c r="B22" s="23"/>
      <c r="C22" s="23"/>
      <c r="D22" s="24"/>
      <c r="E22" s="23"/>
      <c r="F22" s="23"/>
      <c r="G22" s="23"/>
      <c r="H22" s="23"/>
      <c r="I22" s="23"/>
      <c r="J22" s="23"/>
      <c r="K22" s="23"/>
      <c r="L22" s="15" t="s">
        <v>106</v>
      </c>
      <c r="M22" s="15" t="s">
        <v>107</v>
      </c>
      <c r="N2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""&amp;M22)"),"Power Consumption Rate | Color Temperature | Voltage | IP Rating | Strip Width | Cut Interval")</f>
        <v>Power Consumption Rate | Color Temperature | Voltage | IP Rating | Strip Width | Cut Interval</v>
      </c>
      <c r="O22" s="25" t="s">
        <v>38</v>
      </c>
      <c r="P2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""&amp;O22&amp;"", Values: ""&amp;M22&amp; "" and SKU Code: ""&amp;"&amp;"L22)"),"{ ""Power Consumption Rate"": ""15W/m"", ""Color Temperature"": ""2700K"", ""Voltage"": ""24V"", ""IP Rating"": ""IP65 (Nano-Coated)"", ""Strip Width"": ""8mm (W)"", ""Cut Interval"": ""Free Cut"", ""SKU"": ""COB021"" }")</f>
        <v>{ "Power Consumption Rate": "15W/m", "Color Temperature": "2700K", "Voltage": "24V", "IP Rating": "IP65 (Nano-Coated)", "Strip Width": "8mm (W)", "Cut Interval": "Free Cut", "SKU": "COB021" }</v>
      </c>
      <c r="Q22" s="25" t="s">
        <v>108</v>
      </c>
      <c r="R22" s="23"/>
      <c r="S22" s="23"/>
      <c r="T22" s="23"/>
      <c r="U22" s="23"/>
      <c r="V22" s="23"/>
      <c r="W22" s="23"/>
      <c r="X22" s="23"/>
      <c r="Y22" s="11" t="s">
        <v>42</v>
      </c>
      <c r="Z22" s="11" t="s">
        <v>96</v>
      </c>
      <c r="AA22" s="11" t="s">
        <v>44</v>
      </c>
      <c r="AB22" s="23"/>
      <c r="AC22" s="23"/>
      <c r="AD22" s="23"/>
    </row>
    <row r="23" ht="37.5" customHeight="1">
      <c r="A23" s="11"/>
      <c r="B23" s="23"/>
      <c r="C23" s="23"/>
      <c r="D23" s="24"/>
      <c r="E23" s="23"/>
      <c r="F23" s="23"/>
      <c r="G23" s="23"/>
      <c r="H23" s="23"/>
      <c r="I23" s="23"/>
      <c r="J23" s="23"/>
      <c r="K23" s="23"/>
      <c r="L23" s="15" t="s">
        <v>109</v>
      </c>
      <c r="M23" s="15" t="s">
        <v>110</v>
      </c>
      <c r="N2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""&amp;M23)"),"Power Consumption Rate | Color Temperature | Voltage | IP Rating | Strip Width | Cut Interval")</f>
        <v>Power Consumption Rate | Color Temperature | Voltage | IP Rating | Strip Width | Cut Interval</v>
      </c>
      <c r="O23" s="25" t="s">
        <v>38</v>
      </c>
      <c r="P2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""&amp;O23&amp;"", Values: ""&amp;M23&amp; "" and SKU Code: ""&amp;"&amp;"L23)"),"{
""Power Consumption Rate"": ""15W/m"",
""Color Temperature"": ""3000K"",
""Voltage"": ""24V"",
""IP Rating"": ""IP65 (Nano-Coated)"",
""Strip Width"": ""8mm (W)"",
""Cut Interval"": ""Free Cut"",
""SKU"": ""COB022""
}")</f>
        <v>{
"Power Consumption Rate": "15W/m",
"Color Temperature": "3000K",
"Voltage": "24V",
"IP Rating": "IP65 (Nano-Coated)",
"Strip Width": "8mm (W)",
"Cut Interval": "Free Cut",
"SKU": "COB022"
}</v>
      </c>
      <c r="Q23" s="25" t="s">
        <v>111</v>
      </c>
      <c r="R23" s="23"/>
      <c r="S23" s="23"/>
      <c r="T23" s="23"/>
      <c r="U23" s="23"/>
      <c r="V23" s="23"/>
      <c r="W23" s="23"/>
      <c r="X23" s="23"/>
      <c r="Y23" s="11" t="s">
        <v>42</v>
      </c>
      <c r="Z23" s="11" t="s">
        <v>96</v>
      </c>
      <c r="AA23" s="11" t="s">
        <v>44</v>
      </c>
      <c r="AB23" s="23"/>
      <c r="AC23" s="23"/>
      <c r="AD23" s="23"/>
    </row>
    <row r="24" ht="37.5" customHeight="1">
      <c r="A24" s="11"/>
      <c r="B24" s="23"/>
      <c r="C24" s="23"/>
      <c r="D24" s="24"/>
      <c r="E24" s="23"/>
      <c r="F24" s="23"/>
      <c r="G24" s="23"/>
      <c r="H24" s="23"/>
      <c r="I24" s="23"/>
      <c r="J24" s="23"/>
      <c r="K24" s="23"/>
      <c r="L24" s="15" t="s">
        <v>112</v>
      </c>
      <c r="M24" s="15" t="s">
        <v>113</v>
      </c>
      <c r="N2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""&amp;M24)"),"Power Consumption Rate | Color Temperature | Voltage | IP Rating | Strip Width | Cut Interval")</f>
        <v>Power Consumption Rate | Color Temperature | Voltage | IP Rating | Strip Width | Cut Interval</v>
      </c>
      <c r="O24" s="25" t="s">
        <v>38</v>
      </c>
      <c r="P2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""&amp;O24&amp;"", Values: ""&amp;M24&amp; "" and SKU Code: ""&amp;"&amp;"L24)"),"{
""Power Consumption Rate"": ""15W/m"",
""Color Temperature"": ""4000K"",
""Voltage"": ""24V"",
""IP Rating"": ""IP65 (Nano-Coated)"",
""Strip Width"": ""8mm (W)"",
""Cut Interval"": ""Free Cut"",
""SKU"": ""COB023""
}")</f>
        <v>{
"Power Consumption Rate": "15W/m",
"Color Temperature": "4000K",
"Voltage": "24V",
"IP Rating": "IP65 (Nano-Coated)",
"Strip Width": "8mm (W)",
"Cut Interval": "Free Cut",
"SKU": "COB023"
}</v>
      </c>
      <c r="Q24" s="25" t="s">
        <v>114</v>
      </c>
      <c r="R24" s="23"/>
      <c r="S24" s="23"/>
      <c r="T24" s="23"/>
      <c r="U24" s="23"/>
      <c r="V24" s="23"/>
      <c r="W24" s="23"/>
      <c r="X24" s="23"/>
      <c r="Y24" s="11" t="s">
        <v>42</v>
      </c>
      <c r="Z24" s="11" t="s">
        <v>96</v>
      </c>
      <c r="AA24" s="11" t="s">
        <v>44</v>
      </c>
      <c r="AB24" s="23"/>
      <c r="AC24" s="23"/>
      <c r="AD24" s="23"/>
    </row>
    <row r="25" ht="37.5" customHeight="1">
      <c r="A25" s="11"/>
      <c r="B25" s="23"/>
      <c r="C25" s="23"/>
      <c r="D25" s="24"/>
      <c r="E25" s="23"/>
      <c r="F25" s="23"/>
      <c r="G25" s="23"/>
      <c r="H25" s="23"/>
      <c r="I25" s="23"/>
      <c r="J25" s="23"/>
      <c r="K25" s="23"/>
      <c r="L25" s="15" t="s">
        <v>115</v>
      </c>
      <c r="M25" s="15" t="s">
        <v>116</v>
      </c>
      <c r="N2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""&amp;M25)"),"Power Consumption Rate | Color Temperature | Voltage | IP Rating | Strip Width | Cut Interval")</f>
        <v>Power Consumption Rate | Color Temperature | Voltage | IP Rating | Strip Width | Cut Interval</v>
      </c>
      <c r="O25" s="25" t="s">
        <v>38</v>
      </c>
      <c r="P2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""&amp;O25&amp;"", Values: ""&amp;M25&amp; "" and SKU Code: ""&amp;"&amp;"L25)"),"{
""Power Consumption Rate"": ""15W/m"",
""Color Temperature"": ""6000K"",
""Voltage"": ""24V"",
""IP Rating"": ""IP65 (Nano-Coated)"",
""Strip Width"": ""8mm (W)"",
""Cut Interval"": ""Free Cut"",
""SKU"": ""COB024""
}")</f>
        <v>{
"Power Consumption Rate": "15W/m",
"Color Temperature": "6000K",
"Voltage": "24V",
"IP Rating": "IP65 (Nano-Coated)",
"Strip Width": "8mm (W)",
"Cut Interval": "Free Cut",
"SKU": "COB024"
}</v>
      </c>
      <c r="Q25" s="25" t="s">
        <v>117</v>
      </c>
      <c r="R25" s="23"/>
      <c r="S25" s="23"/>
      <c r="T25" s="23"/>
      <c r="U25" s="23"/>
      <c r="V25" s="23"/>
      <c r="W25" s="23"/>
      <c r="X25" s="23"/>
      <c r="Y25" s="11" t="s">
        <v>42</v>
      </c>
      <c r="Z25" s="11" t="s">
        <v>96</v>
      </c>
      <c r="AA25" s="11" t="s">
        <v>44</v>
      </c>
      <c r="AB25" s="23"/>
      <c r="AC25" s="23"/>
      <c r="AD25" s="23"/>
    </row>
    <row r="26" ht="37.5" customHeight="1">
      <c r="A26" s="11" t="s">
        <v>118</v>
      </c>
      <c r="B26" s="11" t="s">
        <v>119</v>
      </c>
      <c r="C26" s="11" t="s">
        <v>32</v>
      </c>
      <c r="D26" s="13" t="s">
        <v>120</v>
      </c>
      <c r="E26" s="12" t="s">
        <v>34</v>
      </c>
      <c r="F26" s="13" t="str">
        <f>IFERROR(__xludf.DUMMYFUNCTION("AI(""Give me a paragraph marketing spiel for product in this row, no tech specs just marketing fluff "")"),"Elevate your interior artistry with the Mini COB, a masterclass in minimalist linear lighting designed to infuse any room with a seamless, enchanting glow. Engineered to curve gracefully around the most delicate architectural details, this ultra-sleek lig"&amp;"ht source disappears into your design while making a profound visual impact. Whether you are crafting a sophisticated mood in a contemporary lounge or adding subtle, luxurious ambiance to a refined workspace, its flawless brilliance accentuates contours e"&amp;"ffortlessly. It is the perfect choice for visionary designers who wish to transform ordinary spaces into breathtaking atmospheres of pure, unadulterated style.")</f>
        <v>Elevate your interior artistry with the Mini COB, a masterclass in minimalist linear lighting designed to infuse any room with a seamless, enchanting glow. Engineered to curve gracefully around the most delicate architectural details, this ultra-sleek light source disappears into your design while making a profound visual impact. Whether you are crafting a sophisticated mood in a contemporary lounge or adding subtle, luxurious ambiance to a refined workspace, its flawless brilliance accentuates contours effortlessly. It is the perfect choice for visionary designers who wish to transform ordinary spaces into breathtaking atmospheres of pure, unadulterated style.</v>
      </c>
      <c r="G26" s="11" t="s">
        <v>121</v>
      </c>
      <c r="H26" s="13" t="str">
        <f>IFERROR(__xludf.DUMMYFUNCTION("AI(""Give me a paragraph marketing spiel for product in this row, no tech specs just marketing fluff under 180 characters "")"),"Infuse your space with a seamless, enchanting glow using Mini COB. This ultra-sleek light source curves gracefully to elevate your design with flawless, luxurious brilliance.")</f>
        <v>Infuse your space with a seamless, enchanting glow using Mini COB. This ultra-sleek light source curves gracefully to elevate your design with flawless, luxurious brilliance.</v>
      </c>
      <c r="I26" s="11" t="s">
        <v>122</v>
      </c>
      <c r="J26" s="23"/>
      <c r="K26" s="23"/>
      <c r="L26" s="15" t="s">
        <v>118</v>
      </c>
      <c r="M26" s="15" t="s">
        <v>123</v>
      </c>
      <c r="N2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""&amp;M26)"),"Power Consumption Rate | Color Temperature | Voltage | IP Rating | Strip Width")</f>
        <v>Power Consumption Rate | Color Temperature | Voltage | IP Rating | Strip Width</v>
      </c>
      <c r="O26" s="25" t="s">
        <v>124</v>
      </c>
      <c r="P2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""&amp;O26&amp;"", Values: ""&amp;M26&amp; "" and SKU Code: ""&amp;"&amp;"L26)"),"{ ""Power Consumption Rate"": ""10W/m"", ""Color Temperature"": ""2700K"", ""Voltage"": ""24V"", ""IP Rating"": ""IP20"", ""Strip Width"": ""4mm (W)"", ""SKU"": ""COBM001"" }")</f>
        <v>{ "Power Consumption Rate": "10W/m", "Color Temperature": "2700K", "Voltage": "24V", "IP Rating": "IP20", "Strip Width": "4mm (W)", "SKU": "COBM001" }</v>
      </c>
      <c r="Q26" s="25" t="s">
        <v>125</v>
      </c>
      <c r="R26"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Q26:Q28)"),"{""Power Consumption Rate"": ""10W/m"", ""Color Temperature"": [""2700K"", ""3000K"", ""4000K""], ""Voltage"": ""24V"", ""IP Rating"": ""IP20"", ""Strip Width"": ""4mm (W)"", ""SKU"": [""COBM001"", ""COBM002"", ""COBM003""]}")</f>
        <v>{"Power Consumption Rate": "10W/m", "Color Temperature": ["2700K", "3000K", "4000K"], "Voltage": "24V", "IP Rating": "IP20", "Strip Width": "4mm (W)", "SKU": ["COBM001", "COBM002", "COBM003"]}</v>
      </c>
      <c r="S26" s="13" t="s">
        <v>126</v>
      </c>
      <c r="T26"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Q26:Q28)"),"{
""Options"": {
""Power Consumption Rate"": [
{""name"": ""10W/m"", ""id"": ""101""}
],
""Color Temperature"": [
{""name"": ""2700K"", ""id"": ""102""},
{""name"": ""3000K"", ""id"": ""103""},
{""name"": ""4000K"", ""id"": ""104""}
],
""Voltage"": [
{""n"&amp;"ame"": ""24V"", ""id"": ""105""}
],
""IP Rating"": [
{""name"": ""IP20"", ""id"": ""106""}
],
""Strip Width"": [
{""name"": ""4mm (W)"", ""id"": ""107""}
]
},
""Constraints"": {},
""sku_mappings"": [
{ ""sku"": ""COBM001"", ""combination"": [""101"", ""10"&amp;"2"", ""105"", ""106"", ""107""] },
{ ""sku"": ""COBM002"", ""combination"": [""101"", ""103"", ""105"", ""106"", ""107""] },
{ ""sku"": ""COBM003"", ""combination"": [""101"", ""104"", ""105"", ""106"", ""107""] }
]
}")</f>
        <v>{
"Options": {
"Power Consumption Rate": [
{"name": "10W/m", "id": "101"}
],
"Color Temperature": [
{"name": "2700K", "id": "102"},
{"name": "3000K", "id": "103"},
{"name": "4000K", "id": "104"}
],
"Voltage": [
{"name": "24V", "id": "105"}
],
"IP Rating": [
{"name": "IP20", "id": "106"}
],
"Strip Width": [
{"name": "4mm (W)", "id": "107"}
]
},
"Constraints": {},
"sku_mappings": [
{ "sku": "COBM001", "combination": ["101", "102", "105", "106", "107"] },
{ "sku": "COBM002", "combination": ["101", "103", "105", "106", "107"] },
{ "sku": "COBM003", "combination": ["101", "104", "105", "106", "107"] }
]
}</v>
      </c>
      <c r="U26" s="26" t="s">
        <v>127</v>
      </c>
      <c r="V26" s="20" t="str">
        <f>IFERROR(__xludf.DUMMYFUNCTION("AI(""Extract options object from the json"", U26)"),"{""Power Consumption Rate"": [{""name"": ""10W/m"", ""id"": ""101""}], ""Color Temperature"": [{""name"": ""2700K"", ""id"": ""102""}, {""name"": ""3000K"", ""id"": ""103""}, {""name"": ""4000K"", ""id"": ""104""}], ""Voltage"": [{""name"": ""24V"", ""id"&amp;""": ""105""}], ""IP Rating"": [{""name"": ""IP20"", ""id"": ""106""}], ""Strip Width"": [{""name"": ""4mm (W)"", ""id"": ""107""}]}")</f>
        <v>{"Power Consumption Rate": [{"name": "10W/m", "id": "101"}], "Color Temperature": [{"name": "2700K", "id": "102"}, {"name": "3000K", "id": "103"}, {"name": "4000K", "id": "104"}], "Voltage": [{"name": "24V", "id": "105"}], "IP Rating": [{"name": "IP20", "id": "106"}], "Strip Width": [{"name": "4mm (W)", "id": "107"}]}</v>
      </c>
      <c r="W26" s="20" t="str">
        <f>IFERROR(__xludf.DUMMYFUNCTION("AI(""Extract constraints object from the json"", U26)"),"{}")</f>
        <v>{}</v>
      </c>
      <c r="X26" s="20" t="str">
        <f>IFERROR(__xludf.DUMMYFUNCTION("AI(""Extract sku_mappings object from the json"", U26)"),"[{""sku"":""COBM001"",""combination"":[""101"",""102"",""105"",""106"",""107""]},{""sku"":""COBM002"",""combination"":[""101"",""103"",""105"",""106"",""107""]},{""sku"":""COBM003"",""combination"":[""101"",""104"",""105"",""106"",""107""]}]")</f>
        <v>[{"sku":"COBM001","combination":["101","102","105","106","107"]},{"sku":"COBM002","combination":["101","103","105","106","107"]},{"sku":"COBM003","combination":["101","104","105","106","107"]}]</v>
      </c>
      <c r="Y26" s="11" t="s">
        <v>42</v>
      </c>
      <c r="Z26" s="11" t="s">
        <v>128</v>
      </c>
      <c r="AA26" s="11" t="s">
        <v>71</v>
      </c>
      <c r="AB26" s="23"/>
      <c r="AC26" s="23" t="str">
        <f>IFERROR(__xludf.DUMMYFUNCTION("AI(""Generate 6 powerful unique keywords for the product in this row"")"),"Mini COB, Minimalist Linear Lighting, Ultra Sleek LED, Architectural Detail Light, Flawless Brilliance Strip, Luxury Ambiance Light")</f>
        <v>Mini COB, Minimalist Linear Lighting, Ultra Sleek LED, Architectural Detail Light, Flawless Brilliance Strip, Luxury Ambiance Light</v>
      </c>
      <c r="AD26" s="23" t="s">
        <v>129</v>
      </c>
    </row>
    <row r="27" ht="37.5" customHeight="1">
      <c r="A27" s="11"/>
      <c r="B27" s="23"/>
      <c r="C27" s="23"/>
      <c r="D27" s="24"/>
      <c r="E27" s="23"/>
      <c r="F27" s="23"/>
      <c r="G27" s="23"/>
      <c r="H27" s="23"/>
      <c r="I27" s="23"/>
      <c r="J27" s="23"/>
      <c r="K27" s="23"/>
      <c r="L27" s="15" t="s">
        <v>130</v>
      </c>
      <c r="M27" s="15" t="s">
        <v>131</v>
      </c>
      <c r="N2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""&amp;M27)"),"Power Consumption Rate | Color Temperature | Voltage | IP Rating | Strip Width")</f>
        <v>Power Consumption Rate | Color Temperature | Voltage | IP Rating | Strip Width</v>
      </c>
      <c r="O27" s="25" t="s">
        <v>124</v>
      </c>
      <c r="P2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""&amp;O27&amp;"", Values: ""&amp;M27&amp; "" and SKU Code: ""&amp;"&amp;"L27)"),"{
""Power Consumption Rate"": ""10W/m"",
""Color Temperature"": ""3000K"",
""Voltage"": ""24V"",
""IP Rating"": ""IP20"",
""Strip Width"": ""4mm (W)"",
""SKU"": ""COBM002""
}")</f>
        <v>{
"Power Consumption Rate": "10W/m",
"Color Temperature": "3000K",
"Voltage": "24V",
"IP Rating": "IP20",
"Strip Width": "4mm (W)",
"SKU": "COBM002"
}</v>
      </c>
      <c r="Q27" s="25" t="s">
        <v>132</v>
      </c>
      <c r="R27" s="23"/>
      <c r="S27" s="23"/>
      <c r="T27" s="23"/>
      <c r="U27" s="23"/>
      <c r="V27" s="23"/>
      <c r="W27" s="23"/>
      <c r="X27" s="23"/>
      <c r="Y27" s="11" t="s">
        <v>42</v>
      </c>
      <c r="Z27" s="11" t="s">
        <v>128</v>
      </c>
      <c r="AA27" s="11" t="s">
        <v>71</v>
      </c>
      <c r="AB27" s="23"/>
      <c r="AC27" s="23"/>
      <c r="AD27" s="23"/>
    </row>
    <row r="28" ht="37.5" customHeight="1">
      <c r="A28" s="11"/>
      <c r="B28" s="23"/>
      <c r="C28" s="23"/>
      <c r="D28" s="24"/>
      <c r="E28" s="23"/>
      <c r="F28" s="23"/>
      <c r="G28" s="23"/>
      <c r="H28" s="23"/>
      <c r="I28" s="23"/>
      <c r="J28" s="23"/>
      <c r="K28" s="23"/>
      <c r="L28" s="15" t="s">
        <v>133</v>
      </c>
      <c r="M28" s="15" t="s">
        <v>134</v>
      </c>
      <c r="N2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""&amp;M28)"),"Power Consumption Rate | Color Temperature | Voltage | IP Rating | Strip Width")</f>
        <v>Power Consumption Rate | Color Temperature | Voltage | IP Rating | Strip Width</v>
      </c>
      <c r="O28" s="25" t="s">
        <v>124</v>
      </c>
      <c r="P2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""&amp;O28&amp;"", Values: ""&amp;M28&amp; "" and SKU Code: ""&amp;"&amp;"L28)"),"{
""Power Consumption Rate"": ""10W/m"",
""Color Temperature"": ""4000K"",
""Voltage"": ""24V"",
""IP Rating"": ""IP20"",
""Strip Width"": ""4mm (W)"",
""SKU"": ""COBM003""
}")</f>
        <v>{
"Power Consumption Rate": "10W/m",
"Color Temperature": "4000K",
"Voltage": "24V",
"IP Rating": "IP20",
"Strip Width": "4mm (W)",
"SKU": "COBM003"
}</v>
      </c>
      <c r="Q28" s="25" t="s">
        <v>135</v>
      </c>
      <c r="R28" s="23"/>
      <c r="S28" s="23"/>
      <c r="T28" s="23"/>
      <c r="U28" s="23"/>
      <c r="V28" s="23"/>
      <c r="W28" s="23"/>
      <c r="X28" s="23"/>
      <c r="Y28" s="11" t="s">
        <v>42</v>
      </c>
      <c r="Z28" s="11" t="s">
        <v>128</v>
      </c>
      <c r="AA28" s="11" t="s">
        <v>71</v>
      </c>
      <c r="AB28" s="23"/>
      <c r="AC28" s="23"/>
      <c r="AD28" s="23"/>
    </row>
    <row r="29" ht="37.5" customHeight="1">
      <c r="A29" s="27" t="s">
        <v>136</v>
      </c>
      <c r="B29" s="11" t="s">
        <v>31</v>
      </c>
      <c r="C29" s="11" t="s">
        <v>32</v>
      </c>
      <c r="D29" s="13" t="s">
        <v>137</v>
      </c>
      <c r="E29" s="12" t="s">
        <v>34</v>
      </c>
      <c r="F29" s="13" t="str">
        <f>IFERROR(__xludf.DUMMYFUNCTION("AI(""Give me a paragraph marketing spiel for product in this row, no tech specs just marketing fluff "")"),"Elevate your architectural and interior designs with this premium linear lighting solution, engineered to infuse any environment with a vibrant, sophisticated glow. Crafted for seamless flexibility and unforgettable visual allure, it effortlessly curves t"&amp;"o accentuate contours, define borders, and turn artistic visions into striking design realities. Perfect for enhancing high-end commercial spaces or bringing an ultimate touch of luxury to bespoke residential atmospheres, its flawlessly uniform brilliance"&amp;" offers an unmatched aesthetic elegance. Combining ultimate adaptability with timeless elegance, this stunning lighting choice is tailor-made for designers who want to transform spaces with captivating color and uncompromising style.")</f>
        <v>Elevate your architectural and interior designs with this premium linear lighting solution, engineered to infuse any environment with a vibrant, sophisticated glow. Crafted for seamless flexibility and unforgettable visual allure, it effortlessly curves to accentuate contours, define borders, and turn artistic visions into striking design realities. Perfect for enhancing high-end commercial spaces or bringing an ultimate touch of luxury to bespoke residential atmospheres, its flawlessly uniform brilliance offers an unmatched aesthetic elegance. Combining ultimate adaptability with timeless elegance, this stunning lighting choice is tailor-made for designers who want to transform spaces with captivating color and uncompromising style.</v>
      </c>
      <c r="G29" s="11" t="s">
        <v>138</v>
      </c>
      <c r="H29" s="13" t="str">
        <f>IFERROR(__xludf.DUMMYFUNCTION("AI(""Give me a paragraph marketing spiel for product in this row, no tech specs just marketing fluff under 180 characters "")"),"Transform your space with a vibrant, sophisticated glow. Crafted for seamless flexibility, it brings captivating color and luxury to any design reality.")</f>
        <v>Transform your space with a vibrant, sophisticated glow. Crafted for seamless flexibility, it brings captivating color and luxury to any design reality.</v>
      </c>
      <c r="I29" s="11" t="s">
        <v>139</v>
      </c>
      <c r="J29" s="23"/>
      <c r="K29" s="23"/>
      <c r="L29" s="15" t="s">
        <v>136</v>
      </c>
      <c r="M29" s="15" t="s">
        <v>140</v>
      </c>
      <c r="N2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""&amp;M29)"),"Power Consumption Rate | Color Temperature | Voltage | IP Rating | Strip Width")</f>
        <v>Power Consumption Rate | Color Temperature | Voltage | IP Rating | Strip Width</v>
      </c>
      <c r="O29" s="25" t="s">
        <v>124</v>
      </c>
      <c r="P2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""&amp;O29&amp;"", Values: ""&amp;M29&amp; "" and SKU Code: ""&amp;"&amp;"L29)"),"{
""Power Consumption Rate"": ""15W/m"",
""Color Temperature"": ""RGB"",
""Voltage"": ""24V"",
""IP Rating"": ""IP20"",
""Strip Width"": ""10mm (W)"",
""SKU"": ""COB-15W-RGB-IP20""
}")</f>
        <v>{
"Power Consumption Rate": "15W/m",
"Color Temperature": "RGB",
"Voltage": "24V",
"IP Rating": "IP20",
"Strip Width": "10mm (W)",
"SKU": "COB-15W-RGB-IP20"
}</v>
      </c>
      <c r="Q29" s="25" t="s">
        <v>141</v>
      </c>
      <c r="R29"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Q29:Q37)"),"{""Power Consumption Rate"": [""15W/m"", ""17W/m"", ""18W/m""], ""Color Temperature"": [""RGB"", ""RGB+TW (2700K-6500K)"", ""RGBW (3000K)"", ""RGBW"", ""TW (2700K-6500K)""], ""Voltage"": ""24V"", ""IP Rating"": [""IP20"", ""IP65 (Nano-Coated)"", ""IP67""]"&amp;", ""Strip Width"": [""10mm (W)"", ""12mm (W)""], ""SKU"": [""COB-15W-RGB-IP20"", ""COB-15W-RGB-IP65-NA"", ""COB-18W-RGBTW-IP20"", ""COB-18W-RGBTW-IP65-NA"", ""COB-17W-RGBW-IP20"", ""COB-17W-RGBW-IP65-NA"", ""COB-15W-RGBW-IP67"", ""COB-18W-TW-IP20"", ""COB"&amp;"-18W-TW-IP65-NA""]}")</f>
        <v>{"Power Consumption Rate": ["15W/m", "17W/m", "18W/m"], "Color Temperature": ["RGB", "RGB+TW (2700K-6500K)", "RGBW (3000K)", "RGBW", "TW (2700K-6500K)"], "Voltage": "24V", "IP Rating": ["IP20", "IP65 (Nano-Coated)", "IP67"], "Strip Width": ["10mm (W)", "12mm (W)"], "SKU": ["COB-15W-RGB-IP20", "COB-15W-RGB-IP65-NA", "COB-18W-RGBTW-IP20", "COB-18W-RGBTW-IP65-NA", "COB-17W-RGBW-IP20", "COB-17W-RGBW-IP65-NA", "COB-15W-RGBW-IP67", "COB-18W-TW-IP20", "COB-18W-TW-IP65-NA"]}</v>
      </c>
      <c r="S29" s="11" t="s">
        <v>142</v>
      </c>
      <c r="T29" s="18" t="str">
        <f>IFERROR(__xludf.DUMMYFUNCTION("AI(""You are a product catalog configuration expert. Your task is to analyze a list of valid product variant combinations (provided as JSON lines/objects) and generate three JSON structures: """"Options"""", """"Constraints"""", and """"sku_mappings"""".
"&amp;"
### Instructions:
1. **Extract Options:**
   - Group all unique values by their attribute keys.
   - Assign a unique sequential integer string ID to every attribute value, starting from """"101"""" and incrementing by 1 in the order they appear.
   - Fo"&amp;"rmat each attribute as an array of objects: [{""""name"""": """"VALUE"""", """"id"""": """"ID""""}].
2. **Determine Constraints (Bidirectional Incompatibilities):**
   - Identify all pairs of attribute option IDs from DIFFERENT attributes that never appe"&amp;"ar together in any valid SKU combination.
   - Constraints MUST be strictly bidirectional/symmetric:
     - If option A is never paired with option B, then A must list B, AND B must list A.
     - Example: If """"101"""" is never paired with """"106"""", "&amp;"then """"101"""": [""""106""""] and """"106"""": [""""101""""] must both exist.
   - Do NOT attempt to guess a """"primary driving factor""""—record all mutual exclusions.
   - Do NOT include options belonging to the same attribute category as constraints"&amp;" (options in the same category are mutually exclusive by default).
   - Constraint IDs must be formatted as strings.
3. **Determine sku_mappings:**
   - Map every provided record to an object containing """"sku"""" and the exact """"combination"""" array"&amp;" of option IDs that represent its attributes.
4. **Output Format:**
   - Return strictly valid JSON containing three root keys: """"Options"""", """"Constraints"""", and """"sku_mappings"""".
   - Do not wrap the JSON in conversational filler text.
---
"&amp;"
### Example Input:
{""""SKU"""":""""HRS001"""", """"Power"""": """"1.2W"""", """"Optics"""": """"SYM30°"""", """"Color Temperature"""": """"3000K""""}
{""""SKU"""":""""HRS002"""", """"Power"""": """"1.2W"""", """"Optics"""": """"SYM30°"""", """"Color Tem"&amp;"perature"""": """"4000K""""}
{""""SKU"""":""""HRS003"""", """"Power"""": """"1.2W"""", """"Optics"""": """"ASYM50°"""", """"Color Temperature"""": """"3000K""""}
### Example Output:
{
  """"Options"""": {
    """"Power"""": [
      {""""name"""": """"1.2"&amp;"W"""", """"id"""": """"101""""}
    ],
    """"Optics"""": [
      {""""name"""": """"SYM30°"""", """"id"""": """"102""""},
      {""""name"""": """"ASYM50°"""", """"id"""": """"103""""}
    ],
    """"Color Temperature"""": [
      {""""name"""": """"300"&amp;"0K"""", """"id"""": """"104""""},
      {""""name"""": """"4000K"""", """"id"""": """"105""""}
    ]
  },
  """"Constraints"""": {
    """"103"""": [""""105""""],
    """"105"""": [""""103""""]
  },
  """"sku_mappings"""": [
    { """"sku"""": """"HRS001"&amp;""""", """"combination"""": [""""101"""", """"102"""", """"104""""] },
    { """"sku"""": """"HRS002"""", """"combination"""": [""""101"""", """"102"""", """"105""""] },
    { """"sku"""": """"HRS003"""", """"combination"""": [""""101"""", """"103"""", """&amp;"""104""""] }
  ]
}
Process the following product variant combinations and output the """"Options"""", """"Constraints"""" and """"sku_mappings"""" JSON:"", Q29:Q37)"),"{
""Options"": {
""Power Consumption Rate"": [
{ ""name"": ""15W/m"", ""id"": ""101"" },
{ ""name"": ""17W/m"", ""id"": ""102"" },
{ ""name"": ""18W/m"", ""id"": ""103"" }
],
""Color Temperature"": [
{ ""name"": ""RGB"", ""id"": ""104"" },
{ ""name"": ""R"&amp;"GB+TW (2700K-6500K)"", ""id"": ""105"" },
{ ""name"": ""RGBW (3000K)"", ""id"": ""106"" },
{ ""name"": ""RGBW"", ""id"": ""107"" },
{ ""name"": ""TW (2700K-6500K)"", ""id"": ""108"" }
],
""Voltage"": [
{ ""name"": ""24V"", ""id"": ""109"" }
],
""IP Rating"&amp;""": [
{ ""name"": ""IP20"", ""id"": ""110"" },
{ ""name"": ""IP65 (Nano-Coated)"", ""id"": ""111"" },
{ ""name"": ""IP67"", ""id"": ""112"" }
],
""Strip Width"": [
{ ""name"": ""10mm (W)"", ""id"": ""113"" },
{ ""name"": ""12mm (W)"", ""id"": ""114"" }
]
"&amp;"},
""Constraints"": {
""101"": [""105"", ""106"", ""108"", ""114""],
""102"": [""104"", ""107"", ""108"", ""112"", ""113""],
""103"": [""104"", ""105"", ""106"", ""107"", ""112"", ""114""],
""104"": [""102"", ""103"", ""112"", ""114""],
""105"": [""101"","&amp;" ""103"", ""112"", ""113""],
""106"": [""101"", ""103"", ""112"", ""113""],
""107"": [""102"", ""103"", ""110"", ""111"", ""113""],
""108"": [""101"", ""102"", ""112"", ""114""],
""110"": [""107"", ""112""],
""111"": [""107"", ""112""],
""112"": [""102"","&amp;" ""103"", ""104"", ""105"", ""106"", ""108"", ""110"", ""111"", ""113""],
""113"": [""102"", ""105"", ""106"", ""107"", ""112""],
""114"": [""101"", ""103"", ""104"", ""108""]
},
""sku_mappings"": [
{
""sku"": ""COB-15W-RGB-IP20"",
""combination"": [""101"&amp;""", ""104"", ""109"", ""110"", ""113""]
},
{
""sku"": ""COB-15W-RGB-IP65-NA"",
""combination"": [""101"", ""104"", ""109"", ""111"", ""113""]
},
{
""sku"": ""COB-18W-RGBTW-IP20"",
""combination"": [""102"", ""105"", ""109"", ""110"", ""114""]
},
{
""sku"""&amp;": ""COB-18W-RGBTW-IP65-NA"",
""combination"": [""102"", ""105"", ""109"", ""111"", ""114""]
},
{
""sku"": ""COB-17W-RGBW-IP20"",
""combination"": [""102"", ""106"", ""109"", ""110"", ""114""]
},
{
""sku"": ""COB-17W-RGBW-IP65-NA"",
""combination"": [""102"&amp;""", ""106"", ""109"", ""111"", ""114""]
},
{
""sku"": ""COB-15W-RGBW-IP67"",
""combination"": [""101"", ""107"", ""109"", ""112"", ""114""]
},
{
""sku"": ""COB-18W-TW-IP20"",
""combination"": [""103"", ""108"", ""109"", ""110"", ""113""]
},
{
""sku"": ""C"&amp;"OB-18W-TW-IP65-NA"",
""combination"": [""103"", ""108"", ""109"", ""111"", ""113""]
}
]
}")</f>
        <v>{
"Options": {
"Power Consumption Rate": [
{ "name": "15W/m", "id": "101" },
{ "name": "17W/m", "id": "102" },
{ "name": "18W/m", "id": "103" }
],
"Color Temperature": [
{ "name": "RGB", "id": "104" },
{ "name": "RGB+TW (2700K-6500K)", "id": "105" },
{ "name": "RGBW (3000K)", "id": "106" },
{ "name": "RGBW", "id": "107" },
{ "name": "TW (2700K-6500K)", "id": "108" }
],
"Voltage": [
{ "name": "24V", "id": "109" }
],
"IP Rating": [
{ "name": "IP20", "id": "110" },
{ "name": "IP65 (Nano-Coated)", "id": "111" },
{ "name": "IP67", "id": "112" }
],
"Strip Width": [
{ "name": "10mm (W)", "id": "113" },
{ "name": "12mm (W)", "id": "114" }
]
},
"Constraints": {
"101": ["105", "106", "108", "114"],
"102": ["104", "107", "108", "112", "113"],
"103": ["104", "105", "106", "107", "112", "114"],
"104": ["102", "103", "112", "114"],
"105": ["101", "103", "112", "113"],
"106": ["101", "103", "112", "113"],
"107": ["102", "103", "110", "111", "113"],
"108": ["101", "102", "112", "114"],
"110": ["107", "112"],
"111": ["107", "112"],
"112": ["102", "103", "104", "105", "106", "108", "110", "111", "113"],
"113": ["102", "105", "106", "107", "112"],
"114": ["101", "103", "104", "108"]
},
"sku_mappings": [
{
"sku": "COB-15W-RGB-IP20",
"combination": ["101", "104", "109", "110", "113"]
},
{
"sku": "COB-15W-RGB-IP65-NA",
"combination": ["101", "104", "109", "111", "113"]
},
{
"sku": "COB-18W-RGBTW-IP20",
"combination": ["102", "105", "109", "110", "114"]
},
{
"sku": "COB-18W-RGBTW-IP65-NA",
"combination": ["102", "105", "109", "111", "114"]
},
{
"sku": "COB-17W-RGBW-IP20",
"combination": ["102", "106", "109", "110", "114"]
},
{
"sku": "COB-17W-RGBW-IP65-NA",
"combination": ["102", "106", "109", "111", "114"]
},
{
"sku": "COB-15W-RGBW-IP67",
"combination": ["101", "107", "109", "112", "114"]
},
{
"sku": "COB-18W-TW-IP20",
"combination": ["103", "108", "109", "110", "113"]
},
{
"sku": "COB-18W-TW-IP65-NA",
"combination": ["103", "108", "109", "111", "113"]
}
]
}</v>
      </c>
      <c r="U29" s="26" t="s">
        <v>143</v>
      </c>
      <c r="V29" s="20" t="str">
        <f>IFERROR(__xludf.DUMMYFUNCTION("AI(""Extract options object from the json"", U29)"),"{""Power Consumption Rate"": [{""name"": ""15W/m"", ""id"": ""101""}, {""name"": ""17W/m"", ""id"": ""102""}, {""name"": ""18W/m"", ""id"": ""103""}], ""Color Temperature"": [{""name"": ""RGB"", ""id"": ""104""}, {""name"": ""RGB+TW (2700K-6500K)"", ""id"&amp;""": ""105""}, {""name"": ""RGBW (3000K)"", ""id"": ""106""}, {""name"": ""RGBW"", ""id"": ""107""}, {""name"": ""TW (2700K-6500K)"", ""id"": ""108""}], ""Voltage"": [{""name"": ""24V"", ""id"": ""109""}], ""IP Rating"": [{""name"": ""IP20"", ""id"": ""110"&amp;"""}, {""name"": ""IP65 (Nano-Coated)"", ""id"": ""111""}, {""name"": ""IP67"", ""id"": ""112""}], ""Strip Width"": [{""name"": ""10mm (W)"", ""id"": ""113""}, {""name"": ""12mm (W)"", ""id"": ""114""}]}")</f>
        <v>{"Power Consumption Rate": [{"name": "15W/m", "id": "101"}, {"name": "17W/m", "id": "102"}, {"name": "18W/m", "id": "103"}], "Color Temperature": [{"name": "RGB", "id": "104"}, {"name": "RGB+TW (2700K-6500K)", "id": "105"}, {"name": "RGBW (3000K)", "id": "106"}, {"name": "RGBW", "id": "107"}, {"name": "TW (2700K-6500K)", "id": "108"}], "Voltage": [{"name": "24V", "id": "109"}], "IP Rating": [{"name": "IP20", "id": "110"}, {"name": "IP65 (Nano-Coated)", "id": "111"}, {"name": "IP67", "id": "112"}], "Strip Width": [{"name": "10mm (W)", "id": "113"}, {"name": "12mm (W)", "id": "114"}]}</v>
      </c>
      <c r="W29" s="20" t="str">
        <f>IFERROR(__xludf.DUMMYFUNCTION("AI(""Extract constraints object from the json"", U29)"),"{""101"": [""105"", ""106"", ""108"", ""114""], ""102"": [""104"", ""107"", ""108"", ""112"", ""113""], ""103"": [""104"", ""105"", ""106"", ""107"", ""112"", ""114""], ""104"": [""102"", ""103"", ""112"", ""114""], ""105"": [""101"", ""103"", ""112"", """&amp;"113""], ""106"": [""101"", ""103"", ""112"", ""113""], ""107"": [""102"", ""103"", ""110"", ""111"", ""113""], ""108"": [""101"", ""102"", ""112"", ""114""], ""110"": [""107"", ""112""], ""111"": [""107"", ""112""], ""112"": [""102"", ""103"", ""104"", """&amp;"105"", ""106"", ""108"", ""110"", ""111"", ""113""], ""113"": [""102"", ""105"", ""106"", ""107"", ""112""], ""114"": [""101"", ""103"", ""104"", ""108""]}")</f>
        <v>{"101": ["105", "106", "108", "114"], "102": ["104", "107", "108", "112", "113"], "103": ["104", "105", "106", "107", "112", "114"], "104": ["102", "103", "112", "114"], "105": ["101", "103", "112", "113"], "106": ["101", "103", "112", "113"], "107": ["102", "103", "110", "111", "113"], "108": ["101", "102", "112", "114"], "110": ["107", "112"], "111": ["107", "112"], "112": ["102", "103", "104", "105", "106", "108", "110", "111", "113"], "113": ["102", "105", "106", "107", "112"], "114": ["101", "103", "104", "108"]}</v>
      </c>
      <c r="X29" s="20" t="str">
        <f>IFERROR(__xludf.DUMMYFUNCTION("AI(""Extract sku_mappings object from the json"", U29)"),"[{""sku"":""COB-15W-RGB-IP20"",""combination"":[""101"",""104"",""109"",""110"",""113""]},{""sku"":""COB-15W-RGB-IP65-NA"",""combination"":[""101"",""104"",""109"",""111"",""113""]},{""sku"":""COB-18W-RGBTW-IP20"",""combination"":[""102"",""105"",""109"","&amp;"""110"",""114""]},{""sku"":""COB-18W-RGBTW-IP65-NA"",""combination"":[""102"",""105"",""109"",""111"",""114""]},{""sku"":""COB-17W-RGBW-IP20"",""combination"":[""102"",""106"",""109"",""110"",""114""]},{""sku"":""COB-17W-RGBW-IP65-NA"",""combination"":["""&amp;"102"",""106"",""109"",""111"",""114""]},{""sku"":""COB-15W-RGBW-IP67"",""combination"":[""101"",""107"",""109"",""112"",""114""]},{""sku"":""COB-18W-TW-IP20"",""combination"":[""103"",""108"",""109"",""110"",""113""]},{""sku"":""COB-18W-TW-IP65-NA"",""com"&amp;"bination"":[""103"",""108"",""109"",""111"",""113""]}]")</f>
        <v>[{"sku":"COB-15W-RGB-IP20","combination":["101","104","109","110","113"]},{"sku":"COB-15W-RGB-IP65-NA","combination":["101","104","109","111","113"]},{"sku":"COB-18W-RGBTW-IP20","combination":["102","105","109","110","114"]},{"sku":"COB-18W-RGBTW-IP65-NA","combination":["102","105","109","111","114"]},{"sku":"COB-17W-RGBW-IP20","combination":["102","106","109","110","114"]},{"sku":"COB-17W-RGBW-IP65-NA","combination":["102","106","109","111","114"]},{"sku":"COB-15W-RGBW-IP67","combination":["101","107","109","112","114"]},{"sku":"COB-18W-TW-IP20","combination":["103","108","109","110","113"]},{"sku":"COB-18W-TW-IP65-NA","combination":["103","108","109","111","113"]}]</v>
      </c>
      <c r="Y29" s="11" t="s">
        <v>42</v>
      </c>
      <c r="Z29" s="11" t="s">
        <v>144</v>
      </c>
      <c r="AA29" s="11" t="s">
        <v>44</v>
      </c>
      <c r="AB29" s="23"/>
      <c r="AC29" s="23" t="str">
        <f>IFERROR(__xludf.DUMMYFUNCTION("AI(""Generate 6 powerful unique keywords for the product in this row"")"),"Colour COB, Premium Linear Lighting, Flexible LED Strip, Vibrant Uniform Glow, Architectural Contour Lighting, High-End Interior Light")</f>
        <v>Colour COB, Premium Linear Lighting, Flexible LED Strip, Vibrant Uniform Glow, Architectural Contour Lighting, High-End Interior Light</v>
      </c>
      <c r="AD29" s="23" t="s">
        <v>145</v>
      </c>
    </row>
    <row r="30" ht="37.5" customHeight="1">
      <c r="A30" s="11"/>
      <c r="B30" s="23"/>
      <c r="C30" s="23"/>
      <c r="D30" s="24"/>
      <c r="E30" s="23"/>
      <c r="F30" s="23"/>
      <c r="G30" s="23"/>
      <c r="H30" s="23"/>
      <c r="I30" s="23"/>
      <c r="J30" s="23"/>
      <c r="K30" s="23"/>
      <c r="L30" s="15" t="s">
        <v>146</v>
      </c>
      <c r="M30" s="15" t="s">
        <v>147</v>
      </c>
      <c r="N3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""&amp;M30)"),"Power Consumption Rate | Color Temperature | Voltage | IP Rating | Strip Width")</f>
        <v>Power Consumption Rate | Color Temperature | Voltage | IP Rating | Strip Width</v>
      </c>
      <c r="O30" s="25" t="s">
        <v>124</v>
      </c>
      <c r="P3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""&amp;O30&amp;"", Values: ""&amp;M30&amp; "" and SKU Code: ""&amp;"&amp;"L30)"),"{
""Power Consumption Rate"": ""15W/m"",
""Color Temperature"": ""RGB"",
""Voltage"": ""24V"",
""IP Rating"": ""IP65 (Nano-Coated)"",
""Strip Width"": ""10mm (W)"",
""SKU"": ""COB-15W-RGB-IP65-NA""
}")</f>
        <v>{
"Power Consumption Rate": "15W/m",
"Color Temperature": "RGB",
"Voltage": "24V",
"IP Rating": "IP65 (Nano-Coated)",
"Strip Width": "10mm (W)",
"SKU": "COB-15W-RGB-IP65-NA"
}</v>
      </c>
      <c r="Q30" s="25" t="s">
        <v>148</v>
      </c>
      <c r="R30" s="23"/>
      <c r="S30" s="23"/>
      <c r="T30" s="23"/>
      <c r="U30" s="23"/>
      <c r="V30" s="23"/>
      <c r="W30" s="23"/>
      <c r="X30" s="23"/>
      <c r="Y30" s="11" t="s">
        <v>42</v>
      </c>
      <c r="Z30" s="11" t="s">
        <v>144</v>
      </c>
      <c r="AA30" s="11" t="s">
        <v>44</v>
      </c>
      <c r="AB30" s="23"/>
      <c r="AC30" s="23"/>
      <c r="AD30" s="23"/>
    </row>
    <row r="31" ht="37.5" customHeight="1">
      <c r="A31" s="11"/>
      <c r="B31" s="23"/>
      <c r="C31" s="23"/>
      <c r="D31" s="24"/>
      <c r="E31" s="23"/>
      <c r="F31" s="23"/>
      <c r="G31" s="23"/>
      <c r="H31" s="23"/>
      <c r="I31" s="23"/>
      <c r="J31" s="23"/>
      <c r="K31" s="23"/>
      <c r="L31" s="15" t="s">
        <v>149</v>
      </c>
      <c r="M31" s="15" t="s">
        <v>150</v>
      </c>
      <c r="N3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""&amp;M31)"),"Power Consumption Rate | Color Temperature | Voltage | IP Rating | Strip Width")</f>
        <v>Power Consumption Rate | Color Temperature | Voltage | IP Rating | Strip Width</v>
      </c>
      <c r="O31" s="25" t="s">
        <v>124</v>
      </c>
      <c r="P3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""&amp;O31&amp;"", Values: ""&amp;M31&amp; "" and SKU Code: ""&amp;"&amp;"L31)"),"{
""Power Consumption Rate"": ""17W/m"",
""Color Temperature"": ""RGB+TW (2700K-6500K)"",
""Voltage"": ""24V"",
""IP Rating"": ""IP20"",
""Strip Width"": ""12mm (W)"",
""SKU"": ""COB-18W-RGBTW-IP20""
}")</f>
        <v>{
"Power Consumption Rate": "17W/m",
"Color Temperature": "RGB+TW (2700K-6500K)",
"Voltage": "24V",
"IP Rating": "IP20",
"Strip Width": "12mm (W)",
"SKU": "COB-18W-RGBTW-IP20"
}</v>
      </c>
      <c r="Q31" s="25" t="s">
        <v>151</v>
      </c>
      <c r="R31" s="23"/>
      <c r="S31" s="23"/>
      <c r="T31" s="23"/>
      <c r="U31" s="23"/>
      <c r="V31" s="23"/>
      <c r="W31" s="23"/>
      <c r="X31" s="23"/>
      <c r="Y31" s="11" t="s">
        <v>42</v>
      </c>
      <c r="Z31" s="11" t="s">
        <v>152</v>
      </c>
      <c r="AA31" s="11" t="s">
        <v>44</v>
      </c>
      <c r="AB31" s="23"/>
      <c r="AC31" s="23"/>
      <c r="AD31" s="23"/>
    </row>
    <row r="32" ht="37.5" customHeight="1">
      <c r="A32" s="11"/>
      <c r="B32" s="23"/>
      <c r="C32" s="23"/>
      <c r="D32" s="24"/>
      <c r="E32" s="23"/>
      <c r="F32" s="23"/>
      <c r="G32" s="23"/>
      <c r="H32" s="23"/>
      <c r="I32" s="23"/>
      <c r="J32" s="23"/>
      <c r="K32" s="23"/>
      <c r="L32" s="15" t="s">
        <v>153</v>
      </c>
      <c r="M32" s="15" t="s">
        <v>154</v>
      </c>
      <c r="N3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""&amp;M32)"),"Power Consumption Rate | Color Temperature | Voltage | IP Rating | Strip Width")</f>
        <v>Power Consumption Rate | Color Temperature | Voltage | IP Rating | Strip Width</v>
      </c>
      <c r="O32" s="25" t="s">
        <v>124</v>
      </c>
      <c r="P3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""&amp;O32&amp;"", Values: ""&amp;M32&amp; "" and SKU Code: ""&amp;"&amp;"L32)"),"{ ""Power Consumption Rate"": ""17W/m"", ""Color Temperature"": ""RGB+TW (2700K-6500K)"", ""Voltage"": ""24V"", ""IP Rating"": ""IP65 (Nano-Coated)"", ""Strip Width"": ""12mm (W)"", ""SKU"": ""COB-18W-RGBTW-IP65-NA"" }")</f>
        <v>{ "Power Consumption Rate": "17W/m", "Color Temperature": "RGB+TW (2700K-6500K)", "Voltage": "24V", "IP Rating": "IP65 (Nano-Coated)", "Strip Width": "12mm (W)", "SKU": "COB-18W-RGBTW-IP65-NA" }</v>
      </c>
      <c r="Q32" s="25" t="s">
        <v>155</v>
      </c>
      <c r="R32" s="23"/>
      <c r="S32" s="23"/>
      <c r="T32" s="23"/>
      <c r="U32" s="23"/>
      <c r="V32" s="23"/>
      <c r="W32" s="23"/>
      <c r="X32" s="23"/>
      <c r="Y32" s="11" t="s">
        <v>42</v>
      </c>
      <c r="Z32" s="11" t="s">
        <v>152</v>
      </c>
      <c r="AA32" s="11" t="s">
        <v>44</v>
      </c>
      <c r="AB32" s="23"/>
      <c r="AC32" s="23"/>
      <c r="AD32" s="23"/>
    </row>
    <row r="33" ht="37.5" customHeight="1">
      <c r="A33" s="11"/>
      <c r="B33" s="23"/>
      <c r="C33" s="23"/>
      <c r="D33" s="24"/>
      <c r="E33" s="23"/>
      <c r="F33" s="23"/>
      <c r="G33" s="23"/>
      <c r="H33" s="23"/>
      <c r="I33" s="23"/>
      <c r="J33" s="23"/>
      <c r="K33" s="23"/>
      <c r="L33" s="15" t="s">
        <v>156</v>
      </c>
      <c r="M33" s="15" t="s">
        <v>157</v>
      </c>
      <c r="N3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""&amp;M33)"),"Power Consumption Rate | Color Temperature | Voltage | IP Rating | Strip Width")</f>
        <v>Power Consumption Rate | Color Temperature | Voltage | IP Rating | Strip Width</v>
      </c>
      <c r="O33" s="25" t="s">
        <v>124</v>
      </c>
      <c r="P3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""&amp;O33&amp;"", Values: ""&amp;M33&amp; "" and SKU Code: ""&amp;"&amp;"L33)"),"{
""Power Consumption Rate"": ""17W/m"",
""Color Temperature"": ""RGBW (3000K)"",
""Voltage"": ""24V"",
""IP Rating"": ""IP20"",
""Strip Width"": ""12mm (W)"",
""SKU"": ""COB-17W-RGBW-IP20""
}")</f>
        <v>{
"Power Consumption Rate": "17W/m",
"Color Temperature": "RGBW (3000K)",
"Voltage": "24V",
"IP Rating": "IP20",
"Strip Width": "12mm (W)",
"SKU": "COB-17W-RGBW-IP20"
}</v>
      </c>
      <c r="Q33" s="25" t="s">
        <v>158</v>
      </c>
      <c r="R33" s="23"/>
      <c r="S33" s="23"/>
      <c r="T33" s="23"/>
      <c r="U33" s="23"/>
      <c r="V33" s="23"/>
      <c r="W33" s="23"/>
      <c r="X33" s="23"/>
      <c r="Y33" s="11" t="s">
        <v>42</v>
      </c>
      <c r="Z33" s="11" t="s">
        <v>159</v>
      </c>
      <c r="AA33" s="11" t="s">
        <v>44</v>
      </c>
      <c r="AB33" s="23"/>
      <c r="AC33" s="23"/>
      <c r="AD33" s="23"/>
    </row>
    <row r="34" ht="37.5" customHeight="1">
      <c r="A34" s="11"/>
      <c r="B34" s="23"/>
      <c r="C34" s="23"/>
      <c r="D34" s="24"/>
      <c r="E34" s="23"/>
      <c r="F34" s="23"/>
      <c r="G34" s="23"/>
      <c r="H34" s="23"/>
      <c r="I34" s="23"/>
      <c r="J34" s="23"/>
      <c r="K34" s="23"/>
      <c r="L34" s="15" t="s">
        <v>160</v>
      </c>
      <c r="M34" s="15" t="s">
        <v>161</v>
      </c>
      <c r="N3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""&amp;M34)"),"Power Consumption Rate | Color Temperature | Voltage | IP Rating | Strip Width")</f>
        <v>Power Consumption Rate | Color Temperature | Voltage | IP Rating | Strip Width</v>
      </c>
      <c r="O34" s="25" t="s">
        <v>124</v>
      </c>
      <c r="P3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""&amp;O34&amp;"", Values: ""&amp;M34&amp; "" and SKU Code: ""&amp;"&amp;"L34)"),"{ ""Power Consumption Rate"": ""17W/m"", ""Color Temperature"": ""RGBW (3000K)"", ""Voltage"": ""24V"", ""IP Rating"": ""IP65 (Nano-Coated)"", ""Strip Width"": ""12mm (W)"", ""SKU"": ""COB-17W-RGBW-IP65-NA"" }")</f>
        <v>{ "Power Consumption Rate": "17W/m", "Color Temperature": "RGBW (3000K)", "Voltage": "24V", "IP Rating": "IP65 (Nano-Coated)", "Strip Width": "12mm (W)", "SKU": "COB-17W-RGBW-IP65-NA" }</v>
      </c>
      <c r="Q34" s="25" t="s">
        <v>162</v>
      </c>
      <c r="R34" s="23"/>
      <c r="S34" s="23"/>
      <c r="T34" s="23"/>
      <c r="U34" s="23"/>
      <c r="V34" s="23"/>
      <c r="W34" s="23"/>
      <c r="X34" s="23"/>
      <c r="Y34" s="11" t="s">
        <v>42</v>
      </c>
      <c r="Z34" s="11" t="s">
        <v>159</v>
      </c>
      <c r="AA34" s="11" t="s">
        <v>44</v>
      </c>
      <c r="AB34" s="23"/>
      <c r="AC34" s="23"/>
      <c r="AD34" s="23"/>
    </row>
    <row r="35" ht="37.5" customHeight="1">
      <c r="A35" s="11"/>
      <c r="B35" s="23"/>
      <c r="C35" s="23"/>
      <c r="D35" s="24"/>
      <c r="E35" s="23"/>
      <c r="F35" s="23"/>
      <c r="G35" s="23"/>
      <c r="H35" s="23"/>
      <c r="I35" s="23"/>
      <c r="J35" s="23"/>
      <c r="K35" s="23"/>
      <c r="L35" s="15" t="s">
        <v>163</v>
      </c>
      <c r="M35" s="15" t="s">
        <v>164</v>
      </c>
      <c r="N3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""&amp;M35)"),"Power Consumption Rate | Color Temperature | Voltage | IP Rating | Strip Width")</f>
        <v>Power Consumption Rate | Color Temperature | Voltage | IP Rating | Strip Width</v>
      </c>
      <c r="O35" s="25" t="s">
        <v>124</v>
      </c>
      <c r="P3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""&amp;O35&amp;"", Values: ""&amp;M35&amp; "" and SKU Code: ""&amp;"&amp;"L35)"),"{
""Power Consumption Rate"": ""15W/m"",
""Color Temperature"": ""RGBW"",
""Voltage"": ""24V"",
""IP Rating"": ""IP67"",
""Strip Width"": ""12mm (W)"",
""SKU"": ""COB-15W-RGBW-IP67""
}")</f>
        <v>{
"Power Consumption Rate": "15W/m",
"Color Temperature": "RGBW",
"Voltage": "24V",
"IP Rating": "IP67",
"Strip Width": "12mm (W)",
"SKU": "COB-15W-RGBW-IP67"
}</v>
      </c>
      <c r="Q35" s="25" t="s">
        <v>165</v>
      </c>
      <c r="R35" s="23"/>
      <c r="S35" s="23"/>
      <c r="T35" s="23"/>
      <c r="U35" s="23"/>
      <c r="V35" s="23"/>
      <c r="W35" s="23"/>
      <c r="X35" s="23"/>
      <c r="Y35" s="11" t="s">
        <v>42</v>
      </c>
      <c r="Z35" s="11" t="s">
        <v>159</v>
      </c>
      <c r="AA35" s="11" t="s">
        <v>44</v>
      </c>
      <c r="AB35" s="23"/>
      <c r="AC35" s="23"/>
      <c r="AD35" s="23"/>
    </row>
    <row r="36" ht="37.5" customHeight="1">
      <c r="A36" s="11"/>
      <c r="B36" s="23"/>
      <c r="C36" s="23"/>
      <c r="D36" s="24"/>
      <c r="E36" s="23"/>
      <c r="F36" s="23"/>
      <c r="G36" s="23"/>
      <c r="H36" s="23"/>
      <c r="I36" s="23"/>
      <c r="J36" s="23"/>
      <c r="K36" s="23"/>
      <c r="L36" s="15" t="s">
        <v>166</v>
      </c>
      <c r="M36" s="15" t="s">
        <v>167</v>
      </c>
      <c r="N3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""&amp;M36)"),"Power Consumption Rate | Color Temperature | Voltage | IP Rating | Strip Width")</f>
        <v>Power Consumption Rate | Color Temperature | Voltage | IP Rating | Strip Width</v>
      </c>
      <c r="O36" s="25" t="s">
        <v>124</v>
      </c>
      <c r="P3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""&amp;O36&amp;"", Values: ""&amp;M36&amp; "" and SKU Code: ""&amp;"&amp;"L36)"),"{
""Power Consumption Rate"": ""18W/m"",
""Color Temperature"": ""TW (2700K-6500K)"",
""Voltage"": ""24V"",
""IP Rating"": ""IP20"",
""Strip Width"": ""10mm (W)"",
""SKU"": ""COB-18W-TW-IP20""
}")</f>
        <v>{
"Power Consumption Rate": "18W/m",
"Color Temperature": "TW (2700K-6500K)",
"Voltage": "24V",
"IP Rating": "IP20",
"Strip Width": "10mm (W)",
"SKU": "COB-18W-TW-IP20"
}</v>
      </c>
      <c r="Q36" s="25" t="s">
        <v>168</v>
      </c>
      <c r="R36" s="23"/>
      <c r="S36" s="23"/>
      <c r="T36" s="23"/>
      <c r="U36" s="23"/>
      <c r="V36" s="23"/>
      <c r="W36" s="23"/>
      <c r="X36" s="23"/>
      <c r="Y36" s="11" t="s">
        <v>42</v>
      </c>
      <c r="Z36" s="11" t="s">
        <v>169</v>
      </c>
      <c r="AA36" s="11" t="s">
        <v>44</v>
      </c>
      <c r="AB36" s="23"/>
      <c r="AC36" s="23"/>
      <c r="AD36" s="23"/>
    </row>
    <row r="37" ht="37.5" customHeight="1">
      <c r="A37" s="11"/>
      <c r="B37" s="23"/>
      <c r="C37" s="23"/>
      <c r="D37" s="24"/>
      <c r="E37" s="23"/>
      <c r="F37" s="23"/>
      <c r="G37" s="23"/>
      <c r="H37" s="23"/>
      <c r="I37" s="23"/>
      <c r="J37" s="23"/>
      <c r="K37" s="23"/>
      <c r="L37" s="15" t="s">
        <v>170</v>
      </c>
      <c r="M37" s="15" t="s">
        <v>171</v>
      </c>
      <c r="N3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""&amp;M37)"),"Power Consumption Rate | Color Temperature | Voltage | IP Rating | Strip Width")</f>
        <v>Power Consumption Rate | Color Temperature | Voltage | IP Rating | Strip Width</v>
      </c>
      <c r="O37" s="25" t="s">
        <v>124</v>
      </c>
      <c r="P3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""&amp;O37&amp;"", Values: ""&amp;M37&amp; "" and SKU Code: ""&amp;"&amp;"L37)"),"{
""Power Consumption Rate"": ""18W/m"",
""Color Temperature"": ""TW (2700K-6500K)"",
""Voltage"": ""24V"",
""IP Rating"": ""IP65 (Nano-Coated)"",
""Strip Width"": ""10mm (W)"",
""SKU"": ""COB-18W-TW-IP65-NA""
}")</f>
        <v>{
"Power Consumption Rate": "18W/m",
"Color Temperature": "TW (2700K-6500K)",
"Voltage": "24V",
"IP Rating": "IP65 (Nano-Coated)",
"Strip Width": "10mm (W)",
"SKU": "COB-18W-TW-IP65-NA"
}</v>
      </c>
      <c r="Q37" s="25" t="s">
        <v>172</v>
      </c>
      <c r="R37" s="23"/>
      <c r="S37" s="23"/>
      <c r="T37" s="23"/>
      <c r="U37" s="23"/>
      <c r="V37" s="23"/>
      <c r="W37" s="23"/>
      <c r="X37" s="23"/>
      <c r="Y37" s="11" t="s">
        <v>42</v>
      </c>
      <c r="Z37" s="11" t="s">
        <v>169</v>
      </c>
      <c r="AA37" s="11" t="s">
        <v>44</v>
      </c>
      <c r="AB37" s="23"/>
      <c r="AC37" s="23"/>
      <c r="AD37" s="23"/>
    </row>
    <row r="38" ht="37.5" customHeight="1">
      <c r="A38" s="28" t="s">
        <v>173</v>
      </c>
      <c r="B38" s="11" t="s">
        <v>31</v>
      </c>
      <c r="C38" s="11" t="s">
        <v>32</v>
      </c>
      <c r="D38" s="13" t="s">
        <v>137</v>
      </c>
      <c r="E38" s="12" t="s">
        <v>34</v>
      </c>
      <c r="F38" s="13" t="str">
        <f>IFERROR(__xludf.DUMMYFUNCTION("AI(""Give me a paragraph marketing spiel for product in this row, no tech specs just marketing fluff "")"),"Transform your space with a vibrant, sophisticated glow designed to bring your boldest lighting visions to life. Engineered for ultimate creative freedom and dynamic visual impact, this premium flexible light strip seamlessly blends mesmerizing color with"&amp;" pure elegance. Whether you are crafting an immersive atmosphere for high-end commercial spaces, luxury hospitality venues, or modern architectural interiors, its seamless, uniform illumination creates an unforgettable ambiance. It is the perfect choice f"&amp;"or visionary designers looking to elevate any environment with captivating, adaptable light.")</f>
        <v>Transform your space with a vibrant, sophisticated glow designed to bring your boldest lighting visions to life. Engineered for ultimate creative freedom and dynamic visual impact, this premium flexible light strip seamlessly blends mesmerizing color with pure elegance. Whether you are crafting an immersive atmosphere for high-end commercial spaces, luxury hospitality venues, or modern architectural interiors, its seamless, uniform illumination creates an unforgettable ambiance. It is the perfect choice for visionary designers looking to elevate any environment with captivating, adaptable light.</v>
      </c>
      <c r="G38" s="11" t="s">
        <v>174</v>
      </c>
      <c r="H38" s="13" t="str">
        <f>IFERROR(__xludf.DUMMYFUNCTION("AI(""Give me a paragraph marketing spiel for product in this row, no tech specs just marketing fluff under 180 characters "")"),"Transform your space with vibrant, seamless color. Effortlessly accentuating every contour, this premium light brings pure luxury and artistic elegance to any environment.")</f>
        <v>Transform your space with vibrant, seamless color. Effortlessly accentuating every contour, this premium light brings pure luxury and artistic elegance to any environment.</v>
      </c>
      <c r="I38" s="11" t="s">
        <v>175</v>
      </c>
      <c r="J38" s="23"/>
      <c r="K38" s="23"/>
      <c r="L38" s="15" t="s">
        <v>173</v>
      </c>
      <c r="M38" s="15" t="s">
        <v>176</v>
      </c>
      <c r="N3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""&amp;M38)"),"Power Consumption Rate | Color Temperature | Voltage | IP Rating | Strip Width | Control Protocol | Pixel")</f>
        <v>Power Consumption Rate | Color Temperature | Voltage | IP Rating | Strip Width | Control Protocol | Pixel</v>
      </c>
      <c r="O38" s="25" t="s">
        <v>177</v>
      </c>
      <c r="P3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""&amp;O38&amp;"", Values: ""&amp;M38&amp; "" and SKU Code: ""&amp;"&amp;"L38)"),"{
""Power Consumption Rate"": ""18W/m"",
""Color Temperature"": ""RGBW (3000K)"",
""Voltage"": ""24V"",
""IP Rating"": ""IP20"",
""Strip Width"": ""12mm (W)"",
""Control Protocol"": ""SPI"",
""Pixel"": ""12 Pixels/m"",
""SKU"": ""COB-18W-RGBW-IP20-SPI""
}")</f>
        <v>{
"Power Consumption Rate": "18W/m",
"Color Temperature": "RGBW (3000K)",
"Voltage": "24V",
"IP Rating": "IP20",
"Strip Width": "12mm (W)",
"Control Protocol": "SPI",
"Pixel": "12 Pixels/m",
"SKU": "COB-18W-RGBW-IP20-SPI"
}</v>
      </c>
      <c r="Q38" s="25" t="s">
        <v>178</v>
      </c>
      <c r="R38"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Q38:Q39)"),"{""Power Consumption Rate"": ""18W/m"", ""Color Temperature"": ""RGBW (3000K)"", ""Voltage"": ""24V"", ""IP Rating"": [""IP20"", ""IP65 (Nano-Coated)""], ""Strip Width"": ""12mm (W)"", ""Control Protocol"": ""SPI"", ""Pixel"": ""12 Pixels/m"", ""SKU"": ["&amp;"""COB-18W-RGBW-IP20-SPI"", ""COB-18W-RGBW-IP65-NA-SPI""]}")</f>
        <v>{"Power Consumption Rate": "18W/m", "Color Temperature": "RGBW (3000K)", "Voltage": "24V", "IP Rating": ["IP20", "IP65 (Nano-Coated)"], "Strip Width": "12mm (W)", "Control Protocol": "SPI", "Pixel": "12 Pixels/m", "SKU": ["COB-18W-RGBW-IP20-SPI", "COB-18W-RGBW-IP65-NA-SPI"]}</v>
      </c>
      <c r="S38" s="23" t="s">
        <v>179</v>
      </c>
      <c r="T38" s="18" t="str">
        <f>IFERROR(__xludf.DUMMYFUNCTION("AI(""You are a product catalog configuration expert. Your task is to analyze a list of valid product variant combinations (provided as JSON lines/objects) and generate three JSON structures: """"Options"""", """"Constraints"""", and """"sku_mappings"""".
"&amp;"
### Instructions:
1. **Extract Options:**
   - Group all unique values by their attribute keys.
   - Assign a unique sequential integer string ID to every attribute value, starting from """"101"""" and incrementing by 1 in the order they appear.
   - Fo"&amp;"rmat each attribute as an array of objects: [{""""name"""": """"VALUE"""", """"id"""": """"ID""""}].
2. **Determine Constraints (Bidirectional Incompatibilities):**
   - Identify all pairs of attribute option IDs from DIFFERENT attributes that never appe"&amp;"ar together in any valid SKU combination.
   - Constraints MUST be strictly bidirectional/symmetric:
     - If option A is never paired with option B, then A must list B, AND B must list A.
     - Example: If """"101"""" is never paired with """"106"""", "&amp;"then """"101"""": [""""106""""] and """"106"""": [""""101""""] must both exist.
   - Do NOT attempt to guess a """"primary driving factor""""—record all mutual exclusions.
   - Do NOT include options belonging to the same attribute category as constraints"&amp;" (options in the same category are mutually exclusive by default).
   - Constraint IDs must be formatted as strings.
3. **Determine sku_mappings:**
   - Map every provided record to an object containing """"sku"""" and the exact """"combination"""" array"&amp;" of option IDs that represent its attributes.
4. **Output Format:**
   - Return strictly valid JSON containing three root keys: """"Options"""", """"Constraints"""", and """"sku_mappings"""".
   - Do not wrap the JSON in conversational filler text.
---
"&amp;"
### Example Input:
{""""SKU"""":""""HRS001"""", """"Power"""": """"1.2W"""", """"Optics"""": """"SYM30°"""", """"Color Temperature"""": """"3000K""""}
{""""SKU"""":""""HRS002"""", """"Power"""": """"1.2W"""", """"Optics"""": """"SYM30°"""", """"Color Tem"&amp;"perature"""": """"4000K""""}
{""""SKU"""":""""HRS003"""", """"Power"""": """"1.2W"""", """"Optics"""": """"ASYM50°"""", """"Color Temperature"""": """"3000K""""}
### Example Output:
{
  """"Options"""": {
    """"Power"""": [
      {""""name"""": """"1.2"&amp;"W"""", """"id"""": """"101""""}
    ],
    """"Optics"""": [
      {""""name"""": """"SYM30°"""", """"id"""": """"102""""},
      {""""name"""": """"ASYM50°"""", """"id"""": """"103""""}
    ],
    """"Color Temperature"""": [
      {""""name"""": """"300"&amp;"0K"""", """"id"""": """"104""""},
      {""""name"""": """"4000K"""", """"id"""": """"105""""}
    ]
  },
  """"Constraints"""": {
    """"103"""": [""""105""""],
    """"105"""": [""""103""""]
  },
  """"sku_mappings"""": [
    { """"sku"""": """"HRS001"&amp;""""", """"combination"""": [""""101"""", """"102"""", """"104""""] },
    { """"sku"""": """"HRS002"""", """"combination"""": [""""101"""", """"102"""", """"105""""] },
    { """"sku"""": """"HRS003"""", """"combination"""": [""""101"""", """"103"""", """&amp;"""104""""] }
  ]
}
Process the following product variant combinations and output the """"Options"""", """"Constraints"""" and """"sku_mappings"""" JSON:"", Q38:Q39)"),"{
""Options"": {
""Power Consumption Rate"": [
{
""name"": ""18W/m"",
""id"": ""101""
}
],
""Color Temperature"": [
{
""name"": ""RGBW (3000K)"",
""id"": ""102""
}
],
""Voltage"": [
{
""name"": ""24V"",
""id"": ""103""
}
],
""IP Rating"": [
{
""name"": """&amp;"IP20"",
""id"": ""104""
},
{
""name"": ""IP65 (Nano-Coated)"",
""id"": ""105""
}
],
""Strip Width"": [
{
""name"": ""12mm (W)"",
""id"": ""106""
}
],
""Control Protocol"": [
{
""name"": ""SPI"",
""id"": ""107""
}
],
""Pixel"": [
{
""name"": ""12 Pixels/m"&amp;""",
""id"": ""108""
}
]
},
""Constraints"": {},
""sku_mappings"": [
{
""sku"": ""COB-18W-RGBW-IP20-SPI"",
""combination"": [
""101"",
""102"",
""103"",
""104"",
""106"",
""107"",
""108""
]
},
{
""sku"": ""COB-18W-RGBW-IP65-NA-SPI"",
""combination"": [
""1"&amp;"01"",
""102"",
""103"",
""105"",
""106"",
""107"",
""108""
]
}
]
}")</f>
        <v>{
"Options": {
"Power Consumption Rate": [
{
"name": "18W/m",
"id": "101"
}
],
"Color Temperature": [
{
"name": "RGBW (3000K)",
"id": "102"
}
],
"Voltage": [
{
"name": "24V",
"id": "103"
}
],
"IP Rating": [
{
"name": "IP20",
"id": "104"
},
{
"name": "IP65 (Nano-Coated)",
"id": "105"
}
],
"Strip Width": [
{
"name": "12mm (W)",
"id": "106"
}
],
"Control Protocol": [
{
"name": "SPI",
"id": "107"
}
],
"Pixel": [
{
"name": "12 Pixels/m",
"id": "108"
}
]
},
"Constraints": {},
"sku_mappings": [
{
"sku": "COB-18W-RGBW-IP20-SPI",
"combination": [
"101",
"102",
"103",
"104",
"106",
"107",
"108"
]
},
{
"sku": "COB-18W-RGBW-IP65-NA-SPI",
"combination": [
"101",
"102",
"103",
"105",
"106",
"107",
"108"
]
}
]
}</v>
      </c>
      <c r="U38" s="11" t="s">
        <v>180</v>
      </c>
      <c r="V38" s="20" t="str">
        <f>IFERROR(__xludf.DUMMYFUNCTION("AI(""Extract options object from the json"", U38)"),"{""Power Consumption Rate"": [{""name"": ""18W/m"", ""id"": ""101""}], ""Color Temperature"": [{""name"": ""RGBW (3000K)"", ""id"": ""102""}], ""Voltage"": [{""name"": ""24V"", ""id"": ""103""}], ""IP Rating"": [{""name"": ""IP20"", ""id"": ""104""}, {""n"&amp;"ame"": ""IP65 (Nano-Coated)"", ""id"": ""105""}], ""Strip Width"": [{""name"": ""12mm (W)"", ""id"": ""106""}], ""Control Protocol"": [{""name"": ""SPI"", ""id"": ""107""}], ""Pixel"": [{""name"": ""12 Pixels/m"", ""id"": ""108""}]}")</f>
        <v>{"Power Consumption Rate": [{"name": "18W/m", "id": "101"}], "Color Temperature": [{"name": "RGBW (3000K)", "id": "102"}], "Voltage": [{"name": "24V", "id": "103"}], "IP Rating": [{"name": "IP20", "id": "104"}, {"name": "IP65 (Nano-Coated)", "id": "105"}], "Strip Width": [{"name": "12mm (W)", "id": "106"}], "Control Protocol": [{"name": "SPI", "id": "107"}], "Pixel": [{"name": "12 Pixels/m", "id": "108"}]}</v>
      </c>
      <c r="W38" s="20" t="str">
        <f>IFERROR(__xludf.DUMMYFUNCTION("AI(""Extract constraints object from the json"", U38)"),"{}")</f>
        <v>{}</v>
      </c>
      <c r="X38" s="20" t="str">
        <f>IFERROR(__xludf.DUMMYFUNCTION("AI(""Extract sku_mappings object from the json"", U38)"),"[{""sku"":""COB-18W-RGBW-IP20-SPI"",""combination"":[""101"",""102"",""103"",""104"",""106"",""107"",""108""]},{""sku"":""COB-18W-RGBW-IP65-NA-SPI"",""combination"":[""101"",""102"",""103"",""105"",""106"",""107"",""108""]}]")</f>
        <v>[{"sku":"COB-18W-RGBW-IP20-SPI","combination":["101","102","103","104","106","107","108"]},{"sku":"COB-18W-RGBW-IP65-NA-SPI","combination":["101","102","103","105","106","107","108"]}]</v>
      </c>
      <c r="Y38" s="11" t="s">
        <v>42</v>
      </c>
      <c r="Z38" s="11" t="s">
        <v>181</v>
      </c>
      <c r="AA38" s="11" t="s">
        <v>44</v>
      </c>
      <c r="AB38" s="23"/>
      <c r="AC38" s="23"/>
      <c r="AD38" s="23"/>
    </row>
    <row r="39" ht="37.5" customHeight="1">
      <c r="A39" s="11"/>
      <c r="B39" s="23"/>
      <c r="C39" s="23"/>
      <c r="D39" s="24"/>
      <c r="E39" s="23"/>
      <c r="F39" s="23"/>
      <c r="G39" s="23"/>
      <c r="H39" s="23"/>
      <c r="I39" s="23"/>
      <c r="J39" s="23"/>
      <c r="K39" s="23"/>
      <c r="L39" s="15" t="s">
        <v>182</v>
      </c>
      <c r="M39" s="15" t="s">
        <v>183</v>
      </c>
      <c r="N3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""&amp;M39)"),"Power Consumption Rate | Color Temperature | Voltage | IP Rating | Strip Width | Control Protocol | Pixel")</f>
        <v>Power Consumption Rate | Color Temperature | Voltage | IP Rating | Strip Width | Control Protocol | Pixel</v>
      </c>
      <c r="O39" s="25" t="s">
        <v>177</v>
      </c>
      <c r="P3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""&amp;O39&amp;"", Values: ""&amp;M39&amp; "" and SKU Code: ""&amp;"&amp;"L39)"),"{
""Power Consumption Rate"": ""18W/m"",
""Color Temperature"": ""RGBW (3000K)"",
""Voltage"": ""24V"",
""IP Rating"": ""IP65 (Nano-Coated)"",
""Strip Width"": ""12mm (W)"",
""Control Protocol"": ""SPI"",
""Pixel"": ""12 Pixels/m"",
""SKU"": ""COB-18W-RGB"&amp;"W-IP65-NA-SPI""
}")</f>
        <v>{
"Power Consumption Rate": "18W/m",
"Color Temperature": "RGBW (3000K)",
"Voltage": "24V",
"IP Rating": "IP65 (Nano-Coated)",
"Strip Width": "12mm (W)",
"Control Protocol": "SPI",
"Pixel": "12 Pixels/m",
"SKU": "COB-18W-RGBW-IP65-NA-SPI"
}</v>
      </c>
      <c r="Q39" s="25" t="s">
        <v>184</v>
      </c>
      <c r="R39" s="23"/>
      <c r="S39" s="23"/>
      <c r="T39" s="23"/>
      <c r="U39" s="23"/>
      <c r="V39" s="23"/>
      <c r="W39" s="23"/>
      <c r="X39" s="23"/>
      <c r="Y39" s="11" t="s">
        <v>42</v>
      </c>
      <c r="Z39" s="11" t="s">
        <v>181</v>
      </c>
      <c r="AA39" s="11" t="s">
        <v>44</v>
      </c>
      <c r="AB39" s="23"/>
      <c r="AC39" s="23"/>
      <c r="AD39" s="23"/>
    </row>
    <row r="40" ht="37.5" customHeight="1">
      <c r="A40" s="28" t="s">
        <v>185</v>
      </c>
      <c r="B40" s="11" t="s">
        <v>186</v>
      </c>
      <c r="C40" s="11" t="s">
        <v>32</v>
      </c>
      <c r="D40" s="13" t="s">
        <v>187</v>
      </c>
      <c r="E40" s="12" t="s">
        <v>34</v>
      </c>
      <c r="F40" s="13" t="str">
        <f>IFERROR(__xludf.DUMMYFUNCTION("AI(""Give me a paragraph marketing spiel for product in this row, no tech specs just marketing fluff "")"),"Transform your surroundings with our premium neon linear lighting, expertly crafted to bring a modern, sophisticated brilliance to any setting. Designed with ultimate flexibility and artistic flair in mind, this sleek lighting solution effortlessly curves"&amp;" to follow your unique architectural contours, turning ordinary spaces into breathtaking design statements. Whether you are elevating a luxury interior or casting a captivating glow across a refined outdoor landscape, its flawless, uniform radiance offers"&amp;" an unparalleled upscale aesthetic. Embrace the perfect fusion of elegance and adaptability, and let your design visions shine with magnificent style.")</f>
        <v>Transform your surroundings with our premium neon linear lighting, expertly crafted to bring a modern, sophisticated brilliance to any setting. Designed with ultimate flexibility and artistic flair in mind, this sleek lighting solution effortlessly curves to follow your unique architectural contours, turning ordinary spaces into breathtaking design statements. Whether you are elevating a luxury interior or casting a captivating glow across a refined outdoor landscape, its flawless, uniform radiance offers an unparalleled upscale aesthetic. Embrace the perfect fusion of elegance and adaptability, and let your design visions shine with magnificent style.</v>
      </c>
      <c r="G40" s="11" t="s">
        <v>188</v>
      </c>
      <c r="H40" s="13" t="str">
        <f>IFERROR(__xludf.DUMMYFUNCTION("AI(""Give me a paragraph marketing spiel for product in this row, no tech specs just marketing fluff under 180 characters "")"),"Bring a sophisticated brilliance to your space with premium neon linear lighting. Designed for ultimate flexibility, it effortlessly shapes your vision with a flawless glow.")</f>
        <v>Bring a sophisticated brilliance to your space with premium neon linear lighting. Designed for ultimate flexibility, it effortlessly shapes your vision with a flawless glow.</v>
      </c>
      <c r="I40" s="11" t="s">
        <v>189</v>
      </c>
      <c r="J40" s="23"/>
      <c r="K40" s="23"/>
      <c r="L40" s="15" t="s">
        <v>185</v>
      </c>
      <c r="M40" s="15" t="s">
        <v>190</v>
      </c>
      <c r="N4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""&amp;M40)"),"Power Consumption Rate | Color Temperature | Voltage | IP Rating | Dimension | Cut Interval")</f>
        <v>Power Consumption Rate | Color Temperature | Voltage | IP Rating | Dimension | Cut Interval</v>
      </c>
      <c r="O40" s="25" t="s">
        <v>191</v>
      </c>
      <c r="P4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""&amp;O40&amp;"", Values: ""&amp;M40&amp; "" and SKU Code: ""&amp;"&amp;"L40)"),"{
""Power Consumption Rate"": ""10W/m"",
""Color Temperature"": ""2700K"",
""Voltage"": ""24V"",
""IP Rating"": ""IP67"",
""Dimension"": ""16mm (W) x 16mm (H)"",
""Cut Interval"": ""Free-Cut"",
""SKU"": ""SV1616-10W-2.7K-IP67-FC""
}")</f>
        <v>{
"Power Consumption Rate": "10W/m",
"Color Temperature": "2700K",
"Voltage": "24V",
"IP Rating": "IP67",
"Dimension": "16mm (W) x 16mm (H)",
"Cut Interval": "Free-Cut",
"SKU": "SV1616-10W-2.7K-IP67-FC"
}</v>
      </c>
      <c r="Q40" s="25" t="s">
        <v>192</v>
      </c>
      <c r="R40"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Q40:Q44)"),"{""Power Consumption Rate"": [""10W/m"", ""12W/m""], ""Color Temperature"": [""2700K"", ""3000K"", ""4000K"", ""RGB"", ""RGBW (3000K)""], ""Voltage"": ""24V"", ""IP Rating"": ""IP67"", ""Dimension"": ""16mm (W) x 16mm (H)"", ""Cut Interval"": ""Free-Cut"""&amp;", ""SKU"": [""SV1616-10W-2.7K-IP67-FC"", ""SV1616-10W-3K-IP67-FC"", ""SV1616-10W-4K-IP67-FC"", ""SV1616-12W-RGB-IP67"", ""SV1616-12W-RGBW-IP67""]}")</f>
        <v>{"Power Consumption Rate": ["10W/m", "12W/m"], "Color Temperature": ["2700K", "3000K", "4000K", "RGB", "RGBW (3000K)"], "Voltage": "24V", "IP Rating": "IP67", "Dimension": "16mm (W) x 16mm (H)", "Cut Interval": "Free-Cut", "SKU": ["SV1616-10W-2.7K-IP67-FC", "SV1616-10W-3K-IP67-FC", "SV1616-10W-4K-IP67-FC", "SV1616-12W-RGB-IP67", "SV1616-12W-RGBW-IP67"]}</v>
      </c>
      <c r="S40" s="13" t="s">
        <v>193</v>
      </c>
      <c r="T40"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Q40:Q44)"),"{
""Options"": {
""Power Consumption Rate"": [
{""name"": ""10W/m"", ""id"": ""101""},
{""name"": ""12W/m"", ""id"": ""102""}
],
""Color Temperature"": [
{""name"": ""2700K"", ""id"": ""103""},
{""name"": ""3000K"", ""id"": ""104""},
{""name"": ""4000K"","&amp;" ""id"": ""105""},
{""name"": ""RGB"", ""id"": ""106""},
{""name"": ""RGBW (3000K)"", ""id"": ""107""}
],
""Voltage"": [
{""name"": ""24V"", ""id"": ""108""}
],
""IP Rating"": [
{""name"": ""IP67"", ""id"": ""109""}
],
""Dimension"": [
{""name"": ""16mm ("&amp;"W) x 16mm (H)"", ""id"": ""110""}
],
""Cut Interval"": [
{""name"": ""Free-Cut"", ""id"": ""111""}
]
},
""Constraints"": {
""101"": [""106"", ""107""],
""102"": [""103"", ""104"", ""105"", ""111""]
},
""sku_mappings"": [
{ ""sku"": ""SV1616-10W-2.7K-IP67-"&amp;"FC"", ""combination"": [""101"", ""103"", ""108"", ""109"", ""110"", ""111""] },
{ ""sku"": ""SV1616-10W-3K-IP67-FC"", ""combination"": [""101"", ""104"", ""108"", ""109"", ""110"", ""111""] },
{ ""sku"": ""SV1616-10W-4K-IP67-FC"", ""combination"": [""101"&amp;""", ""105"", ""108"", ""109"", ""110"", ""111""] },
{ ""sku"": ""SV1616-12W-RGB-IP67"", ""combination"": [""102"", ""106"", ""108"", ""109"", ""110""] },
{ ""sku"": ""SV1616-12W-RGBW-IP67"", ""combination"": [""102"", ""107"", ""108"", ""109"", ""110""] }"&amp;"
]
}")</f>
        <v>{
"Options": {
"Power Consumption Rate": [
{"name": "10W/m", "id": "101"},
{"name": "12W/m", "id": "102"}
],
"Color Temperature": [
{"name": "2700K", "id": "103"},
{"name": "3000K", "id": "104"},
{"name": "4000K", "id": "105"},
{"name": "RGB", "id": "106"},
{"name": "RGBW (3000K)", "id": "107"}
],
"Voltage": [
{"name": "24V", "id": "108"}
],
"IP Rating": [
{"name": "IP67", "id": "109"}
],
"Dimension": [
{"name": "16mm (W) x 16mm (H)", "id": "110"}
],
"Cut Interval": [
{"name": "Free-Cut", "id": "111"}
]
},
"Constraints": {
"101": ["106", "107"],
"102": ["103", "104", "105", "111"]
},
"sku_mappings": [
{ "sku": "SV1616-10W-2.7K-IP67-FC", "combination": ["101", "103", "108", "109", "110", "111"] },
{ "sku": "SV1616-10W-3K-IP67-FC", "combination": ["101", "104", "108", "109", "110", "111"] },
{ "sku": "SV1616-10W-4K-IP67-FC", "combination": ["101", "105", "108", "109", "110", "111"] },
{ "sku": "SV1616-12W-RGB-IP67", "combination": ["102", "106", "108", "109", "110"] },
{ "sku": "SV1616-12W-RGBW-IP67", "combination": ["102", "107", "108", "109", "110"] }
]
}</v>
      </c>
      <c r="U40" s="26" t="s">
        <v>194</v>
      </c>
      <c r="V40" s="20" t="str">
        <f>IFERROR(__xludf.DUMMYFUNCTION("AI(""Extract options object from the json"", U40)"),"{""Power Consumption Rate"": [{""name"": ""10W/m"", ""id"": ""101""}, {""name"": ""12W/m"", ""id"": ""102""}], ""Color Temperature"": [{""name"": ""2700K"", ""id"": ""103""}, {""name"": ""3000K"", ""id"": ""104""}, {""name"": ""4000K"", ""id"": ""105""}, "&amp;"{""name"": ""RGB"", ""id"": ""106""}, {""name"": ""RGBW (3000K)"", ""id"": ""107""}], ""Voltage"": [{""name"": ""24V"", ""id"": ""108""}], ""IP Rating"": [{""name"": ""IP67"", ""id"": ""109""}], ""Dimension"": [{""name"": ""16mm (W) x 16mm (H)"", ""id"": "&amp;"""110""}], ""Cut Interval"": [{""name"": ""Free-Cut"", ""id"": ""111""}]}")</f>
        <v>{"Power Consumption Rate": [{"name": "10W/m", "id": "101"}, {"name": "12W/m", "id": "102"}], "Color Temperature": [{"name": "2700K", "id": "103"}, {"name": "3000K", "id": "104"}, {"name": "4000K", "id": "105"}, {"name": "RGB", "id": "106"}, {"name": "RGBW (3000K)", "id": "107"}], "Voltage": [{"name": "24V", "id": "108"}], "IP Rating": [{"name": "IP67", "id": "109"}], "Dimension": [{"name": "16mm (W) x 16mm (H)", "id": "110"}], "Cut Interval": [{"name": "Free-Cut", "id": "111"}]}</v>
      </c>
      <c r="W40" s="20" t="str">
        <f>IFERROR(__xludf.DUMMYFUNCTION("AI(""Extract constraints object from the json"", U40)"),"{""101"": [""106"", ""107""], ""102"": [""103"", ""104"", ""105"", ""111""]}")</f>
        <v>{"101": ["106", "107"], "102": ["103", "104", "105", "111"]}</v>
      </c>
      <c r="X40" s="20" t="str">
        <f>IFERROR(__xludf.DUMMYFUNCTION("AI(""Extract sku_mappings object from the json"", U40)"),"[{""sku"":""SV1616-10W-2.7K-IP67-FC"",""combination"":[""101"",""103"",""108"",""109"",""110"",""111""]},{""sku"":""SV1616-10W-3K-IP67-FC"",""combination"":[""101"",""104"",""108"",""109"",""110"",""111""]},{""sku"":""SV1616-10W-4K-IP67-FC"",""combination"&amp;""":[""101"",""105"",""108"",""109"",""110"",""111""]},{""sku"":""SV1616-12W-RGB-IP67"",""combination"":[""102"",""106"",""108"",""109"",""110""]},{""sku"":""SV1616-12W-RGBW-IP67"",""combination"":[""102"",""107"",""108"",""109"",""110""]}]")</f>
        <v>[{"sku":"SV1616-10W-2.7K-IP67-FC","combination":["101","103","108","109","110","111"]},{"sku":"SV1616-10W-3K-IP67-FC","combination":["101","104","108","109","110","111"]},{"sku":"SV1616-10W-4K-IP67-FC","combination":["101","105","108","109","110","111"]},{"sku":"SV1616-12W-RGB-IP67","combination":["102","106","108","109","110"]},{"sku":"SV1616-12W-RGBW-IP67","combination":["102","107","108","109","110"]}]</v>
      </c>
      <c r="Y40" s="11" t="s">
        <v>42</v>
      </c>
      <c r="Z40" s="11" t="s">
        <v>195</v>
      </c>
      <c r="AA40" s="11" t="s">
        <v>71</v>
      </c>
      <c r="AB40" s="23"/>
      <c r="AC40" s="23" t="str">
        <f>IFERROR(__xludf.DUMMYFUNCTION("AI(""Generate 6 powerful unique keywords for the product in this row"")"),"Neon Linear Lighting, Premium Flexible LED, Modern Architectural Contour, High-End Luxury Interior, Waterproof Landscape Glow, Flawless Uniform Radiance")</f>
        <v>Neon Linear Lighting, Premium Flexible LED, Modern Architectural Contour, High-End Luxury Interior, Waterproof Landscape Glow, Flawless Uniform Radiance</v>
      </c>
      <c r="AD40" s="23" t="s">
        <v>196</v>
      </c>
    </row>
    <row r="41" ht="37.5" customHeight="1">
      <c r="A41" s="11"/>
      <c r="B41" s="23"/>
      <c r="C41" s="23"/>
      <c r="D41" s="24"/>
      <c r="E41" s="23"/>
      <c r="F41" s="23"/>
      <c r="G41" s="23"/>
      <c r="H41" s="23"/>
      <c r="I41" s="23"/>
      <c r="J41" s="23"/>
      <c r="K41" s="23"/>
      <c r="L41" s="15" t="s">
        <v>197</v>
      </c>
      <c r="M41" s="15" t="s">
        <v>198</v>
      </c>
      <c r="N4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""&amp;M41)"),"Power Consumption Rate | Color Temperature | Voltage | IP Rating | Dimension | Cut Interval")</f>
        <v>Power Consumption Rate | Color Temperature | Voltage | IP Rating | Dimension | Cut Interval</v>
      </c>
      <c r="O41" s="25" t="s">
        <v>191</v>
      </c>
      <c r="P4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""&amp;O41&amp;"", Values: ""&amp;M41&amp; "" and SKU Code: ""&amp;"&amp;"L41)"),"{ ""Power Consumption Rate"": ""10W/m"", ""Color Temperature"": ""3000K"", ""Voltage"": ""24V"", ""IP Rating"": ""IP67"", ""Dimension"": ""16mm (W) x 16mm (H)"", ""Cut Interval"": ""Free-Cut"", ""SKU"": ""SV1616-10W-3K-IP67-FC"" }")</f>
        <v>{ "Power Consumption Rate": "10W/m", "Color Temperature": "3000K", "Voltage": "24V", "IP Rating": "IP67", "Dimension": "16mm (W) x 16mm (H)", "Cut Interval": "Free-Cut", "SKU": "SV1616-10W-3K-IP67-FC" }</v>
      </c>
      <c r="Q41" s="25" t="s">
        <v>199</v>
      </c>
      <c r="R41" s="23"/>
      <c r="S41" s="23"/>
      <c r="T41" s="23"/>
      <c r="U41" s="23"/>
      <c r="V41" s="23"/>
      <c r="W41" s="23"/>
      <c r="X41" s="23"/>
      <c r="Y41" s="11" t="s">
        <v>42</v>
      </c>
      <c r="Z41" s="11" t="s">
        <v>195</v>
      </c>
      <c r="AA41" s="11" t="s">
        <v>71</v>
      </c>
      <c r="AB41" s="23"/>
      <c r="AC41" s="23"/>
      <c r="AD41" s="23"/>
    </row>
    <row r="42" ht="37.5" customHeight="1">
      <c r="A42" s="11"/>
      <c r="B42" s="23"/>
      <c r="C42" s="23"/>
      <c r="D42" s="24"/>
      <c r="E42" s="23"/>
      <c r="F42" s="23"/>
      <c r="G42" s="23"/>
      <c r="H42" s="23"/>
      <c r="I42" s="23"/>
      <c r="J42" s="23"/>
      <c r="K42" s="23"/>
      <c r="L42" s="15" t="s">
        <v>200</v>
      </c>
      <c r="M42" s="15" t="s">
        <v>201</v>
      </c>
      <c r="N4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""&amp;M42)"),"Power Consumption Rate | Color Temperature | Voltage | IP Rating | Dimension | Cut Interval")</f>
        <v>Power Consumption Rate | Color Temperature | Voltage | IP Rating | Dimension | Cut Interval</v>
      </c>
      <c r="O42" s="25" t="s">
        <v>191</v>
      </c>
      <c r="P4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""&amp;O42&amp;"", Values: ""&amp;M42&amp; "" and SKU Code: ""&amp;"&amp;"L42)"),"{ ""Power Consumption Rate"": ""10W/m"", ""Color Temperature"": ""4000K"", ""Voltage"": ""24V"", ""IP Rating"": ""IP67"", ""Dimension"": ""16mm (W) x 16mm (H)"", ""Cut Interval"": ""Free-Cut"", ""SKU"": ""SV1616-10W-4K-IP67-FC"" }")</f>
        <v>{ "Power Consumption Rate": "10W/m", "Color Temperature": "4000K", "Voltage": "24V", "IP Rating": "IP67", "Dimension": "16mm (W) x 16mm (H)", "Cut Interval": "Free-Cut", "SKU": "SV1616-10W-4K-IP67-FC" }</v>
      </c>
      <c r="Q42" s="25" t="s">
        <v>202</v>
      </c>
      <c r="R42" s="23"/>
      <c r="S42" s="23"/>
      <c r="T42" s="23"/>
      <c r="U42" s="23"/>
      <c r="V42" s="23"/>
      <c r="W42" s="23"/>
      <c r="X42" s="23"/>
      <c r="Y42" s="11" t="s">
        <v>42</v>
      </c>
      <c r="Z42" s="11" t="s">
        <v>195</v>
      </c>
      <c r="AA42" s="11" t="s">
        <v>71</v>
      </c>
      <c r="AB42" s="23"/>
      <c r="AC42" s="23"/>
      <c r="AD42" s="23"/>
    </row>
    <row r="43" ht="37.5" customHeight="1">
      <c r="A43" s="11"/>
      <c r="B43" s="23"/>
      <c r="C43" s="23"/>
      <c r="D43" s="24"/>
      <c r="E43" s="23"/>
      <c r="F43" s="23"/>
      <c r="G43" s="23"/>
      <c r="H43" s="23"/>
      <c r="I43" s="23"/>
      <c r="J43" s="23"/>
      <c r="K43" s="23"/>
      <c r="L43" s="15" t="s">
        <v>203</v>
      </c>
      <c r="M43" s="15" t="s">
        <v>204</v>
      </c>
      <c r="N4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""&amp;M43)"),"Power Consumption Rate | Color Temperature | Voltage | IP Rating | Dimension")</f>
        <v>Power Consumption Rate | Color Temperature | Voltage | IP Rating | Dimension</v>
      </c>
      <c r="O43" s="25" t="s">
        <v>205</v>
      </c>
      <c r="P4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""&amp;O43&amp;"", Values: ""&amp;M43&amp; "" and SKU Code: ""&amp;"&amp;"L43)"),"{ ""Power Consumption Rate"": ""12W/m"", ""Color Temperature"": ""RGB"", ""Voltage"": ""24V"", ""IP Rating"": ""IP67"", ""Dimension"": ""16mm (W) x 16mm (H)"", ""SKU"": ""SV1616-12W-RGB-IP67"" }")</f>
        <v>{ "Power Consumption Rate": "12W/m", "Color Temperature": "RGB", "Voltage": "24V", "IP Rating": "IP67", "Dimension": "16mm (W) x 16mm (H)", "SKU": "SV1616-12W-RGB-IP67" }</v>
      </c>
      <c r="Q43" s="25" t="s">
        <v>206</v>
      </c>
      <c r="R43" s="23"/>
      <c r="S43" s="23"/>
      <c r="T43" s="23"/>
      <c r="U43" s="23"/>
      <c r="V43" s="23"/>
      <c r="W43" s="23"/>
      <c r="X43" s="23"/>
      <c r="Y43" s="11" t="s">
        <v>42</v>
      </c>
      <c r="Z43" s="11" t="s">
        <v>207</v>
      </c>
      <c r="AA43" s="11" t="s">
        <v>71</v>
      </c>
      <c r="AB43" s="23"/>
      <c r="AC43" s="23"/>
      <c r="AD43" s="23"/>
    </row>
    <row r="44" ht="37.5" customHeight="1">
      <c r="A44" s="11"/>
      <c r="B44" s="23"/>
      <c r="C44" s="23"/>
      <c r="D44" s="24"/>
      <c r="E44" s="23"/>
      <c r="F44" s="23"/>
      <c r="G44" s="23"/>
      <c r="H44" s="23"/>
      <c r="I44" s="23"/>
      <c r="J44" s="23"/>
      <c r="K44" s="23"/>
      <c r="L44" s="15" t="s">
        <v>208</v>
      </c>
      <c r="M44" s="15" t="s">
        <v>209</v>
      </c>
      <c r="N4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""&amp;M44)"),"Power Consumption Rate | Color Temperature | Voltage | IP Rating | Dimension")</f>
        <v>Power Consumption Rate | Color Temperature | Voltage | IP Rating | Dimension</v>
      </c>
      <c r="O44" s="25" t="s">
        <v>205</v>
      </c>
      <c r="P4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""&amp;O44&amp;"", Values: ""&amp;M44&amp; "" and SKU Code: ""&amp;"&amp;"L44)"),"{
""Power Consumption Rate"": ""12W/m"",
""Color Temperature"": ""RGBW (3000K)"",
""Voltage"": ""24V"",
""IP Rating"": ""IP67"",
""Dimension"": ""16mm (W) x 16mm (H)"",
""SKU"": ""SV1616-12W-RGBW-IP67""
}")</f>
        <v>{
"Power Consumption Rate": "12W/m",
"Color Temperature": "RGBW (3000K)",
"Voltage": "24V",
"IP Rating": "IP67",
"Dimension": "16mm (W) x 16mm (H)",
"SKU": "SV1616-12W-RGBW-IP67"
}</v>
      </c>
      <c r="Q44" s="25" t="s">
        <v>210</v>
      </c>
      <c r="R44" s="23"/>
      <c r="S44" s="23"/>
      <c r="T44" s="23"/>
      <c r="U44" s="23"/>
      <c r="V44" s="23"/>
      <c r="W44" s="23"/>
      <c r="X44" s="23"/>
      <c r="Y44" s="11" t="s">
        <v>42</v>
      </c>
      <c r="Z44" s="11" t="s">
        <v>211</v>
      </c>
      <c r="AA44" s="11" t="s">
        <v>71</v>
      </c>
      <c r="AB44" s="23"/>
      <c r="AC44" s="23"/>
      <c r="AD44" s="23"/>
    </row>
    <row r="45" ht="37.5" customHeight="1">
      <c r="A45" s="28" t="s">
        <v>212</v>
      </c>
      <c r="B45" s="11" t="s">
        <v>186</v>
      </c>
      <c r="C45" s="11" t="s">
        <v>32</v>
      </c>
      <c r="D45" s="13" t="s">
        <v>187</v>
      </c>
      <c r="E45" s="12" t="s">
        <v>34</v>
      </c>
      <c r="F45" s="13" t="str">
        <f>IFERROR(__xludf.DUMMYFUNCTION("AI(""Give me a paragraph marketing spiel for product in this row, no tech specs just marketing fluff "")"),"Bring a sophisticated brilliance to your space with premium neon linear lighting. Designed for ultimate flexibility, it effortlessly shapes your vision with a flawless, uniform glow that elevates any architectural design. Whether you are creating dynamic "&amp;"accent lighting or transforming high-end commercial and residential environments, this solution delivers mesmerizing visual impact, seamless elegance, and unmatched versatility for designers who demand extraordinary style.")</f>
        <v>Bring a sophisticated brilliance to your space with premium neon linear lighting. Designed for ultimate flexibility, it effortlessly shapes your vision with a flawless, uniform glow that elevates any architectural design. Whether you are creating dynamic accent lighting or transforming high-end commercial and residential environments, this solution delivers mesmerizing visual impact, seamless elegance, and unmatched versatility for designers who demand extraordinary style.</v>
      </c>
      <c r="G45" s="11" t="s">
        <v>213</v>
      </c>
      <c r="H45" s="13" t="str">
        <f>IFERROR(__xludf.DUMMYFUNCTION("AI(""Give me a paragraph marketing spiel for product in this row, no tech specs just marketing fluff under 180 characters "")"),"Transform any space with breathtaking elegance. Our sleek neon lighting effortlessly curves to complement architectural contours, casting a captivating and sophisticated glow.")</f>
        <v>Transform any space with breathtaking elegance. Our sleek neon lighting effortlessly curves to complement architectural contours, casting a captivating and sophisticated glow.</v>
      </c>
      <c r="I45" s="11" t="s">
        <v>214</v>
      </c>
      <c r="J45" s="23"/>
      <c r="K45" s="23"/>
      <c r="L45" s="15" t="s">
        <v>212</v>
      </c>
      <c r="M45" s="15" t="s">
        <v>215</v>
      </c>
      <c r="N4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""&amp;M45)"),"Power Consumption Rate | Color Temperature | Voltage | IP Rating | Dimension | Control Protocol | Pixel")</f>
        <v>Power Consumption Rate | Color Temperature | Voltage | IP Rating | Dimension | Control Protocol | Pixel</v>
      </c>
      <c r="O45" s="25" t="s">
        <v>216</v>
      </c>
      <c r="P4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""&amp;O45&amp;"", Values: ""&amp;M45&amp; "" and SKU Code: ""&amp;"&amp;"L45)"),"{ ""Power Consumption Rate"": ""14W/m"", ""Color Temperature"": ""RGB"", ""Voltage"": ""24V"", ""IP Rating"": ""IP67"", ""Dimension"": ""16mm (W) x 16mm (H)"", ""Control Protocol"": ""DMX"", ""Pixel"": ""12 Pixels/m"", ""SKU"": ""SV1616-12W-RGB-IP67-DMX"""&amp;" }")</f>
        <v>{ "Power Consumption Rate": "14W/m", "Color Temperature": "RGB", "Voltage": "24V", "IP Rating": "IP67", "Dimension": "16mm (W) x 16mm (H)", "Control Protocol": "DMX", "Pixel": "12 Pixels/m", "SKU": "SV1616-12W-RGB-IP67-DMX" }</v>
      </c>
      <c r="Q45" s="25" t="s">
        <v>217</v>
      </c>
      <c r="R45"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Q45:Q46)"),"{""Power Consumption Rate"": [""14W/m"", ""17W/m""], ""Color Temperature"": [""RGB"", ""RGBW (3000K)""], ""Voltage"": ""24V"", ""IP Rating"": ""IP67"", ""Dimension"": ""16mm (W) x 16mm (H)"", ""Control Protocol"": ""DMX"", ""Pixel"": ""12 Pixels/m"", ""SK"&amp;"U"": [""SV1616-12W-RGB-IP67-DMX"", ""SV1616-12W-RGBW-IP67-DMX""]}")</f>
        <v>{"Power Consumption Rate": ["14W/m", "17W/m"], "Color Temperature": ["RGB", "RGBW (3000K)"], "Voltage": "24V", "IP Rating": "IP67", "Dimension": "16mm (W) x 16mm (H)", "Control Protocol": "DMX", "Pixel": "12 Pixels/m", "SKU": ["SV1616-12W-RGB-IP67-DMX", "SV1616-12W-RGBW-IP67-DMX"]}</v>
      </c>
      <c r="S45" s="11" t="s">
        <v>218</v>
      </c>
      <c r="T45"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Q45:Q46)"),"{ ""Options"": { ""Power Consumption Rate"": [ {""name"": ""14W/m"", ""id"": ""101""}, {""name"": ""17W/m"", ""id"": ""102""} ], ""Color Temperature"": [ {""name"": ""RGB"", ""id"": ""103""}, {""name"": ""RGBW (3000K)"", ""id"": ""104""} ], ""Voltage"": ["&amp;" {""name"": ""24V"", ""id"": ""105""} ], ""IP Rating"": [ {""name"": ""IP67"", ""id"": ""106""} ], ""Dimension"": [ {""name"": ""16mm (W) x 16mm (H)"", ""id"": ""107""} ], ""Control Protocol"": [ {""name"": ""DMX"", ""id"": ""108""} ], ""Pixel"": [ {""nam"&amp;"e"": ""12 Pixels/m"", ""id"": ""109""} ] }, ""Constraints"": { ""101"": [""104""], ""102"": [""103""] }, ""sku_mappings"": [ { ""sku"": ""SV1616-12W-RGB-IP67-DMX"", ""combination"": [""101"", ""103"", ""105"", ""106"", ""107"", ""108"", ""109""] }, { ""sk"&amp;"u"": ""SV1616-12W-RGBW-IP67-DMX"", ""combination"": [""102"", ""104"", ""105"", ""106"", ""107"", ""108"", ""109""] } ] }")</f>
        <v>{ "Options": { "Power Consumption Rate": [ {"name": "14W/m", "id": "101"}, {"name": "17W/m", "id": "102"} ], "Color Temperature": [ {"name": "RGB", "id": "103"}, {"name": "RGBW (3000K)", "id": "104"} ], "Voltage": [ {"name": "24V", "id": "105"} ], "IP Rating": [ {"name": "IP67", "id": "106"} ], "Dimension": [ {"name": "16mm (W) x 16mm (H)", "id": "107"} ], "Control Protocol": [ {"name": "DMX", "id": "108"} ], "Pixel": [ {"name": "12 Pixels/m", "id": "109"} ] }, "Constraints": { "101": ["104"], "102": ["103"] }, "sku_mappings": [ { "sku": "SV1616-12W-RGB-IP67-DMX", "combination": ["101", "103", "105", "106", "107", "108", "109"] }, { "sku": "SV1616-12W-RGBW-IP67-DMX", "combination": ["102", "104", "105", "106", "107", "108", "109"] } ] }</v>
      </c>
      <c r="U45" s="11" t="s">
        <v>219</v>
      </c>
      <c r="V45" s="20" t="str">
        <f>IFERROR(__xludf.DUMMYFUNCTION("AI(""Extract options object from the json"", U45)"),"{""Power Consumption Rate"": [{""name"": ""14W/m"", ""id"": ""101""}, {""name"": ""17W/m"", ""id"": ""102""}], ""Color Temperature"": [{""name"": ""RGB"", ""id"": ""103""}, {""name"": ""RGBW (3000K)"", ""id"": ""104""}], ""Voltage"": [{""name"": ""24V"", "&amp;"""id"": ""105""}], ""IP Rating"": [{""name"": ""IP67"", ""id"": ""106""}], ""Dimension"": [{""name"": ""16mm (W) x 16mm (H)"", ""id"": ""107""}], ""Control Protocol"": [{""name"": ""DMX"", ""id"": ""108""}], ""Pixel"": [{""name"": ""12 Pixels/m"", ""id"":"&amp;" ""109""}]}")</f>
        <v>{"Power Consumption Rate": [{"name": "14W/m", "id": "101"}, {"name": "17W/m", "id": "102"}], "Color Temperature": [{"name": "RGB", "id": "103"}, {"name": "RGBW (3000K)", "id": "104"}], "Voltage": [{"name": "24V", "id": "105"}], "IP Rating": [{"name": "IP67", "id": "106"}], "Dimension": [{"name": "16mm (W) x 16mm (H)", "id": "107"}], "Control Protocol": [{"name": "DMX", "id": "108"}], "Pixel": [{"name": "12 Pixels/m", "id": "109"}]}</v>
      </c>
      <c r="W45" s="20" t="str">
        <f>IFERROR(__xludf.DUMMYFUNCTION("AI(""Extract constraints object from the json"", U45)"),"{""101"": [""104""], ""102"": [""103""]}")</f>
        <v>{"101": ["104"], "102": ["103"]}</v>
      </c>
      <c r="X45" s="20" t="str">
        <f>IFERROR(__xludf.DUMMYFUNCTION("AI(""Extract sku_mappings object from the json"", U45)"),"[{""sku"":""SV1616-12W-RGB-IP67-DMX"",""combination"":[""101"",""103"",""105"",""106"",""107"",""108"",""109""]},{""sku"":""SV1616-12W-RGBW-IP67-DMX"",""combination"":[""102"",""104"",""105"",""106"",""107"",""108"",""109""]}]")</f>
        <v>[{"sku":"SV1616-12W-RGB-IP67-DMX","combination":["101","103","105","106","107","108","109"]},{"sku":"SV1616-12W-RGBW-IP67-DMX","combination":["102","104","105","106","107","108","109"]}]</v>
      </c>
      <c r="Y45" s="11" t="s">
        <v>42</v>
      </c>
      <c r="Z45" s="11" t="s">
        <v>220</v>
      </c>
      <c r="AA45" s="11" t="s">
        <v>44</v>
      </c>
      <c r="AB45" s="23"/>
      <c r="AC45" s="23"/>
      <c r="AD45" s="23"/>
    </row>
    <row r="46" ht="37.5" customHeight="1">
      <c r="A46" s="11"/>
      <c r="B46" s="23"/>
      <c r="C46" s="23"/>
      <c r="D46" s="24"/>
      <c r="E46" s="23"/>
      <c r="F46" s="23"/>
      <c r="G46" s="23"/>
      <c r="H46" s="23"/>
      <c r="I46" s="23"/>
      <c r="J46" s="23"/>
      <c r="K46" s="23"/>
      <c r="L46" s="15" t="s">
        <v>221</v>
      </c>
      <c r="M46" s="15" t="s">
        <v>222</v>
      </c>
      <c r="N4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""&amp;M46)"),"Power Consumption Rate | Color Temperature | Voltage | IP Rating | Dimension | Control Protocol | Pixel")</f>
        <v>Power Consumption Rate | Color Temperature | Voltage | IP Rating | Dimension | Control Protocol | Pixel</v>
      </c>
      <c r="O46" s="25" t="s">
        <v>216</v>
      </c>
      <c r="P4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""&amp;O46&amp;"", Values: ""&amp;M46&amp; "" and SKU Code: ""&amp;"&amp;"L46)"),"{
""Power Consumption Rate"": ""17W/m"",
""Color Temperature"": ""RGBW (3000K)"",
""Voltage"": ""24V"",
""IP Rating"": ""IP67"",
""Dimension"": ""16mm (W) x 16mm (H)"",
""Control Protocol"": ""DMX"",
""Pixel"": ""12 Pixels/m"",
""SKU"": ""SV1616-12W-RGBW-"&amp;"IP67-DMX""
}")</f>
        <v>{
"Power Consumption Rate": "17W/m",
"Color Temperature": "RGBW (3000K)",
"Voltage": "24V",
"IP Rating": "IP67",
"Dimension": "16mm (W) x 16mm (H)",
"Control Protocol": "DMX",
"Pixel": "12 Pixels/m",
"SKU": "SV1616-12W-RGBW-IP67-DMX"
}</v>
      </c>
      <c r="Q46" s="25" t="s">
        <v>223</v>
      </c>
      <c r="R46" s="23"/>
      <c r="S46" s="23"/>
      <c r="T46" s="23"/>
      <c r="U46" s="23"/>
      <c r="V46" s="23"/>
      <c r="W46" s="23"/>
      <c r="X46" s="23"/>
      <c r="Y46" s="11" t="s">
        <v>42</v>
      </c>
      <c r="Z46" s="11" t="s">
        <v>224</v>
      </c>
      <c r="AA46" s="11" t="s">
        <v>44</v>
      </c>
      <c r="AB46" s="23"/>
      <c r="AC46" s="23"/>
      <c r="AD46" s="23"/>
    </row>
    <row r="47" ht="37.5" customHeight="1">
      <c r="A47" s="28" t="s">
        <v>225</v>
      </c>
      <c r="B47" s="11" t="s">
        <v>226</v>
      </c>
      <c r="C47" s="11" t="s">
        <v>32</v>
      </c>
      <c r="D47" s="13" t="s">
        <v>187</v>
      </c>
      <c r="E47" s="12" t="s">
        <v>34</v>
      </c>
      <c r="F47" s="13" t="str">
        <f>IFERROR(__xludf.DUMMYFUNCTION("AI(""Give me a paragraph marketing spiel for product in this row, no tech specs just marketing fluff "")"),"Bring a sophisticated brilliance to your space with our premium neon linear lighting solution. Designed for ultimate flexibility and breathtaking visual impact, this top-view neon light effortlessly shapes your vision with a flawless, continuous glow. Whe"&amp;"ther you are illuminating high-end interior features or creating striking architectural accents, its seamless illumination brings warmth, elegance, and modern flair to any environment. Elevate your design concepts and transform ordinary spaces into extrao"&amp;"rdinary visual experiences with lighting crafted to inspire.")</f>
        <v>Bring a sophisticated brilliance to your space with our premium neon linear lighting solution. Designed for ultimate flexibility and breathtaking visual impact, this top-view neon light effortlessly shapes your vision with a flawless, continuous glow. Whether you are illuminating high-end interior features or creating striking architectural accents, its seamless illumination brings warmth, elegance, and modern flair to any environment. Elevate your design concepts and transform ordinary spaces into extraordinary visual experiences with lighting crafted to inspire.</v>
      </c>
      <c r="G47" s="11" t="s">
        <v>227</v>
      </c>
      <c r="H47" s="13" t="str">
        <f>IFERROR(__xludf.DUMMYFUNCTION("AI(""Give me a paragraph marketing spiel for product in this row, no tech specs just marketing fluff under 180 characters "")"),"Elevate your space with modern neon linear lighting, designed to effortlessly curve along your architectural contours and fill any room with a smooth, captivating glow.")</f>
        <v>Elevate your space with modern neon linear lighting, designed to effortlessly curve along your architectural contours and fill any room with a smooth, captivating glow.</v>
      </c>
      <c r="I47" s="11" t="s">
        <v>228</v>
      </c>
      <c r="J47" s="23"/>
      <c r="K47" s="23"/>
      <c r="L47" s="15" t="s">
        <v>225</v>
      </c>
      <c r="M47" s="15" t="s">
        <v>190</v>
      </c>
      <c r="N4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""&amp;M47)"),"Power Consumption Rate | Color Temperature | Voltage | IP Rating | Dimension | Cut Interval")</f>
        <v>Power Consumption Rate | Color Temperature | Voltage | IP Rating | Dimension | Cut Interval</v>
      </c>
      <c r="O47" s="25" t="s">
        <v>191</v>
      </c>
      <c r="P4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""&amp;O47&amp;"", Values: ""&amp;M47&amp; "" and SKU Code: ""&amp;"&amp;"L47)"),"{ ""Power Consumption Rate"": ""10W/m"", ""Color Temperature"": ""2700K"", ""Voltage"": ""24V"", ""IP Rating"": ""IP67"", ""Dimension"": ""16mm (W) x 16mm (H)"", ""Cut Interval"": ""Free-Cut"", ""SKU"": ""TV1616-10W-2.7K-IP67-FC"" }")</f>
        <v>{ "Power Consumption Rate": "10W/m", "Color Temperature": "2700K", "Voltage": "24V", "IP Rating": "IP67", "Dimension": "16mm (W) x 16mm (H)", "Cut Interval": "Free-Cut", "SKU": "TV1616-10W-2.7K-IP67-FC" }</v>
      </c>
      <c r="Q47" s="25" t="s">
        <v>229</v>
      </c>
      <c r="R47"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Q47:Q51)"),"{""Power Consumption Rate"": [""10W/m"", ""12W/m""], ""Color Temperature"": [""2700K"", ""3000K"", ""4000K"", ""RGB"", ""RGBW (3000K)""], ""Voltage"": ""24V"", ""IP Rating"": ""IP67"", ""Dimension"": ""16mm (W) x 16mm (H)"", ""Cut Interval"": ""Free-Cut"""&amp;", ""SKU"": [""TV1616-10W-2.7K-IP67-FC"", ""TV1616-10W-3K-IP67-FC"", ""TV1616-10W-4K-IP67-FC"", ""TV1616-12W-RGB-IP67"", ""TV1616-12W-RGBW-IP67""]}")</f>
        <v>{"Power Consumption Rate": ["10W/m", "12W/m"], "Color Temperature": ["2700K", "3000K", "4000K", "RGB", "RGBW (3000K)"], "Voltage": "24V", "IP Rating": "IP67", "Dimension": "16mm (W) x 16mm (H)", "Cut Interval": "Free-Cut", "SKU": ["TV1616-10W-2.7K-IP67-FC", "TV1616-10W-3K-IP67-FC", "TV1616-10W-4K-IP67-FC", "TV1616-12W-RGB-IP67", "TV1616-12W-RGBW-IP67"]}</v>
      </c>
      <c r="S47" s="11" t="s">
        <v>230</v>
      </c>
      <c r="T47"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Q47:Q51)"),"{
""Options"": {
""Power Consumption Rate"": [
{ ""name"": ""10W/m"", ""id"": ""101"" },
{ ""name"": ""12W/m"", ""id"": ""102"" }
],
""Color Temperature"": [
{ ""name"": ""2700K"", ""id"": ""103"" },
{ ""name"": ""3000K"", ""id"": ""104"" },
{ ""name"": "&amp;"""4000K"", ""id"": ""105"" },
{ ""name"": ""RGB"", ""id"": ""106"" },
{ ""name"": ""RGBW (3000K)"", ""id"": ""107"" }
],
""Voltage"": [
{ ""name"": ""24V"", ""id"": ""108"" }
],
""IP Rating"": [
{ ""name"": ""IP67"", ""id"": ""109"" }
],
""Dimension"": [
"&amp;"{ ""name"": ""16mm (W) x 16mm (H)"", ""id"": ""110"" }
],
""Cut Interval"": [
{ ""name"": ""Free-Cut"", ""id"": ""111"" }
]
},
""Constraints"": {
""101"": [""106"", ""107""],
""102"": [""103"", ""104"", ""105"", ""111""]
},
""sku_mappings"": [
{ ""sku"": "&amp;"""TV1616-10W-2.7K-IP67-FC"", ""combination"": [""101"", ""103"", ""108"", ""109"", ""110"", ""111""] },
{ ""sku"": ""TV1616-10W-3K-IP67-FC"", ""combination"": [""101"", ""104"", ""108"", ""109"", ""110"", ""111""] },
{ ""sku"": ""TV1616-10W-4K-IP67-FC"", "&amp;"""combination"": [""101"", ""105"", ""108"", ""109"", ""110"", ""111""] },
{ ""sku"": ""TV1616-12W-RGB-IP67"", ""combination"": [""102"", ""106"", ""108"", ""109"", ""110""] },
{ ""sku"": ""TV1616-12W-RGBW-IP67"", ""combination"": [""102"", ""107"", ""108"&amp;""", ""109"", ""110""] }
]
}")</f>
        <v>{
"Options": {
"Power Consumption Rate": [
{ "name": "10W/m", "id": "101" },
{ "name": "12W/m", "id": "102" }
],
"Color Temperature": [
{ "name": "2700K", "id": "103" },
{ "name": "3000K", "id": "104" },
{ "name": "4000K", "id": "105" },
{ "name": "RGB", "id": "106" },
{ "name": "RGBW (3000K)", "id": "107" }
],
"Voltage": [
{ "name": "24V", "id": "108" }
],
"IP Rating": [
{ "name": "IP67", "id": "109" }
],
"Dimension": [
{ "name": "16mm (W) x 16mm (H)", "id": "110" }
],
"Cut Interval": [
{ "name": "Free-Cut", "id": "111" }
]
},
"Constraints": {
"101": ["106", "107"],
"102": ["103", "104", "105", "111"]
},
"sku_mappings": [
{ "sku": "TV1616-10W-2.7K-IP67-FC", "combination": ["101", "103", "108", "109", "110", "111"] },
{ "sku": "TV1616-10W-3K-IP67-FC", "combination": ["101", "104", "108", "109", "110", "111"] },
{ "sku": "TV1616-10W-4K-IP67-FC", "combination": ["101", "105", "108", "109", "110", "111"] },
{ "sku": "TV1616-12W-RGB-IP67", "combination": ["102", "106", "108", "109", "110"] },
{ "sku": "TV1616-12W-RGBW-IP67", "combination": ["102", "107", "108", "109", "110"] }
]
}</v>
      </c>
      <c r="U47" s="11" t="s">
        <v>231</v>
      </c>
      <c r="V47" s="20" t="str">
        <f>IFERROR(__xludf.DUMMYFUNCTION("AI(""Extract options object from the json"", U47)"),"{""Power Consumption Rate"": [{""name"": ""10W/m"", ""id"": ""101""}, {""name"": ""12W/m"", ""id"": ""102""}], ""Color Temperature"": [{""name"": ""2700K"", ""id"": ""103""}, {""name"": ""3000K"", ""id"": ""104""}, {""name"": ""4000K"", ""id"": ""105""}, "&amp;"{""name"": ""RGB"", ""id"": ""106""}, {""name"": ""RGBW (3000K)"", ""id"": ""107""}], ""Voltage"": [{""name"": ""24V"", ""id"": ""108""}], ""IP Rating"": [{""name"": ""IP67"", ""id"": ""109""}], ""Dimension"": [{""name"": ""16mm (W) x 16mm (H)"", ""id"": "&amp;"""110""}], ""Cut Interval"": [{""name"": ""Free-Cut"", ""id"": ""111""}]}")</f>
        <v>{"Power Consumption Rate": [{"name": "10W/m", "id": "101"}, {"name": "12W/m", "id": "102"}], "Color Temperature": [{"name": "2700K", "id": "103"}, {"name": "3000K", "id": "104"}, {"name": "4000K", "id": "105"}, {"name": "RGB", "id": "106"}, {"name": "RGBW (3000K)", "id": "107"}], "Voltage": [{"name": "24V", "id": "108"}], "IP Rating": [{"name": "IP67", "id": "109"}], "Dimension": [{"name": "16mm (W) x 16mm (H)", "id": "110"}], "Cut Interval": [{"name": "Free-Cut", "id": "111"}]}</v>
      </c>
      <c r="W47" s="20" t="str">
        <f>IFERROR(__xludf.DUMMYFUNCTION("AI(""Extract constraints object from the json"", U47)"),"{""101"": [""106"", ""107""], ""102"": [""103"", ""104"", ""105"", ""111""]}")</f>
        <v>{"101": ["106", "107"], "102": ["103", "104", "105", "111"]}</v>
      </c>
      <c r="X47" s="20" t="str">
        <f>IFERROR(__xludf.DUMMYFUNCTION("AI(""Extract sku_mappings object from the json"", U47)"),"[{""sku"":""TV1616-10W-2.7K-IP67-FC"",""combination"":[""101"",""103"",""108"",""109"",""110"",""111""]},{""sku"":""TV1616-10W-3K-IP67-FC"",""combination"":[""101"",""104"",""108"",""109"",""110"",""111""]},{""sku"":""TV1616-10W-4K-IP67-FC"",""combination"&amp;""":[""101"",""105"",""108"",""109"",""110"",""111""]},{""sku"":""TV1616-12W-RGB-IP67"",""combination"":[""102"",""106"",""108"",""109"",""110""]},{""sku"":""TV1616-12W-RGBW-IP67"",""combination"":[""102"",""107"",""108"",""109"",""110""]}]")</f>
        <v>[{"sku":"TV1616-10W-2.7K-IP67-FC","combination":["101","103","108","109","110","111"]},{"sku":"TV1616-10W-3K-IP67-FC","combination":["101","104","108","109","110","111"]},{"sku":"TV1616-10W-4K-IP67-FC","combination":["101","105","108","109","110","111"]},{"sku":"TV1616-12W-RGB-IP67","combination":["102","106","108","109","110"]},{"sku":"TV1616-12W-RGBW-IP67","combination":["102","107","108","109","110"]}]</v>
      </c>
      <c r="Y47" s="11" t="s">
        <v>42</v>
      </c>
      <c r="Z47" s="11" t="s">
        <v>232</v>
      </c>
      <c r="AA47" s="11" t="s">
        <v>71</v>
      </c>
      <c r="AB47" s="23"/>
      <c r="AC47" s="23"/>
      <c r="AD47" s="23"/>
    </row>
    <row r="48" ht="37.5" customHeight="1">
      <c r="A48" s="11"/>
      <c r="B48" s="23"/>
      <c r="C48" s="23"/>
      <c r="D48" s="24"/>
      <c r="E48" s="23"/>
      <c r="F48" s="23"/>
      <c r="G48" s="23"/>
      <c r="H48" s="23"/>
      <c r="I48" s="23"/>
      <c r="J48" s="23"/>
      <c r="K48" s="23"/>
      <c r="L48" s="15" t="s">
        <v>233</v>
      </c>
      <c r="M48" s="15" t="s">
        <v>198</v>
      </c>
      <c r="N4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""&amp;M48)"),"Power Consumption Rate | Color Temperature | Voltage | IP Rating | Dimension | Cut Interval")</f>
        <v>Power Consumption Rate | Color Temperature | Voltage | IP Rating | Dimension | Cut Interval</v>
      </c>
      <c r="O48" s="25" t="s">
        <v>191</v>
      </c>
      <c r="P4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""&amp;O48&amp;"", Values: ""&amp;M48&amp; "" and SKU Code: ""&amp;"&amp;"L48)"),"{
""Power Consumption Rate"": ""10W/m"",
""Color Temperature"": ""3000K"",
""Voltage"": ""24V"",
""IP Rating"": ""IP67"",
""Dimension"": ""16mm (W) x 16mm (H)"",
""Cut Interval"": ""Free-Cut"",
""SKU"": ""TV1616-10W-3K-IP67-FC""
}")</f>
        <v>{
"Power Consumption Rate": "10W/m",
"Color Temperature": "3000K",
"Voltage": "24V",
"IP Rating": "IP67",
"Dimension": "16mm (W) x 16mm (H)",
"Cut Interval": "Free-Cut",
"SKU": "TV1616-10W-3K-IP67-FC"
}</v>
      </c>
      <c r="Q48" s="25" t="s">
        <v>234</v>
      </c>
      <c r="R48" s="23"/>
      <c r="S48" s="23"/>
      <c r="T48" s="23"/>
      <c r="U48" s="23"/>
      <c r="V48" s="23"/>
      <c r="W48" s="23"/>
      <c r="X48" s="23"/>
      <c r="Y48" s="11" t="s">
        <v>42</v>
      </c>
      <c r="Z48" s="11" t="s">
        <v>232</v>
      </c>
      <c r="AA48" s="11" t="s">
        <v>71</v>
      </c>
      <c r="AB48" s="23"/>
      <c r="AC48" s="23"/>
      <c r="AD48" s="23"/>
    </row>
    <row r="49" ht="37.5" customHeight="1">
      <c r="A49" s="11"/>
      <c r="B49" s="23"/>
      <c r="C49" s="23"/>
      <c r="D49" s="24"/>
      <c r="E49" s="23"/>
      <c r="F49" s="23"/>
      <c r="G49" s="23"/>
      <c r="H49" s="23"/>
      <c r="I49" s="23"/>
      <c r="J49" s="23"/>
      <c r="K49" s="23"/>
      <c r="L49" s="15" t="s">
        <v>235</v>
      </c>
      <c r="M49" s="15" t="s">
        <v>201</v>
      </c>
      <c r="N4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""&amp;M49)"),"Power Consumption Rate | Color Temperature | Voltage | IP Rating | Dimension | Cut Interval")</f>
        <v>Power Consumption Rate | Color Temperature | Voltage | IP Rating | Dimension | Cut Interval</v>
      </c>
      <c r="O49" s="25" t="s">
        <v>191</v>
      </c>
      <c r="P4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""&amp;O49&amp;"", Values: ""&amp;M49&amp; "" and SKU Code: ""&amp;"&amp;"L49)"),"{ ""Power Consumption Rate"": ""10W/m"", ""Color Temperature"": ""4000K"", ""Voltage"": ""24V"", ""IP Rating"": ""IP67"", ""Dimension"": ""16mm (W) x 16mm (H)"", ""Cut Interval"": ""Free-Cut"", ""SKU"": ""TV1616-10W-4K-IP67-FC"" }")</f>
        <v>{ "Power Consumption Rate": "10W/m", "Color Temperature": "4000K", "Voltage": "24V", "IP Rating": "IP67", "Dimension": "16mm (W) x 16mm (H)", "Cut Interval": "Free-Cut", "SKU": "TV1616-10W-4K-IP67-FC" }</v>
      </c>
      <c r="Q49" s="25" t="s">
        <v>236</v>
      </c>
      <c r="R49" s="23"/>
      <c r="S49" s="23"/>
      <c r="T49" s="23"/>
      <c r="U49" s="23"/>
      <c r="V49" s="23"/>
      <c r="W49" s="23"/>
      <c r="X49" s="23"/>
      <c r="Y49" s="11" t="s">
        <v>42</v>
      </c>
      <c r="Z49" s="11" t="s">
        <v>232</v>
      </c>
      <c r="AA49" s="11" t="s">
        <v>71</v>
      </c>
      <c r="AB49" s="23"/>
      <c r="AC49" s="23"/>
      <c r="AD49" s="23"/>
    </row>
    <row r="50" ht="37.5" customHeight="1">
      <c r="A50" s="11"/>
      <c r="B50" s="23"/>
      <c r="C50" s="23"/>
      <c r="D50" s="24"/>
      <c r="E50" s="23"/>
      <c r="F50" s="23"/>
      <c r="G50" s="23"/>
      <c r="H50" s="23"/>
      <c r="I50" s="23"/>
      <c r="J50" s="23"/>
      <c r="K50" s="23"/>
      <c r="L50" s="15" t="s">
        <v>237</v>
      </c>
      <c r="M50" s="15" t="s">
        <v>204</v>
      </c>
      <c r="N5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""&amp;M50)"),"Power Consumption Rate | Color Temperature | Voltage | IP Rating | Dimension")</f>
        <v>Power Consumption Rate | Color Temperature | Voltage | IP Rating | Dimension</v>
      </c>
      <c r="O50" s="25" t="s">
        <v>205</v>
      </c>
      <c r="P5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""&amp;O50&amp;"", Values: ""&amp;M50&amp; "" and SKU Code: ""&amp;"&amp;"L50)"),"{ ""Power Consumption Rate"": ""12W/m"", ""Color Temperature"": ""RGB"", ""Voltage"": ""24V"", ""IP Rating"": ""IP67"", ""Dimension"": ""16mm (W) x 16mm (H)"", ""SKU"": ""TV1616-12W-RGB-IP67"" }")</f>
        <v>{ "Power Consumption Rate": "12W/m", "Color Temperature": "RGB", "Voltage": "24V", "IP Rating": "IP67", "Dimension": "16mm (W) x 16mm (H)", "SKU": "TV1616-12W-RGB-IP67" }</v>
      </c>
      <c r="Q50" s="25" t="s">
        <v>238</v>
      </c>
      <c r="R50" s="23"/>
      <c r="S50" s="23"/>
      <c r="T50" s="23"/>
      <c r="U50" s="23"/>
      <c r="V50" s="23"/>
      <c r="W50" s="23"/>
      <c r="X50" s="23"/>
      <c r="Y50" s="11" t="s">
        <v>42</v>
      </c>
      <c r="Z50" s="11" t="s">
        <v>239</v>
      </c>
      <c r="AA50" s="11" t="s">
        <v>71</v>
      </c>
      <c r="AB50" s="23"/>
      <c r="AC50" s="23"/>
      <c r="AD50" s="23"/>
    </row>
    <row r="51" ht="37.5" customHeight="1">
      <c r="A51" s="11"/>
      <c r="B51" s="23"/>
      <c r="C51" s="23"/>
      <c r="D51" s="24"/>
      <c r="E51" s="23"/>
      <c r="F51" s="23"/>
      <c r="G51" s="23"/>
      <c r="H51" s="23"/>
      <c r="I51" s="23"/>
      <c r="J51" s="23"/>
      <c r="K51" s="23"/>
      <c r="L51" s="15" t="s">
        <v>240</v>
      </c>
      <c r="M51" s="15" t="s">
        <v>209</v>
      </c>
      <c r="N5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""&amp;M51)"),"Power Consumption Rate | Color Temperature | Voltage | IP Rating | Dimension")</f>
        <v>Power Consumption Rate | Color Temperature | Voltage | IP Rating | Dimension</v>
      </c>
      <c r="O51" s="25" t="s">
        <v>205</v>
      </c>
      <c r="P5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""&amp;O51&amp;"", Values: ""&amp;M51&amp; "" and SKU Code: ""&amp;"&amp;"L51)"),"{ ""Power Consumption Rate"": ""12W/m"", ""Color Temperature"": ""RGBW (3000K)"", ""Voltage"": ""24V"", ""IP Rating"": ""IP67"", ""Dimension"": ""16mm (W) x 16mm (H)"", ""SKU"": ""TV1616-12W-RGBW-IP67"" }")</f>
        <v>{ "Power Consumption Rate": "12W/m", "Color Temperature": "RGBW (3000K)", "Voltage": "24V", "IP Rating": "IP67", "Dimension": "16mm (W) x 16mm (H)", "SKU": "TV1616-12W-RGBW-IP67" }</v>
      </c>
      <c r="Q51" s="25" t="s">
        <v>241</v>
      </c>
      <c r="R51" s="23"/>
      <c r="S51" s="23"/>
      <c r="T51" s="23"/>
      <c r="U51" s="23"/>
      <c r="V51" s="23"/>
      <c r="W51" s="23"/>
      <c r="X51" s="23"/>
      <c r="Y51" s="11" t="s">
        <v>42</v>
      </c>
      <c r="Z51" s="11" t="s">
        <v>242</v>
      </c>
      <c r="AA51" s="11" t="s">
        <v>71</v>
      </c>
      <c r="AB51" s="23"/>
      <c r="AC51" s="23"/>
      <c r="AD51" s="23"/>
    </row>
    <row r="52" ht="37.5" customHeight="1">
      <c r="A52" s="28" t="s">
        <v>243</v>
      </c>
      <c r="B52" s="11" t="s">
        <v>226</v>
      </c>
      <c r="C52" s="11" t="s">
        <v>32</v>
      </c>
      <c r="D52" s="13" t="s">
        <v>187</v>
      </c>
      <c r="E52" s="12" t="s">
        <v>34</v>
      </c>
      <c r="F52" s="13" t="str">
        <f>IFERROR(__xludf.DUMMYFUNCTION("AI(""Give me a paragraph marketing spiel for product in this row, no tech specs just marketing fluff "")"),"Elevate your space with modern neon linear lighting, designed to effortlessly curve along your architectural contours and fill any room with a smooth, captivating glow. Engineered for incredible flexibility and breathtaking visual impact, this top-bending"&amp;" light curves seamlessly to accentuate architectural features and create striking design statements. Whether you are transforming a high-end commercial venue or adding a sophisticated atmosphere to an outdoor landscape, its pristine, uniform illumination "&amp;"delivers unmatched aesthetic elegance for designers who refuse to compromise on style and adaptability.")</f>
        <v>Elevate your space with modern neon linear lighting, designed to effortlessly curve along your architectural contours and fill any room with a smooth, captivating glow. Engineered for incredible flexibility and breathtaking visual impact, this top-bending light curves seamlessly to accentuate architectural features and create striking design statements. Whether you are transforming a high-end commercial venue or adding a sophisticated atmosphere to an outdoor landscape, its pristine, uniform illumination delivers unmatched aesthetic elegance for designers who refuse to compromise on style and adaptability.</v>
      </c>
      <c r="G52" s="11" t="s">
        <v>244</v>
      </c>
      <c r="H52" s="13" t="str">
        <f>IFERROR(__xludf.DUMMYFUNCTION("AI(""Give me a paragraph marketing spiel for product in this row, no tech specs just marketing fluff under 180 characters "")"),"Transform your space with breathtaking neon elegance. Designed to shape your vision, it delivers a seamless, vibrant glow that elevates any ambiance.")</f>
        <v>Transform your space with breathtaking neon elegance. Designed to shape your vision, it delivers a seamless, vibrant glow that elevates any ambiance.</v>
      </c>
      <c r="I52" s="11" t="s">
        <v>245</v>
      </c>
      <c r="J52" s="23"/>
      <c r="K52" s="23"/>
      <c r="L52" s="15" t="s">
        <v>243</v>
      </c>
      <c r="M52" s="15" t="s">
        <v>246</v>
      </c>
      <c r="N5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""&amp;M52)"),"Power Consumption Rate | Color Temperature | Voltage | IP Rating | Dimension | Control Protocol | Pixel")</f>
        <v>Power Consumption Rate | Color Temperature | Voltage | IP Rating | Dimension | Control Protocol | Pixel</v>
      </c>
      <c r="O52" s="25" t="s">
        <v>216</v>
      </c>
      <c r="P5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""&amp;O52&amp;"", Values: ""&amp;M52&amp; "" and SKU Code: ""&amp;"&amp;"L52)"),"{
""Power Consumption Rate"": ""14W/m"",
""Color Temperature"": ""RGB"",
""Voltage"": ""24V"",
""IP Rating"": ""IP67"",
""Dimension"": ""16mm (W) x 16mm (H)"",
""Control Protocol"": ""DMX"",
""Pixel"": ""12 Pixels/m"",
""SKU"": ""TV1616-12W-RGB-IP67-DMX"""&amp;"
}")</f>
        <v>{
"Power Consumption Rate": "14W/m",
"Color Temperature": "RGB",
"Voltage": "24V",
"IP Rating": "IP67",
"Dimension": "16mm (W) x 16mm (H)",
"Control Protocol": "DMX",
"Pixel": "12 Pixels/m",
"SKU": "TV1616-12W-RGB-IP67-DMX"
}</v>
      </c>
      <c r="Q52" s="25" t="s">
        <v>247</v>
      </c>
      <c r="R52"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Q52:Q53)"),"{""Power Consumption Rate"": [""14W/m"", ""17W/m""], ""Color Temperature"": [""RGB"", ""RGBW (3000K)""], ""Voltage"": ""24V"", ""IP Rating"": ""IP67"", ""Dimension"": ""16mm (W) x 16mm (H)"", ""Control Protocol"": ""DMX"", ""Pixel"": ""12 Pixels/m"", ""SK"&amp;"U"": [""TV1616-12W-RGB-IP67-DMX"", ""TV1616-12W-RGBW-IP67-DMX""]}")</f>
        <v>{"Power Consumption Rate": ["14W/m", "17W/m"], "Color Temperature": ["RGB", "RGBW (3000K)"], "Voltage": "24V", "IP Rating": "IP67", "Dimension": "16mm (W) x 16mm (H)", "Control Protocol": "DMX", "Pixel": "12 Pixels/m", "SKU": ["TV1616-12W-RGB-IP67-DMX", "TV1616-12W-RGBW-IP67-DMX"]}</v>
      </c>
      <c r="S52" s="11" t="s">
        <v>248</v>
      </c>
      <c r="T52"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Q52:Q53)"),"{
""Options"": {
""Power Consumption Rate"": [
{""name"": ""14W/m"", ""id"": ""101""},
{""name"": ""17W/m"", ""id"": ""102""}
],
""Color Temperature"": [
{""name"": ""RGB"", ""id"": ""103""},
{""name"": ""RGBW (3000K)"", ""id"": ""104""}
],
""Voltage"": ["&amp;"
{""name"": ""24V"", ""id"": ""105""}
],
""IP Rating"": [
{""name"": ""IP67"", ""id"": ""106""}
],
""Dimension"": [
{""name"": ""16mm (W) x 16mm (H)"", ""id"": ""107""}
],
""Control Protocol"": [
{""name"": ""DMX"", ""id"": ""108""}
],
""Pixel"": [
{""nam"&amp;"e"": ""12 Pixels/m"", ""id"": ""109""}
]
},
""Constraints"": {
""101"": [""104""],
""102"": [""103""]
},
""sku_mappings"": [
{
""sku"": ""TV1616-12W-RGB-IP67-DMX"",
""combination"": [""101"", ""103"", ""105"", ""106"", ""107"", ""108"", ""109""]
},
{
""sk"&amp;"u"": ""TV1616-12W-RGBW-IP67-DMX"",
""combination"": [""102"", ""104"", ""105"", ""106"", ""107"", ""108"", ""109""]
}
]
}")</f>
        <v>{
"Options": {
"Power Consumption Rate": [
{"name": "14W/m", "id": "101"},
{"name": "17W/m", "id": "102"}
],
"Color Temperature": [
{"name": "RGB", "id": "103"},
{"name": "RGBW (3000K)", "id": "104"}
],
"Voltage": [
{"name": "24V", "id": "105"}
],
"IP Rating": [
{"name": "IP67", "id": "106"}
],
"Dimension": [
{"name": "16mm (W) x 16mm (H)", "id": "107"}
],
"Control Protocol": [
{"name": "DMX", "id": "108"}
],
"Pixel": [
{"name": "12 Pixels/m", "id": "109"}
]
},
"Constraints": {
"101": ["104"],
"102": ["103"]
},
"sku_mappings": [
{
"sku": "TV1616-12W-RGB-IP67-DMX",
"combination": ["101", "103", "105", "106", "107", "108", "109"]
},
{
"sku": "TV1616-12W-RGBW-IP67-DMX",
"combination": ["102", "104", "105", "106", "107", "108", "109"]
}
]
}</v>
      </c>
      <c r="U52" s="11" t="s">
        <v>249</v>
      </c>
      <c r="V52" s="20" t="str">
        <f>IFERROR(__xludf.DUMMYFUNCTION("AI(""Extract options object from the json"", U52)"),"{""Power Consumption Rate"": [{""name"": ""14W/m"", ""id"": ""101""}, {""name"": ""17W/m"", ""id"": ""102""}], ""Color Temperature"": [{""name"": ""RGB"", ""id"": ""103""}, {""name"": ""RGBW (3000K)"", ""id"": ""104""}], ""Voltage"": [{""name"": ""24V"", "&amp;"""id"": ""105""}], ""IP Rating"": [{""name"": ""IP67"", ""id"": ""106""}], ""Dimension"": [{""name"": ""16mm (W) x 16mm (H)"", ""id"": ""107""}], ""Control Protocol"": [{""name"": ""DMX"", ""id"": ""108""}], ""Pixel"": [{""name"": ""12 Pixels/m"", ""id"":"&amp;" ""109""}]}")</f>
        <v>{"Power Consumption Rate": [{"name": "14W/m", "id": "101"}, {"name": "17W/m", "id": "102"}], "Color Temperature": [{"name": "RGB", "id": "103"}, {"name": "RGBW (3000K)", "id": "104"}], "Voltage": [{"name": "24V", "id": "105"}], "IP Rating": [{"name": "IP67", "id": "106"}], "Dimension": [{"name": "16mm (W) x 16mm (H)", "id": "107"}], "Control Protocol": [{"name": "DMX", "id": "108"}], "Pixel": [{"name": "12 Pixels/m", "id": "109"}]}</v>
      </c>
      <c r="W52" s="20" t="str">
        <f>IFERROR(__xludf.DUMMYFUNCTION("AI(""Extract constraints object from the json"", U52)"),"{""101"": [""104""], ""102"": [""103""]}")</f>
        <v>{"101": ["104"], "102": ["103"]}</v>
      </c>
      <c r="X52" s="20" t="str">
        <f>IFERROR(__xludf.DUMMYFUNCTION("AI(""Extract sku_mappings object from the json"", U52)"),"[{""sku"":""TV1616-12W-RGB-IP67-DMX"",""combination"":[""101"",""103"",""105"",""106"",""107"",""108"",""109""]},{""sku"":""TV1616-12W-RGBW-IP67-DMX"",""combination"":[""102"",""104"",""105"",""106"",""107"",""108"",""109""]}]")</f>
        <v>[{"sku":"TV1616-12W-RGB-IP67-DMX","combination":["101","103","105","106","107","108","109"]},{"sku":"TV1616-12W-RGBW-IP67-DMX","combination":["102","104","105","106","107","108","109"]}]</v>
      </c>
      <c r="Y52" s="11" t="s">
        <v>42</v>
      </c>
      <c r="Z52" s="11" t="s">
        <v>250</v>
      </c>
      <c r="AA52" s="11" t="s">
        <v>44</v>
      </c>
      <c r="AB52" s="23"/>
      <c r="AC52" s="23"/>
      <c r="AD52" s="23"/>
    </row>
    <row r="53" ht="37.5" customHeight="1">
      <c r="A53" s="11"/>
      <c r="B53" s="23"/>
      <c r="C53" s="23"/>
      <c r="D53" s="24"/>
      <c r="E53" s="23"/>
      <c r="F53" s="23"/>
      <c r="G53" s="23"/>
      <c r="H53" s="23"/>
      <c r="I53" s="23"/>
      <c r="J53" s="23"/>
      <c r="K53" s="23"/>
      <c r="L53" s="15" t="s">
        <v>251</v>
      </c>
      <c r="M53" s="15" t="s">
        <v>252</v>
      </c>
      <c r="N5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""&amp;M53)"),"Power Consumption Rate | Color Temperature | Voltage | IP Rating | Dimension | Control Protocol | Pixel")</f>
        <v>Power Consumption Rate | Color Temperature | Voltage | IP Rating | Dimension | Control Protocol | Pixel</v>
      </c>
      <c r="O53" s="25" t="s">
        <v>216</v>
      </c>
      <c r="P5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""&amp;O53&amp;"", Values: ""&amp;M53&amp; "" and SKU Code: ""&amp;"&amp;"L53)"),"{
""Power Consumption Rate"": ""17W/m"",
""Color Temperature"": ""RGBW (3000K)"",
""Voltage"": ""24V"",
""IP Rating"": ""IP67"",
""Dimension"": ""16mm (W) x 16mm (H)"",
""Control Protocol"": ""DMX"",
""Pixel"": ""12 Pixels/m"",
""SKU"": ""TV1616-12W-RGBW-"&amp;"IP67-DMX""
}")</f>
        <v>{
"Power Consumption Rate": "17W/m",
"Color Temperature": "RGBW (3000K)",
"Voltage": "24V",
"IP Rating": "IP67",
"Dimension": "16mm (W) x 16mm (H)",
"Control Protocol": "DMX",
"Pixel": "12 Pixels/m",
"SKU": "TV1616-12W-RGBW-IP67-DMX"
}</v>
      </c>
      <c r="Q53" s="25" t="s">
        <v>253</v>
      </c>
      <c r="R53" s="23"/>
      <c r="S53" s="23"/>
      <c r="T53" s="23"/>
      <c r="U53" s="23"/>
      <c r="V53" s="23"/>
      <c r="W53" s="23"/>
      <c r="X53" s="23"/>
      <c r="Y53" s="11" t="s">
        <v>42</v>
      </c>
      <c r="Z53" s="11" t="s">
        <v>254</v>
      </c>
      <c r="AA53" s="11" t="s">
        <v>44</v>
      </c>
      <c r="AB53" s="23"/>
      <c r="AC53" s="23"/>
      <c r="AD53" s="23"/>
    </row>
    <row r="54" ht="37.5" customHeight="1">
      <c r="A54" s="11" t="s">
        <v>255</v>
      </c>
      <c r="B54" s="11" t="s">
        <v>256</v>
      </c>
      <c r="C54" s="11" t="s">
        <v>32</v>
      </c>
      <c r="D54" s="13" t="s">
        <v>257</v>
      </c>
      <c r="E54" s="12" t="s">
        <v>34</v>
      </c>
      <c r="F54" s="13" t="str">
        <f>IFERROR(__xludf.DUMMYFUNCTION("AI(""Give me a paragraph marketing spiel for product in this row, no tech specs just marketing fluff "")"),"Elevate your architectural visions with the 22W SMD, a premium linear lighting solution designed to bring seamless radiance to any space. Engineered for incredible flexibility and breathtaking visual impact, this brilliant light curves effortlessly to acc"&amp;"entuate contours and create striking design statements. Whether you are transforming a high-end commercial venue or adding a sophisticated atmosphere to an outdoor landscape, its pristine, uniform glow delivers unmatched aesthetic elegance. Built to maint"&amp;"ain its flawless brilliance, it is the ultimate choice for designers who refuse to compromise on beauty, adaptability, and style.")</f>
        <v>Elevate your architectural visions with the 22W SMD, a premium linear lighting solution designed to bring seamless radiance to any space. Engineered for incredible flexibility and breathtaking visual impact, this brilliant light curves effortlessly to accentuate contours and create striking design statements. Whether you are transforming a high-end commercial venue or adding a sophisticated atmosphere to an outdoor landscape, its pristine, uniform glow delivers unmatched aesthetic elegance. Built to maintain its flawless brilliance, it is the ultimate choice for designers who refuse to compromise on beauty, adaptability, and style.</v>
      </c>
      <c r="G54" s="11" t="s">
        <v>258</v>
      </c>
      <c r="H54" s="13" t="str">
        <f>IFERROR(__xludf.DUMMYFUNCTION("AI(""Give me a paragraph marketing spiel for product in this row, no tech specs just marketing fluff under 180 characters "")"),"Elevate your architectural vision with stunning linear lighting designed to bring seamless radiance, breathtaking visual impact, and unmatched elegance to any space.")</f>
        <v>Elevate your architectural vision with stunning linear lighting designed to bring seamless radiance, breathtaking visual impact, and unmatched elegance to any space.</v>
      </c>
      <c r="I54" s="11" t="s">
        <v>259</v>
      </c>
      <c r="J54" s="23"/>
      <c r="K54" s="23"/>
      <c r="L54" s="15" t="s">
        <v>255</v>
      </c>
      <c r="M54" s="15" t="s">
        <v>260</v>
      </c>
      <c r="N5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""&amp;M54)"),"Power Consumption Rate | Color Temperature | Voltage | IP Rating | Cut Interval")</f>
        <v>Power Consumption Rate | Color Temperature | Voltage | IP Rating | Cut Interval</v>
      </c>
      <c r="O54" s="25" t="s">
        <v>261</v>
      </c>
      <c r="P5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""&amp;O54&amp;"", Values: ""&amp;M54&amp; "" and SKU Code: ""&amp;"&amp;"L54)"),"{
""Power Consumption Rate"": ""22W/m"",
""Color Temperature"": ""2700K"",
""Voltage"": ""24V"",
""IP Rating"": ""IP20"",
""Cut Interval"": ""Free Cut"",
""SKU"": ""SMD-22W-2.7K-IP20""
}")</f>
        <v>{
"Power Consumption Rate": "22W/m",
"Color Temperature": "2700K",
"Voltage": "24V",
"IP Rating": "IP20",
"Cut Interval": "Free Cut",
"SKU": "SMD-22W-2.7K-IP20"
}</v>
      </c>
      <c r="Q54" s="25" t="s">
        <v>262</v>
      </c>
      <c r="R54"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Q54:Q61)"),"{""Power Consumption Rate"": ""22W/m"", ""Color Temperature"": [""2700K"", ""3000K"", ""4000K"", ""6000K""], ""Voltage"": ""24V"", ""IP Rating"": [""IP20"", ""IP65 (Nano-Coated)""], ""Cut Interval"": ""Free Cut"", ""SKU"": [""SMD-22W-2.7K-IP20"", ""SMD-22"&amp;"W-3K-IP20"", ""SMD-22W-4K-IP20"", ""SMD-22W-6K-IP20"", ""SMD-22W-2.7K-IP65"", ""SMD-22W-3K-IP65"", ""SMD-22W-4K-IP65"", ""SMD-22W-6K-IP65""]}")</f>
        <v>{"Power Consumption Rate": "22W/m", "Color Temperature": ["2700K", "3000K", "4000K", "6000K"], "Voltage": "24V", "IP Rating": ["IP20", "IP65 (Nano-Coated)"], "Cut Interval": "Free Cut", "SKU": ["SMD-22W-2.7K-IP20", "SMD-22W-3K-IP20", "SMD-22W-4K-IP20", "SMD-22W-6K-IP20", "SMD-22W-2.7K-IP65", "SMD-22W-3K-IP65", "SMD-22W-4K-IP65", "SMD-22W-6K-IP65"]}</v>
      </c>
      <c r="S54" s="13" t="s">
        <v>263</v>
      </c>
      <c r="T54"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Q54:Q61)"),"{
""Options"": {
""Power Consumption Rate"": [
{""name"": ""22W/m"", ""id"": ""101""}
],
""Color Temperature"": [
{""name"": ""2700K"", ""id"": ""102""},
{""name"": ""3000K"", ""id"": ""103""},
{""name"": ""4000K"", ""id"": ""104""},
{""name"": ""6000K"","&amp;" ""id"": ""105""}
],
""Voltage"": [
{""name"": ""24V"", ""id"": ""106""}
],
""IP Rating"": [
{""name"": ""IP20"", ""id"": ""107""},
{""name"": ""IP65 (Nano-Coated)"", ""id"": ""108""}
],
""Cut Interval"": [
{""name"": ""Free Cut"", ""id"": ""109""}
]
},
"&amp;"""Constraints"": {},
""sku_mappings"": [
{ ""sku"": ""SMD-22W-2.7K-IP20"", ""combination"": [""101"", ""102"", ""106"", ""107"", ""109""] },
{ ""sku"": ""SMD-22W-3K-IP20"", ""combination"": [""101"", ""103"", ""106"", ""107"", ""109""] },
{ ""sku"": ""SMD"&amp;"-22W-4K-IP20"", ""combination"": [""101"", ""104"", ""106"", ""107"", ""109""] },
{ ""sku"": ""SMD-22W-6K-IP20"", ""combination"": [""101"", ""105"", ""106"", ""107"", ""109""] },
{ ""sku"": ""SMD-22W-2.7K-IP65"", ""combination"": [""101"", ""102"", ""106"&amp;""", ""108"", ""109""] },
{ ""sku"": ""SMD-22W-3K-IP65"", ""combination"": [""101"", ""103"", ""106"", ""108"", ""109""] },
{ ""sku"": ""SMD-22W-4K-IP65"", ""combination"": [""101"", ""104"", ""106"", ""108"", ""109""] },
{ ""sku"": ""SMD-22W-6K-IP65"", """&amp;"combination"": [""101"", ""105"", ""106"", ""108"", ""109""] }
]
}")</f>
        <v>{
"Options": {
"Power Consumption Rate": [
{"name": "22W/m", "id": "101"}
],
"Color Temperature": [
{"name": "2700K", "id": "102"},
{"name": "3000K", "id": "103"},
{"name": "4000K", "id": "104"},
{"name": "6000K", "id": "105"}
],
"Voltage": [
{"name": "24V", "id": "106"}
],
"IP Rating": [
{"name": "IP20", "id": "107"},
{"name": "IP65 (Nano-Coated)", "id": "108"}
],
"Cut Interval": [
{"name": "Free Cut", "id": "109"}
]
},
"Constraints": {},
"sku_mappings": [
{ "sku": "SMD-22W-2.7K-IP20", "combination": ["101", "102", "106", "107", "109"] },
{ "sku": "SMD-22W-3K-IP20", "combination": ["101", "103", "106", "107", "109"] },
{ "sku": "SMD-22W-4K-IP20", "combination": ["101", "104", "106", "107", "109"] },
{ "sku": "SMD-22W-6K-IP20", "combination": ["101", "105", "106", "107", "109"] },
{ "sku": "SMD-22W-2.7K-IP65", "combination": ["101", "102", "106", "108", "109"] },
{ "sku": "SMD-22W-3K-IP65", "combination": ["101", "103", "106", "108", "109"] },
{ "sku": "SMD-22W-4K-IP65", "combination": ["101", "104", "106", "108", "109"] },
{ "sku": "SMD-22W-6K-IP65", "combination": ["101", "105", "106", "108", "109"] }
]
}</v>
      </c>
      <c r="U54" s="26" t="s">
        <v>264</v>
      </c>
      <c r="V54" s="20" t="str">
        <f>IFERROR(__xludf.DUMMYFUNCTION("AI(""Extract options object from the json"", U54)"),"{""Power Consumption Rate"": [{""name"": ""22W/m"", ""id"": ""101""}], ""Color Temperature"": [{""name"": ""2700K"", ""id"": ""102""}, {""name"": ""3000K"", ""id"": ""103""}, {""name"": ""4000K"", ""id"": ""104""}, {""name"": ""6000K"", ""id"": ""105""}],"&amp;" ""Voltage"": [{""name"": ""24V"", ""id"": ""106""}], ""IP Rating"": [{""name"": ""IP20"", ""id"": ""107""}, {""name"": ""IP65 (Nano-Coated)"", ""id"": ""108""}], ""Cut Interval"": [{""name"": ""Free Cut"", ""id"": ""109""}]}")</f>
        <v>{"Power Consumption Rate": [{"name": "22W/m", "id": "101"}], "Color Temperature": [{"name": "2700K", "id": "102"}, {"name": "3000K", "id": "103"}, {"name": "4000K", "id": "104"}, {"name": "6000K", "id": "105"}], "Voltage": [{"name": "24V", "id": "106"}], "IP Rating": [{"name": "IP20", "id": "107"}, {"name": "IP65 (Nano-Coated)", "id": "108"}], "Cut Interval": [{"name": "Free Cut", "id": "109"}]}</v>
      </c>
      <c r="W54" s="20" t="str">
        <f>IFERROR(__xludf.DUMMYFUNCTION("AI(""Extract constraints object from the json"", U54)"),"{}")</f>
        <v>{}</v>
      </c>
      <c r="X54" s="20" t="str">
        <f>IFERROR(__xludf.DUMMYFUNCTION("AI(""Extract sku_mappings object from the json"", U54)"),"[{""sku"":""SMD-22W-2.7K-IP20"",""combination"":[""101"",""102"",""106"",""107"",""109""]},{""sku"":""SMD-22W-3K-IP20"",""combination"":[""101"",""103"",""106"",""107"",""109""]},{""sku"":""SMD-22W-4K-IP20"",""combination"":[""101"",""104"",""106"",""107"&amp;""",""109""]},{""sku"":""SMD-22W-6K-IP20"",""combination"":[""101"",""105"",""106"",""107"",""109""]},{""sku"":""SMD-22W-2.7K-IP65"",""combination"":[""101"",""102"",""106"",""108"",""109""]},{""sku"":""SMD-22W-3K-IP65"",""combination"":[""101"",""103"","""&amp;"106"",""108"",""109""]},{""sku"":""SMD-22W-4K-IP65"",""combination"":[""101"",""104"",""106"",""108"",""109""]},{""sku"":""SMD-22W-6K-IP65"",""combination"":[""101"",""105"",""106"",""108"",""109""]}]")</f>
        <v>[{"sku":"SMD-22W-2.7K-IP20","combination":["101","102","106","107","109"]},{"sku":"SMD-22W-3K-IP20","combination":["101","103","106","107","109"]},{"sku":"SMD-22W-4K-IP20","combination":["101","104","106","107","109"]},{"sku":"SMD-22W-6K-IP20","combination":["101","105","106","107","109"]},{"sku":"SMD-22W-2.7K-IP65","combination":["101","102","106","108","109"]},{"sku":"SMD-22W-3K-IP65","combination":["101","103","106","108","109"]},{"sku":"SMD-22W-4K-IP65","combination":["101","104","106","108","109"]},{"sku":"SMD-22W-6K-IP65","combination":["101","105","106","108","109"]}]</v>
      </c>
      <c r="Y54" s="11" t="s">
        <v>42</v>
      </c>
      <c r="Z54" s="11" t="s">
        <v>265</v>
      </c>
      <c r="AA54" s="11" t="s">
        <v>44</v>
      </c>
      <c r="AB54" s="23"/>
      <c r="AC54" s="23" t="str">
        <f>IFERROR(__xludf.DUMMYFUNCTION("AI(""Generate 6 powerful unique keywords for the product in this row"")"),"22W SMD Linear Light, Premium Linear Lighting, Flexible LED Strip, Architectural Contour Light, Uniform Glow Lighting, High Efficiency LED Tape")</f>
        <v>22W SMD Linear Light, Premium Linear Lighting, Flexible LED Strip, Architectural Contour Light, Uniform Glow Lighting, High Efficiency LED Tape</v>
      </c>
      <c r="AD54" s="23" t="s">
        <v>266</v>
      </c>
    </row>
    <row r="55" ht="37.5" customHeight="1">
      <c r="A55" s="11"/>
      <c r="B55" s="23"/>
      <c r="C55" s="23"/>
      <c r="D55" s="24"/>
      <c r="E55" s="23"/>
      <c r="F55" s="23"/>
      <c r="G55" s="23"/>
      <c r="H55" s="23"/>
      <c r="I55" s="23"/>
      <c r="J55" s="23"/>
      <c r="K55" s="23"/>
      <c r="L55" s="15" t="s">
        <v>267</v>
      </c>
      <c r="M55" s="15" t="s">
        <v>268</v>
      </c>
      <c r="N5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""&amp;M55)"),"Power Consumption Rate | Color Temperature | Voltage | IP Rating | Cut Interval")</f>
        <v>Power Consumption Rate | Color Temperature | Voltage | IP Rating | Cut Interval</v>
      </c>
      <c r="O55" s="25" t="s">
        <v>261</v>
      </c>
      <c r="P5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""&amp;O55&amp;"", Values: ""&amp;M55&amp; "" and SKU Code: ""&amp;"&amp;"L55)"),"{
""Power Consumption Rate"": ""22W/m"",
""Color Temperature"": ""3000K"",
""Voltage"": ""24V"",
""IP Rating"": ""IP20"",
""Cut Interval"": ""Free Cut"",
""SKU"": ""SMD-22W-3K-IP20""
}")</f>
        <v>{
"Power Consumption Rate": "22W/m",
"Color Temperature": "3000K",
"Voltage": "24V",
"IP Rating": "IP20",
"Cut Interval": "Free Cut",
"SKU": "SMD-22W-3K-IP20"
}</v>
      </c>
      <c r="Q55" s="25" t="s">
        <v>269</v>
      </c>
      <c r="R55" s="23"/>
      <c r="S55" s="23"/>
      <c r="T55" s="23"/>
      <c r="U55" s="23"/>
      <c r="V55" s="23"/>
      <c r="W55" s="23"/>
      <c r="X55" s="23"/>
      <c r="Y55" s="11" t="s">
        <v>42</v>
      </c>
      <c r="Z55" s="11" t="s">
        <v>265</v>
      </c>
      <c r="AA55" s="11" t="s">
        <v>44</v>
      </c>
      <c r="AB55" s="23"/>
      <c r="AC55" s="23"/>
      <c r="AD55" s="23"/>
    </row>
    <row r="56" ht="37.5" customHeight="1">
      <c r="A56" s="11"/>
      <c r="B56" s="23"/>
      <c r="C56" s="23"/>
      <c r="D56" s="24"/>
      <c r="E56" s="23"/>
      <c r="F56" s="23"/>
      <c r="G56" s="23"/>
      <c r="H56" s="23"/>
      <c r="I56" s="23"/>
      <c r="J56" s="23"/>
      <c r="K56" s="23"/>
      <c r="L56" s="15" t="s">
        <v>270</v>
      </c>
      <c r="M56" s="15" t="s">
        <v>271</v>
      </c>
      <c r="N5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""&amp;M56)"),"Power Consumption Rate | Color Temperature | Voltage | IP Rating | Cut Interval")</f>
        <v>Power Consumption Rate | Color Temperature | Voltage | IP Rating | Cut Interval</v>
      </c>
      <c r="O56" s="25" t="s">
        <v>261</v>
      </c>
      <c r="P5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""&amp;O56&amp;"", Values: ""&amp;M56&amp; "" and SKU Code: ""&amp;"&amp;"L56)"),"{
""Power Consumption Rate"": ""22W/m"",
""Color Temperature"": ""4000K"",
""Voltage"": ""24V"",
""IP Rating"": ""IP20"",
""Cut Interval"": ""Free Cut"",
""SKU"": ""SMD-22W-4K-IP20""
}")</f>
        <v>{
"Power Consumption Rate": "22W/m",
"Color Temperature": "4000K",
"Voltage": "24V",
"IP Rating": "IP20",
"Cut Interval": "Free Cut",
"SKU": "SMD-22W-4K-IP20"
}</v>
      </c>
      <c r="Q56" s="25" t="s">
        <v>272</v>
      </c>
      <c r="R56" s="23"/>
      <c r="S56" s="23"/>
      <c r="T56" s="23"/>
      <c r="U56" s="23"/>
      <c r="V56" s="23"/>
      <c r="W56" s="23"/>
      <c r="X56" s="23"/>
      <c r="Y56" s="11" t="s">
        <v>42</v>
      </c>
      <c r="Z56" s="11" t="s">
        <v>265</v>
      </c>
      <c r="AA56" s="11" t="s">
        <v>44</v>
      </c>
      <c r="AB56" s="23"/>
      <c r="AC56" s="23"/>
      <c r="AD56" s="23"/>
    </row>
    <row r="57" ht="37.5" customHeight="1">
      <c r="A57" s="11"/>
      <c r="B57" s="23"/>
      <c r="C57" s="23"/>
      <c r="D57" s="24"/>
      <c r="E57" s="23"/>
      <c r="F57" s="23"/>
      <c r="G57" s="23"/>
      <c r="H57" s="23"/>
      <c r="I57" s="23"/>
      <c r="J57" s="23"/>
      <c r="K57" s="23"/>
      <c r="L57" s="15" t="s">
        <v>273</v>
      </c>
      <c r="M57" s="15" t="s">
        <v>274</v>
      </c>
      <c r="N5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""&amp;M57)"),"Power Consumption Rate | Color Temperature | Voltage | IP Rating | Cut Interval")</f>
        <v>Power Consumption Rate | Color Temperature | Voltage | IP Rating | Cut Interval</v>
      </c>
      <c r="O57" s="25" t="s">
        <v>261</v>
      </c>
      <c r="P5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""&amp;O57&amp;"", Values: ""&amp;M57&amp; "" and SKU Code: ""&amp;"&amp;"L57)"),"{
""Power Consumption Rate"": ""22W/m"",
""Color Temperature"": ""6000K"",
""Voltage"": ""24V"",
""IP Rating"": ""IP20"",
""Cut Interval"": ""Free Cut"",
""SKU"": ""SMD-22W-6K-IP20""
}")</f>
        <v>{
"Power Consumption Rate": "22W/m",
"Color Temperature": "6000K",
"Voltage": "24V",
"IP Rating": "IP20",
"Cut Interval": "Free Cut",
"SKU": "SMD-22W-6K-IP20"
}</v>
      </c>
      <c r="Q57" s="25" t="s">
        <v>275</v>
      </c>
      <c r="R57" s="23"/>
      <c r="S57" s="23"/>
      <c r="T57" s="23"/>
      <c r="U57" s="23"/>
      <c r="V57" s="23"/>
      <c r="W57" s="23"/>
      <c r="X57" s="23"/>
      <c r="Y57" s="11" t="s">
        <v>42</v>
      </c>
      <c r="Z57" s="11" t="s">
        <v>265</v>
      </c>
      <c r="AA57" s="11" t="s">
        <v>44</v>
      </c>
      <c r="AB57" s="23"/>
      <c r="AC57" s="23"/>
      <c r="AD57" s="23"/>
    </row>
    <row r="58" ht="37.5" customHeight="1">
      <c r="A58" s="11"/>
      <c r="B58" s="23"/>
      <c r="C58" s="23"/>
      <c r="D58" s="24"/>
      <c r="E58" s="23"/>
      <c r="F58" s="23"/>
      <c r="G58" s="23"/>
      <c r="H58" s="23"/>
      <c r="I58" s="23"/>
      <c r="J58" s="23"/>
      <c r="K58" s="23"/>
      <c r="L58" s="15" t="s">
        <v>276</v>
      </c>
      <c r="M58" s="15" t="s">
        <v>277</v>
      </c>
      <c r="N5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""&amp;M58)"),"Power Consumption Rate | Color Temperature | Voltage | IP Rating | Cut Interval")</f>
        <v>Power Consumption Rate | Color Temperature | Voltage | IP Rating | Cut Interval</v>
      </c>
      <c r="O58" s="25" t="s">
        <v>261</v>
      </c>
      <c r="P5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""&amp;O58&amp;"", Values: ""&amp;M58&amp; "" and SKU Code: ""&amp;"&amp;"L58)"),"{
""Power Consumption Rate"": ""22W/m"",
""Color Temperature"": ""2700K"",
""Voltage"": ""24V"",
""IP Rating"": ""IP65 (Nano-Coated)"",
""Cut Interval"": ""Free Cut"",
""SKU"": ""SMD-22W-2.7K-IP65""
}")</f>
        <v>{
"Power Consumption Rate": "22W/m",
"Color Temperature": "2700K",
"Voltage": "24V",
"IP Rating": "IP65 (Nano-Coated)",
"Cut Interval": "Free Cut",
"SKU": "SMD-22W-2.7K-IP65"
}</v>
      </c>
      <c r="Q58" s="25" t="s">
        <v>278</v>
      </c>
      <c r="R58" s="23"/>
      <c r="S58" s="23"/>
      <c r="T58" s="23"/>
      <c r="U58" s="23"/>
      <c r="V58" s="23"/>
      <c r="W58" s="23"/>
      <c r="X58" s="23"/>
      <c r="Y58" s="11" t="s">
        <v>42</v>
      </c>
      <c r="Z58" s="11" t="s">
        <v>265</v>
      </c>
      <c r="AA58" s="11" t="s">
        <v>44</v>
      </c>
      <c r="AB58" s="23"/>
      <c r="AC58" s="23"/>
      <c r="AD58" s="23"/>
    </row>
    <row r="59" ht="37.5" customHeight="1">
      <c r="A59" s="11"/>
      <c r="B59" s="23"/>
      <c r="C59" s="23"/>
      <c r="D59" s="24"/>
      <c r="E59" s="23"/>
      <c r="F59" s="23"/>
      <c r="G59" s="23"/>
      <c r="H59" s="23"/>
      <c r="I59" s="23"/>
      <c r="J59" s="23"/>
      <c r="K59" s="23"/>
      <c r="L59" s="15" t="s">
        <v>279</v>
      </c>
      <c r="M59" s="15" t="s">
        <v>280</v>
      </c>
      <c r="N5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""&amp;M59)"),"Power Consumption Rate | Color Temperature | Voltage | IP Rating | Cut Interval")</f>
        <v>Power Consumption Rate | Color Temperature | Voltage | IP Rating | Cut Interval</v>
      </c>
      <c r="O59" s="25" t="s">
        <v>261</v>
      </c>
      <c r="P5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""&amp;O59&amp;"", Values: ""&amp;M59&amp; "" and SKU Code: ""&amp;"&amp;"L59)"),"{
""Power Consumption Rate"": ""22W/m"",
""Color Temperature"": ""3000K"",
""Voltage"": ""24V"",
""IP Rating"": ""IP65 (Nano-Coated)"",
""Cut Interval"": ""Free Cut"",
""SKU"": ""SMD-22W-3K-IP65""
}")</f>
        <v>{
"Power Consumption Rate": "22W/m",
"Color Temperature": "3000K",
"Voltage": "24V",
"IP Rating": "IP65 (Nano-Coated)",
"Cut Interval": "Free Cut",
"SKU": "SMD-22W-3K-IP65"
}</v>
      </c>
      <c r="Q59" s="25" t="s">
        <v>281</v>
      </c>
      <c r="R59" s="23"/>
      <c r="S59" s="23"/>
      <c r="T59" s="23"/>
      <c r="U59" s="23"/>
      <c r="V59" s="23"/>
      <c r="W59" s="23"/>
      <c r="X59" s="23"/>
      <c r="Y59" s="11" t="s">
        <v>42</v>
      </c>
      <c r="Z59" s="11" t="s">
        <v>265</v>
      </c>
      <c r="AA59" s="11" t="s">
        <v>44</v>
      </c>
      <c r="AB59" s="23"/>
      <c r="AC59" s="23"/>
      <c r="AD59" s="23"/>
    </row>
    <row r="60" ht="37.5" customHeight="1">
      <c r="A60" s="11"/>
      <c r="B60" s="23"/>
      <c r="C60" s="23"/>
      <c r="D60" s="24"/>
      <c r="E60" s="23"/>
      <c r="F60" s="23"/>
      <c r="G60" s="23"/>
      <c r="H60" s="23"/>
      <c r="I60" s="23"/>
      <c r="J60" s="23"/>
      <c r="K60" s="23"/>
      <c r="L60" s="15" t="s">
        <v>282</v>
      </c>
      <c r="M60" s="15" t="s">
        <v>283</v>
      </c>
      <c r="N6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""&amp;M60)"),"Power Consumption Rate | Color Temperature | Voltage | IP Rating | Cut Interval")</f>
        <v>Power Consumption Rate | Color Temperature | Voltage | IP Rating | Cut Interval</v>
      </c>
      <c r="O60" s="25" t="s">
        <v>261</v>
      </c>
      <c r="P6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""&amp;O60&amp;"", Values: ""&amp;M60&amp; "" and SKU Code: ""&amp;"&amp;"L60)"),"{
""Power Consumption Rate"": ""22W/m"",
""Color Temperature"": ""4000K"",
""Voltage"": ""24V"",
""IP Rating"": ""IP65 (Nano-Coated)"",
""Cut Interval"": ""Free Cut"",
""SKU"": ""SMD-22W-4K-IP65""
}")</f>
        <v>{
"Power Consumption Rate": "22W/m",
"Color Temperature": "4000K",
"Voltage": "24V",
"IP Rating": "IP65 (Nano-Coated)",
"Cut Interval": "Free Cut",
"SKU": "SMD-22W-4K-IP65"
}</v>
      </c>
      <c r="Q60" s="25" t="s">
        <v>284</v>
      </c>
      <c r="R60" s="23"/>
      <c r="S60" s="23"/>
      <c r="T60" s="23"/>
      <c r="U60" s="23"/>
      <c r="V60" s="23"/>
      <c r="W60" s="23"/>
      <c r="X60" s="23"/>
      <c r="Y60" s="11" t="s">
        <v>42</v>
      </c>
      <c r="Z60" s="11" t="s">
        <v>265</v>
      </c>
      <c r="AA60" s="11" t="s">
        <v>44</v>
      </c>
      <c r="AB60" s="23"/>
      <c r="AC60" s="23"/>
      <c r="AD60" s="23"/>
    </row>
    <row r="61" ht="37.5" customHeight="1">
      <c r="A61" s="11"/>
      <c r="B61" s="23"/>
      <c r="C61" s="23"/>
      <c r="D61" s="24"/>
      <c r="E61" s="23"/>
      <c r="F61" s="23"/>
      <c r="G61" s="23"/>
      <c r="H61" s="23"/>
      <c r="I61" s="23"/>
      <c r="J61" s="23"/>
      <c r="K61" s="23"/>
      <c r="L61" s="15" t="s">
        <v>285</v>
      </c>
      <c r="M61" s="15" t="s">
        <v>286</v>
      </c>
      <c r="N6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""&amp;M61)"),"Power Consumption Rate | Color Temperature | Voltage | IP Rating | Cut Interval")</f>
        <v>Power Consumption Rate | Color Temperature | Voltage | IP Rating | Cut Interval</v>
      </c>
      <c r="O61" s="25" t="s">
        <v>261</v>
      </c>
      <c r="P6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""&amp;O61&amp;"", Values: ""&amp;M61&amp; "" and SKU Code: ""&amp;"&amp;"L61)"),"{
""Power Consumption Rate"": ""22W/m"",
""Color Temperature"": ""6000K"",
""Voltage"": ""24V"",
""IP Rating"": ""IP65 (Nano-Coated)"",
""Cut Interval"": ""Free Cut"",
""SKU"": ""SMD-22W-6K-IP65""
}")</f>
        <v>{
"Power Consumption Rate": "22W/m",
"Color Temperature": "6000K",
"Voltage": "24V",
"IP Rating": "IP65 (Nano-Coated)",
"Cut Interval": "Free Cut",
"SKU": "SMD-22W-6K-IP65"
}</v>
      </c>
      <c r="Q61" s="25" t="s">
        <v>287</v>
      </c>
      <c r="R61" s="23"/>
      <c r="S61" s="23"/>
      <c r="T61" s="23"/>
      <c r="U61" s="23"/>
      <c r="V61" s="23"/>
      <c r="W61" s="23"/>
      <c r="X61" s="23"/>
      <c r="Y61" s="11" t="s">
        <v>42</v>
      </c>
      <c r="Z61" s="11" t="s">
        <v>265</v>
      </c>
      <c r="AA61" s="11" t="s">
        <v>44</v>
      </c>
      <c r="AB61" s="23"/>
      <c r="AC61" s="23"/>
      <c r="AD61" s="23"/>
    </row>
    <row r="62" ht="37.5" customHeight="1">
      <c r="A62" s="11" t="s">
        <v>288</v>
      </c>
      <c r="B62" s="11" t="s">
        <v>256</v>
      </c>
      <c r="C62" s="11" t="s">
        <v>32</v>
      </c>
      <c r="D62" s="13" t="s">
        <v>257</v>
      </c>
      <c r="E62" s="12" t="s">
        <v>34</v>
      </c>
      <c r="F62" s="13" t="str">
        <f>IFERROR(__xludf.DUMMYFUNCTION("AI(""Give me a paragraph marketing spiel for product in this row, no tech specs just marketing fluff "")"),"Elevate your design visions with this premium linear lighting solution, crafted to bring seamless radiance and an unparalleled aesthetic elegance to any space. Engineered for exceptional flexibility and breathtaking visual impact, it accentuates contours "&amp;"effortlessly to create striking architectural design statements. Whether you are transforming a sophisticated commercial venue or adding a luxurious atmosphere to an interior landscape, its pristine, uniform glow delivers unmatched brilliance. It is the u"&amp;"ltimate choice for designers and creators who refuse to compromise on beauty, modern adaptability, and pure style.")</f>
        <v>Elevate your design visions with this premium linear lighting solution, crafted to bring seamless radiance and an unparalleled aesthetic elegance to any space. Engineered for exceptional flexibility and breathtaking visual impact, it accentuates contours effortlessly to create striking architectural design statements. Whether you are transforming a sophisticated commercial venue or adding a luxurious atmosphere to an interior landscape, its pristine, uniform glow delivers unmatched brilliance. It is the ultimate choice for designers and creators who refuse to compromise on beauty, modern adaptability, and pure style.</v>
      </c>
      <c r="G62" s="11" t="s">
        <v>289</v>
      </c>
      <c r="H62" s="13" t="str">
        <f>IFERROR(__xludf.DUMMYFUNCTION("AI(""Give me a paragraph marketing spiel for product in this row, no tech specs just marketing fluff under 180 characters "")"),"Elevate your design visions with this premium linear lighting solution, crafted to bring seamless radiance and an unparalleled aesthetic elegance to any space.")</f>
        <v>Elevate your design visions with this premium linear lighting solution, crafted to bring seamless radiance and an unparalleled aesthetic elegance to any space.</v>
      </c>
      <c r="I62" s="11" t="s">
        <v>290</v>
      </c>
      <c r="J62" s="23"/>
      <c r="K62" s="23"/>
      <c r="L62" s="15" t="s">
        <v>288</v>
      </c>
      <c r="M62" s="15" t="s">
        <v>291</v>
      </c>
      <c r="N6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""&amp;M62)"),"Power Consumption Rate | Color Temperature | Voltage | IP Rating | Strip Width")</f>
        <v>Power Consumption Rate | Color Temperature | Voltage | IP Rating | Strip Width</v>
      </c>
      <c r="O62" s="25" t="s">
        <v>124</v>
      </c>
      <c r="P6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""&amp;O62&amp;"", Values: ""&amp;M62&amp; "" and SKU Code: ""&amp;"&amp;"L62)"),"{
""Power Consumption Rate"": ""29W/m"",
""Color Temperature"": ""2700K"",
""Voltage"": ""24V"",
""IP Rating"": ""IP20"",
""Strip Width"": ""12mm (W)"",
""SKU"": ""SMD-29W-2.7K-IP20""
}")</f>
        <v>{
"Power Consumption Rate": "29W/m",
"Color Temperature": "2700K",
"Voltage": "24V",
"IP Rating": "IP20",
"Strip Width": "12mm (W)",
"SKU": "SMD-29W-2.7K-IP20"
}</v>
      </c>
      <c r="Q62" s="25" t="s">
        <v>292</v>
      </c>
      <c r="R62"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Q62:Q65)"),"{""Power Consumption Rate"": ""29W/m"", ""Color Temperature"": [""2700K"", ""3000K"", ""4000K"", ""6000K""], ""Voltage"": ""24V"", ""IP Rating"": ""IP20"", ""Strip Width"": ""12mm (W)"", ""SKU"": [""SMD-29W-2.7K-IP20"", ""SMD-29W-3K-IP20"", ""SMD-29W-4K-I"&amp;"P20"", ""SMD-29W-6K-IP20""]}")</f>
        <v>{"Power Consumption Rate": "29W/m", "Color Temperature": ["2700K", "3000K", "4000K", "6000K"], "Voltage": "24V", "IP Rating": "IP20", "Strip Width": "12mm (W)", "SKU": ["SMD-29W-2.7K-IP20", "SMD-29W-3K-IP20", "SMD-29W-4K-IP20", "SMD-29W-6K-IP20"]}</v>
      </c>
      <c r="S62" s="13" t="s">
        <v>293</v>
      </c>
      <c r="T62"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Q62:Q65)"),"{""Options"": {""Power Consumption Rate"": [{""name"": ""29W/m"", ""id"": ""101""}], ""Color Temperature"": [{""name"": ""2700K"", ""id"": ""102""}, {""name"": ""3000K"", ""id"": ""103""}, {""name"": ""4000K"", ""id"": ""104""}, {""name"": ""6000K"", ""id"&amp;""": ""105""}], ""Voltage"": [{""name"": ""24V"", ""id"": ""106""}], ""IP Rating"": [{""name"": ""IP20"", ""id"": ""107""}], ""Strip Width"": [{""name"": ""12mm (W)"", ""id"": ""108""}]}, ""Constraints"": {}, ""sku_mappings"": [{""sku"": ""SMD-29W-2.7K-IP2"&amp;"0"", ""combination"": [""101"", ""102"", ""106"", ""107"", ""108""]}, {""sku"": ""SMD-29W-3K-IP20"", ""combination"": [""101"", ""103"", ""106"", ""107"", ""108""]}, {""sku"": ""SMD-29W-4K-IP20"", ""combination"": [""101"", ""104"", ""106"", ""107"", ""10"&amp;"8""]}, {""sku"": ""SMD-29W-6K-IP20"", ""combination"": [""101"", ""105"", ""106"", ""107"", ""108""]}]}")</f>
        <v>{"Options": {"Power Consumption Rate": [{"name": "29W/m", "id": "101"}], "Color Temperature": [{"name": "2700K", "id": "102"}, {"name": "3000K", "id": "103"}, {"name": "4000K", "id": "104"}, {"name": "6000K", "id": "105"}], "Voltage": [{"name": "24V", "id": "106"}], "IP Rating": [{"name": "IP20", "id": "107"}], "Strip Width": [{"name": "12mm (W)", "id": "108"}]}, "Constraints": {}, "sku_mappings": [{"sku": "SMD-29W-2.7K-IP20", "combination": ["101", "102", "106", "107", "108"]}, {"sku": "SMD-29W-3K-IP20", "combination": ["101", "103", "106", "107", "108"]}, {"sku": "SMD-29W-4K-IP20", "combination": ["101", "104", "106", "107", "108"]}, {"sku": "SMD-29W-6K-IP20", "combination": ["101", "105", "106", "107", "108"]}]}</v>
      </c>
      <c r="U62" s="26" t="s">
        <v>294</v>
      </c>
      <c r="V62" s="20" t="str">
        <f>IFERROR(__xludf.DUMMYFUNCTION("AI(""Extract options object from the json"", U62)"),"{""Power Consumption Rate"": [{""name"": ""29W/m"", ""id"": ""101""}], ""Color Temperature"": [{""name"": ""2700K"", ""id"": ""102""}, {""name"": ""3000K"", ""id"": ""103""}, {""name"": ""4000K"", ""id"": ""104""}, {""name"": ""6000K"", ""id"": ""105""}],"&amp;" ""Voltage"": [{""name"": ""24V"", ""id"": ""106""}], ""IP Rating"": [{""name"": ""IP20"", ""id"": ""107""}], ""Strip Width"": [{""name"": ""12mm (W)"", ""id"": ""108""}]}")</f>
        <v>{"Power Consumption Rate": [{"name": "29W/m", "id": "101"}], "Color Temperature": [{"name": "2700K", "id": "102"}, {"name": "3000K", "id": "103"}, {"name": "4000K", "id": "104"}, {"name": "6000K", "id": "105"}], "Voltage": [{"name": "24V", "id": "106"}], "IP Rating": [{"name": "IP20", "id": "107"}], "Strip Width": [{"name": "12mm (W)", "id": "108"}]}</v>
      </c>
      <c r="W62" s="20" t="str">
        <f>IFERROR(__xludf.DUMMYFUNCTION("AI(""Extract constraints object from the json"", U62)"),"{}")</f>
        <v>{}</v>
      </c>
      <c r="X62" s="20" t="str">
        <f>IFERROR(__xludf.DUMMYFUNCTION("AI(""Extract sku_mappings object from the json"", U62)"),"[{""sku"":""SMD-29W-2.7K-IP20"",""combination"":[""101"",""102"",""106"",""107"",""108""]},{""sku"":""SMD-29W-3K-IP20"",""combination"":[""101"",""103"",""106"",""107"",""108""]},{""sku"":""SMD-29W-4K-IP20"",""combination"":[""101"",""104"",""106"",""107"&amp;""",""108""]},{""sku"":""SMD-29W-6K-IP20"",""combination"":[""101"",""105"",""106"",""107"",""108""]}]")</f>
        <v>[{"sku":"SMD-29W-2.7K-IP20","combination":["101","102","106","107","108"]},{"sku":"SMD-29W-3K-IP20","combination":["101","103","106","107","108"]},{"sku":"SMD-29W-4K-IP20","combination":["101","104","106","107","108"]},{"sku":"SMD-29W-6K-IP20","combination":["101","105","106","107","108"]}]</v>
      </c>
      <c r="Y62" s="11" t="s">
        <v>42</v>
      </c>
      <c r="Z62" s="11" t="s">
        <v>295</v>
      </c>
      <c r="AA62" s="11" t="s">
        <v>44</v>
      </c>
      <c r="AB62" s="23"/>
      <c r="AC62" s="23" t="str">
        <f>IFERROR(__xludf.DUMMYFUNCTION("AI(""Generate 6 powerful unique keywords for the product in this row"")"),"29W SMD, Premium Linear Lighting, Architectural Design Light, Uniform Glow Strip, Elegant Contour Light, High Power LED Strip")</f>
        <v>29W SMD, Premium Linear Lighting, Architectural Design Light, Uniform Glow Strip, Elegant Contour Light, High Power LED Strip</v>
      </c>
      <c r="AD62" s="23" t="s">
        <v>296</v>
      </c>
    </row>
    <row r="63" ht="37.5" customHeight="1">
      <c r="A63" s="11"/>
      <c r="B63" s="23"/>
      <c r="C63" s="23"/>
      <c r="D63" s="24"/>
      <c r="E63" s="23"/>
      <c r="F63" s="23"/>
      <c r="G63" s="23"/>
      <c r="H63" s="23"/>
      <c r="I63" s="23"/>
      <c r="J63" s="23"/>
      <c r="K63" s="23"/>
      <c r="L63" s="15" t="s">
        <v>297</v>
      </c>
      <c r="M63" s="15" t="s">
        <v>298</v>
      </c>
      <c r="N6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""&amp;M63)"),"Power Consumption Rate | Color Temperature | Voltage | IP Rating | Strip Width")</f>
        <v>Power Consumption Rate | Color Temperature | Voltage | IP Rating | Strip Width</v>
      </c>
      <c r="O63" s="25" t="s">
        <v>124</v>
      </c>
      <c r="P6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""&amp;O63&amp;"", Values: ""&amp;M63&amp; "" and SKU Code: ""&amp;"&amp;"L63)"),"{
""Power Consumption Rate"": ""29W/m"",
""Color Temperature"": ""3000K"",
""Voltage"": ""24V"",
""IP Rating"": ""IP20"",
""Strip Width"": ""12mm (W)"",
""SKU"": ""SMD-29W-3K-IP20""
}")</f>
        <v>{
"Power Consumption Rate": "29W/m",
"Color Temperature": "3000K",
"Voltage": "24V",
"IP Rating": "IP20",
"Strip Width": "12mm (W)",
"SKU": "SMD-29W-3K-IP20"
}</v>
      </c>
      <c r="Q63" s="25" t="s">
        <v>299</v>
      </c>
      <c r="R63" s="23"/>
      <c r="S63" s="23"/>
      <c r="T63" s="23"/>
      <c r="U63" s="23"/>
      <c r="V63" s="23"/>
      <c r="W63" s="23"/>
      <c r="X63" s="23"/>
      <c r="Y63" s="11" t="s">
        <v>42</v>
      </c>
      <c r="Z63" s="11" t="s">
        <v>295</v>
      </c>
      <c r="AA63" s="11" t="s">
        <v>44</v>
      </c>
      <c r="AB63" s="23"/>
      <c r="AC63" s="23"/>
      <c r="AD63" s="23"/>
    </row>
    <row r="64" ht="37.5" customHeight="1">
      <c r="A64" s="11"/>
      <c r="B64" s="23"/>
      <c r="C64" s="23"/>
      <c r="D64" s="24"/>
      <c r="E64" s="23"/>
      <c r="F64" s="23"/>
      <c r="G64" s="23"/>
      <c r="H64" s="23"/>
      <c r="I64" s="23"/>
      <c r="J64" s="23"/>
      <c r="K64" s="23"/>
      <c r="L64" s="15" t="s">
        <v>300</v>
      </c>
      <c r="M64" s="15" t="s">
        <v>301</v>
      </c>
      <c r="N6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""&amp;M64)"),"Power Consumption Rate | Color Temperature | Voltage | IP Rating | Strip Width")</f>
        <v>Power Consumption Rate | Color Temperature | Voltage | IP Rating | Strip Width</v>
      </c>
      <c r="O64" s="25" t="s">
        <v>124</v>
      </c>
      <c r="P6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""&amp;O64&amp;"", Values: ""&amp;M64&amp; "" and SKU Code: ""&amp;"&amp;"L64)"),"{ ""Power Consumption Rate"": ""29W/m"", ""Color Temperature"": ""4000K"", ""Voltage"": ""24V"", ""IP Rating"": ""IP20"", ""Strip Width"": ""12mm (W)"", ""SKU"": ""SMD-29W-4K-IP20"" }")</f>
        <v>{ "Power Consumption Rate": "29W/m", "Color Temperature": "4000K", "Voltage": "24V", "IP Rating": "IP20", "Strip Width": "12mm (W)", "SKU": "SMD-29W-4K-IP20" }</v>
      </c>
      <c r="Q64" s="25" t="s">
        <v>302</v>
      </c>
      <c r="R64" s="23"/>
      <c r="S64" s="23"/>
      <c r="T64" s="23"/>
      <c r="U64" s="23"/>
      <c r="V64" s="23"/>
      <c r="W64" s="23"/>
      <c r="X64" s="23"/>
      <c r="Y64" s="11" t="s">
        <v>42</v>
      </c>
      <c r="Z64" s="11" t="s">
        <v>295</v>
      </c>
      <c r="AA64" s="11" t="s">
        <v>44</v>
      </c>
      <c r="AB64" s="23"/>
      <c r="AC64" s="23"/>
      <c r="AD64" s="23"/>
    </row>
    <row r="65" ht="37.5" customHeight="1">
      <c r="A65" s="11"/>
      <c r="B65" s="23"/>
      <c r="C65" s="23"/>
      <c r="D65" s="24"/>
      <c r="E65" s="23"/>
      <c r="F65" s="23"/>
      <c r="G65" s="23"/>
      <c r="H65" s="23"/>
      <c r="I65" s="23"/>
      <c r="J65" s="23"/>
      <c r="K65" s="23"/>
      <c r="L65" s="15" t="s">
        <v>303</v>
      </c>
      <c r="M65" s="15" t="s">
        <v>304</v>
      </c>
      <c r="N6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""&amp;M65)"),"Power Consumption Rate | Color Temperature | Voltage | IP Rating | Strip Width")</f>
        <v>Power Consumption Rate | Color Temperature | Voltage | IP Rating | Strip Width</v>
      </c>
      <c r="O65" s="25" t="s">
        <v>124</v>
      </c>
      <c r="P6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""&amp;O65&amp;"", Values: ""&amp;M65&amp; "" and SKU Code: ""&amp;"&amp;"L65)"),"{ ""Power Consumption Rate"": ""29W/m"", ""Color Temperature"": ""6000K"", ""Voltage"": ""24V"", ""IP Rating"": ""IP20"", ""Strip Width"": ""12mm (W)"", ""SKU"": ""SMD-29W-6K-IP20"" }")</f>
        <v>{ "Power Consumption Rate": "29W/m", "Color Temperature": "6000K", "Voltage": "24V", "IP Rating": "IP20", "Strip Width": "12mm (W)", "SKU": "SMD-29W-6K-IP20" }</v>
      </c>
      <c r="Q65" s="25" t="s">
        <v>305</v>
      </c>
      <c r="R65" s="23"/>
      <c r="S65" s="23"/>
      <c r="T65" s="23"/>
      <c r="U65" s="23"/>
      <c r="V65" s="23"/>
      <c r="W65" s="23"/>
      <c r="X65" s="23"/>
      <c r="Y65" s="11" t="s">
        <v>42</v>
      </c>
      <c r="Z65" s="11" t="s">
        <v>295</v>
      </c>
      <c r="AA65" s="11" t="s">
        <v>44</v>
      </c>
      <c r="AB65" s="23"/>
      <c r="AC65" s="23"/>
      <c r="AD65" s="23"/>
    </row>
    <row r="66" ht="37.5" customHeight="1">
      <c r="A66" s="28" t="s">
        <v>306</v>
      </c>
      <c r="B66" s="11" t="s">
        <v>307</v>
      </c>
      <c r="C66" s="11" t="s">
        <v>32</v>
      </c>
      <c r="D66" s="13" t="s">
        <v>308</v>
      </c>
      <c r="E66" s="12" t="s">
        <v>34</v>
      </c>
      <c r="F66" s="13" t="str">
        <f>IFERROR(__xludf.DUMMYFUNCTION("AI(""Give me a paragraph marketing spiel for product in this row, no tech specs just marketing fluff "")"),"Elevate your design visions with Lumoflex, a premium neon lighting solution engineered to bring a seamless, captivating radiance to any space. Designed for exceptional adaptability and striking visual interest, this flexible linear light effortlessly curv"&amp;"es to accentuate modern contours and carve out bold architectural narratives. Whether transforming a refined commercial interior or casting a sophisticated, atmospheric glow across a high-end venue, its flawless uniform brilliance delivers unparalleled ae"&amp;"sthetic elegance. Perfect for creators who refuse to compromise on beauty and atmosphere, it stands as the ultimate choice for injecting modern style and timeless sophistication into any project.")</f>
        <v>Elevate your design visions with Lumoflex, a premium neon lighting solution engineered to bring a seamless, captivating radiance to any space. Designed for exceptional adaptability and striking visual interest, this flexible linear light effortlessly curves to accentuate modern contours and carve out bold architectural narratives. Whether transforming a refined commercial interior or casting a sophisticated, atmospheric glow across a high-end venue, its flawless uniform brilliance delivers unparalleled aesthetic elegance. Perfect for creators who refuse to compromise on beauty and atmosphere, it stands as the ultimate choice for injecting modern style and timeless sophistication into any project.</v>
      </c>
      <c r="G66" s="11" t="s">
        <v>309</v>
      </c>
      <c r="H66" s="13" t="str">
        <f>IFERROR(__xludf.DUMMYFUNCTION("AI(""Give me a paragraph marketing spiel for product in this row, no tech specs just marketing fluff under 180 characters "")"),"Bring seamless, captivating radiance to your space with Lumoflex, the ultimate choice for injecting modern style and timeless sophistication into any project.")</f>
        <v>Bring seamless, captivating radiance to your space with Lumoflex, the ultimate choice for injecting modern style and timeless sophistication into any project.</v>
      </c>
      <c r="I66" s="11" t="s">
        <v>310</v>
      </c>
      <c r="J66" s="23"/>
      <c r="K66" s="23"/>
      <c r="L66" s="15" t="s">
        <v>306</v>
      </c>
      <c r="M66" s="15" t="s">
        <v>311</v>
      </c>
      <c r="N6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""&amp;M66)"),"Power Consumption Rate | Color Temperature | Voltage | IP Rating | Depth | Beam Angle")</f>
        <v>Power Consumption Rate | Color Temperature | Voltage | IP Rating | Depth | Beam Angle</v>
      </c>
      <c r="O66" s="25" t="s">
        <v>312</v>
      </c>
      <c r="P6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""&amp;O66&amp;"", Values: ""&amp;M66&amp; "" and SKU Code: ""&amp;"&amp;"L66)"),"{
""Power Consumption Rate"": ""9W/m"",
""Color Temperature"": ""2700K"",
""Voltage"": ""24V"",
""IP Rating"": ""IP65"",
""Depth"": ""13mm (D)"",
""Beam Angle"": ""360°"",
""SKU"": ""LMF13-9W-2.7K-IP65""
}")</f>
        <v>{
"Power Consumption Rate": "9W/m",
"Color Temperature": "2700K",
"Voltage": "24V",
"IP Rating": "IP65",
"Depth": "13mm (D)",
"Beam Angle": "360°",
"SKU": "LMF13-9W-2.7K-IP65"
}</v>
      </c>
      <c r="Q66" s="25" t="s">
        <v>313</v>
      </c>
      <c r="R66"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Q66:Q84)"),"{""Power Consumption Rate"": [""9W/m"", ""15W/m"", ""13W/m"", ""18W/m""], ""Color Temperature"": [""2700K"", ""3000K"", ""4000K"", ""RGB"", ""2300K-4000K"", ""RGBW (3000K)""], ""Voltage"": ""24V"", ""IP Rating"": ""IP65"", ""Depth"": [""13mm (D)"", ""18mm"&amp;" (D)"", ""25mm (D)"", ""30mm (D)"", ""40mm (D)""], ""Beam Angle"": ""360°"", ""SKU"": [""LMF13-9W-2.7K-IP65"", ""LMF13-9W-3K-IP65"", ""LMF13-9W-4K-IP65"", ""LMF18-15W-2.7K-IP65"", ""LMF18-15W-3K-IP65"", ""LMF18-15W-4K-IP65"", ""LMF18-13W-RGB-IP65"", ""LMF"&amp;"18-15W-TW-IP65"", ""LMF25-15W-2.7K-IP65"", ""LMF25-15W-3K-IP65"", ""LMF25-15W-4K-IP65"", ""LMF25-15W-RGB-IP65"", ""LMF25-15W-TW-IP65"", ""LMF25-18W-RGBW-IP65"", ""LMF30-15W-2.7K-IP65"", ""LMF30-15W-3K-IP65"", ""LMF30-15W-4K-IP65"", ""LMF30-18W-RGBW-IP65"""&amp;", ""LMF40-18W-RGBW-IP65""]}")</f>
        <v>{"Power Consumption Rate": ["9W/m", "15W/m", "13W/m", "18W/m"], "Color Temperature": ["2700K", "3000K", "4000K", "RGB", "2300K-4000K", "RGBW (3000K)"], "Voltage": "24V", "IP Rating": "IP65", "Depth": ["13mm (D)", "18mm (D)", "25mm (D)", "30mm (D)", "40mm (D)"], "Beam Angle": "360°", "SKU": ["LMF13-9W-2.7K-IP65", "LMF13-9W-3K-IP65", "LMF13-9W-4K-IP65", "LMF18-15W-2.7K-IP65", "LMF18-15W-3K-IP65", "LMF18-15W-4K-IP65", "LMF18-13W-RGB-IP65", "LMF18-15W-TW-IP65", "LMF25-15W-2.7K-IP65", "LMF25-15W-3K-IP65", "LMF25-15W-4K-IP65", "LMF25-15W-RGB-IP65", "LMF25-15W-TW-IP65", "LMF25-18W-RGBW-IP65", "LMF30-15W-2.7K-IP65", "LMF30-15W-3K-IP65", "LMF30-15W-4K-IP65", "LMF30-18W-RGBW-IP65", "LMF40-18W-RGBW-IP65"]}</v>
      </c>
      <c r="S66" s="13" t="s">
        <v>314</v>
      </c>
      <c r="T66"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Q66:Q84)"),"{""Options"":{""Power Consumption Rate"":[{""name"":""9W/m"",""id"":""101""},{""name"":""15W/m"",""id"":""102""},{""name"":""13W/m"",""id"":""103""},{""name"":""18W/m"",""id"":""104""}],""Color Temperature"":[{""name"":""2700K"",""id"":""105""},{""name"":"&amp;"""3000K"",""id"":""106""},{""name"":""4000K"",""id"":""107""},{""name"":""RGB"",""id"":""108""},{""name"":""2300K-4000K"",""id"":""109""},{""name"":""RGBW (3000K)"",""id"":""110""}],""Voltage"":[{""name"":""24V"",""id"":""111""}],""IP Rating"":[{""name"":"&amp;"""IP65"",""id"":""112""}],""Depth"":[{""name"":""13mm (D)"",""id"":""113""},{""name"":""18mm (D)"",""id"":""114""},{""name"":""25mm (D)"",""id"":""115""},{""name"":""30mm (D)"",""id"":""116""},{""name"":""40mm (D)"",""id"":""117""}],""Beam Angle"":[{""nam"&amp;"e"":""360°"",""id"":""118""}]},""Constraints"":{""113"":[""102"",""103"",""104""],""114"":[""101"",""104""],""117"":[""101"",""102"",""103""]},""sku_mappings"":[{""sku"":""LMF13-9W-2.7K-IP65"",""combination"":[""101"",""105"",""111"",""112"",""113"",""118"&amp;"""]},{""sku"":""LMF13-9W-3K-IP65"",""combination"":[""101"",""106"",""111"",""112"",""113"",""118""]},{""sku"":""LMF13-9W-4K-IP65"",""combination"":[""101"",""107"",""111"",""112"",""113"",""118""]},{""sku"":""LMF18-15W-2.7K-IP65"",""combination"":[""102"&amp;""",""105"",""111"",""112"",""114"",""118""]},{""sku"":""LMF18-15W-3K-IP65"",""combination"":[""102"",""106"",""111"",""112"",""114"",""118""]},{""sku"":""LMF18-15W-4K-IP65"",""combination"":[""102"",""107"",""111"",""112"",""114"",""118""]},{""sku"":""LMF"&amp;"18-13W-RGB-IP65"",""combination"":[""103"",""108"",""111"",""112"",""114"",""118""]},{""sku"":""LMF18-15W-TW-IP65"",""combination"":[""102"",""109"",""111"",""112"",""114"",""118""]},{""sku"":""LMF25-15W-2.7K-IP65"",""combination"":[""102"",""105"",""111"&amp;""",""112"",""115"",""118""]},{""sku"":""LMF25-15W-3K-IP65"",""combination"":[""102"",""106"",""111"",""112"",""115"",""118""]},{""sku"":""LMF25-15W-4K-IP65"",""combination"":[""102"",""107"",""111"",""112"",""115"",""118""]},{""sku"":""LMF25-15W-RGB-IP65"&amp;""",""combination"":[""102"",""108"",""111"",""112"",""115"",""118""]},{""sku"":""LMF25-15W-TW-IP65"",""combination"":[""102"",""109"",""111"",""112"",""115"",""118""]},{""sku"":""LMF25-18W-RGBW-IP65"",""combination"":[""104"",""110"",""111"",""112"",""115"&amp;""",""118""]},{""sku"":""LMF30-15W-2.7K-IP65"",""combination"":[""102"",""105"",""111"",""112"",""116"",""118""]},{""sku"":""LMF30-15W-3K-IP65"",""combination"":[""102"",""106"",""111"",""112"",""116"",""118""]},{""sku"":""LMF30-15W-4K-IP65"",""combination"&amp;""":[""102"",""107"",""111"",""112"",""116"",""118""]},{""sku"":""LMF30-18W-RGBW-IP65"",""combination"":[""104"",""110"",""111"",""112"",""116"",""118""]},{""sku"":""LMF40-18W-RGBW-IP65"",""combination"":[""104"",""110"",""111"",""112"",""117"",""118""]}]}")</f>
        <v>{"Options":{"Power Consumption Rate":[{"name":"9W/m","id":"101"},{"name":"15W/m","id":"102"},{"name":"13W/m","id":"103"},{"name":"18W/m","id":"104"}],"Color Temperature":[{"name":"2700K","id":"105"},{"name":"3000K","id":"106"},{"name":"4000K","id":"107"},{"name":"RGB","id":"108"},{"name":"2300K-4000K","id":"109"},{"name":"RGBW (3000K)","id":"110"}],"Voltage":[{"name":"24V","id":"111"}],"IP Rating":[{"name":"IP65","id":"112"}],"Depth":[{"name":"13mm (D)","id":"113"},{"name":"18mm (D)","id":"114"},{"name":"25mm (D)","id":"115"},{"name":"30mm (D)","id":"116"},{"name":"40mm (D)","id":"117"}],"Beam Angle":[{"name":"360°","id":"118"}]},"Constraints":{"113":["102","103","104"],"114":["101","104"],"117":["101","102","103"]},"sku_mappings":[{"sku":"LMF13-9W-2.7K-IP65","combination":["101","105","111","112","113","118"]},{"sku":"LMF13-9W-3K-IP65","combination":["101","106","111","112","113","118"]},{"sku":"LMF13-9W-4K-IP65","combination":["101","107","111","112","113","118"]},{"sku":"LMF18-15W-2.7K-IP65","combination":["102","105","111","112","114","118"]},{"sku":"LMF18-15W-3K-IP65","combination":["102","106","111","112","114","118"]},{"sku":"LMF18-15W-4K-IP65","combination":["102","107","111","112","114","118"]},{"sku":"LMF18-13W-RGB-IP65","combination":["103","108","111","112","114","118"]},{"sku":"LMF18-15W-TW-IP65","combination":["102","109","111","112","114","118"]},{"sku":"LMF25-15W-2.7K-IP65","combination":["102","105","111","112","115","118"]},{"sku":"LMF25-15W-3K-IP65","combination":["102","106","111","112","115","118"]},{"sku":"LMF25-15W-4K-IP65","combination":["102","107","111","112","115","118"]},{"sku":"LMF25-15W-RGB-IP65","combination":["102","108","111","112","115","118"]},{"sku":"LMF25-15W-TW-IP65","combination":["102","109","111","112","115","118"]},{"sku":"LMF25-18W-RGBW-IP65","combination":["104","110","111","112","115","118"]},{"sku":"LMF30-15W-2.7K-IP65","combination":["102","105","111","112","116","118"]},{"sku":"LMF30-15W-3K-IP65","combination":["102","106","111","112","116","118"]},{"sku":"LMF30-15W-4K-IP65","combination":["102","107","111","112","116","118"]},{"sku":"LMF30-18W-RGBW-IP65","combination":["104","110","111","112","116","118"]},{"sku":"LMF40-18W-RGBW-IP65","combination":["104","110","111","112","117","118"]}]}</v>
      </c>
      <c r="U66" s="26" t="s">
        <v>315</v>
      </c>
      <c r="V66" s="20" t="str">
        <f>IFERROR(__xludf.DUMMYFUNCTION("AI(""Extract options object from the json"", U66)"),"{""Power Consumption Rate"":[{""name"":""9W/m"",""id"":""101""},{""name"":""15W/m"",""id"":""102""},{""name"":""13W/m"",""id"":""103""},{""name"":""18W/m"",""id"":""104""}],""Color Temperature"":[{""name"":""2700K"",""id"":""105""},{""name"":""3000K"",""i"&amp;"d"":""106""},{""name"":""4000K"",""id"":""107""},{""name"":""RGB"",""id"":""108""},{""name"":""2300K-4000K"",""id"":""109""},{""name"":""RGBW (3000K)"",""id"":""110""}],""Voltage"":[{""name"":""24V"",""id"":""111""}],""IP Rating"":[{""name"":""IP65"",""id"&amp;""":""112""}],""Depth"":[{""name"":""13mm (D)"",""id"":""113""},{""name"":""18mm (D)"",""id"":""114""},{""name"":""25mm (D)"",""id"":""115""},{""name"":""30mm (D)"",""id"":""116""},{""name"":""40mm (D)"",""id"":""117""}],""Beam Angle"":[{""name"":""360°"","&amp;"""id"":""118""}]}")</f>
        <v>{"Power Consumption Rate":[{"name":"9W/m","id":"101"},{"name":"15W/m","id":"102"},{"name":"13W/m","id":"103"},{"name":"18W/m","id":"104"}],"Color Temperature":[{"name":"2700K","id":"105"},{"name":"3000K","id":"106"},{"name":"4000K","id":"107"},{"name":"RGB","id":"108"},{"name":"2300K-4000K","id":"109"},{"name":"RGBW (3000K)","id":"110"}],"Voltage":[{"name":"24V","id":"111"}],"IP Rating":[{"name":"IP65","id":"112"}],"Depth":[{"name":"13mm (D)","id":"113"},{"name":"18mm (D)","id":"114"},{"name":"25mm (D)","id":"115"},{"name":"30mm (D)","id":"116"},{"name":"40mm (D)","id":"117"}],"Beam Angle":[{"name":"360°","id":"118"}]}</v>
      </c>
      <c r="W66" s="20" t="str">
        <f>IFERROR(__xludf.DUMMYFUNCTION("AI(""Extract constraints object from the json"", U66)"),"{""113"":[""102"",""103"",""104""],""114"":[""101"",""104""],""117"":[""101"",""102"",""103""]}")</f>
        <v>{"113":["102","103","104"],"114":["101","104"],"117":["101","102","103"]}</v>
      </c>
      <c r="X66" s="20" t="str">
        <f>IFERROR(__xludf.DUMMYFUNCTION("AI(""Extract sku_mappings object from the json"", U66)"),"[{""sku"":""LMF13-9W-2.7K-IP65"",""combination"":[""101"",""105"",""111"",""112"",""113"",""118""]},{""sku"":""LMF13-9W-3K-IP65"",""combination"":[""101"",""106"",""111"",""112"",""113"",""118""]},{""sku"":""LMF13-9W-4K-IP65"",""combination"":[""101"",""1"&amp;"07"",""111"",""112"",""113"",""118""]},{""sku"":""LMF18-15W-2.7K-IP65"",""combination"":[""102"",""105"",""111"",""112"",""114"",""118""]},{""sku"":""LMF18-15W-3K-IP65"",""combination"":[""102"",""106"",""111"",""112"",""114"",""118""]},{""sku"":""LMF18-1"&amp;"5W-4K-IP65"",""combination"":[""102"",""107"",""111"",""112"",""114"",""118""]},{""sku"":""LMF18-13W-RGB-IP65"",""combination"":[""103"",""108"",""111"",""112"",""114"",""118""]},{""sku"":""LMF18-15W-TW-IP65"",""combination"":[""102"",""109"",""111"",""11"&amp;"2"",""114"",""118""]},{""sku"":""LMF25-15W-2.7K-IP65"",""combination"":[""102"",""105"",""111"",""112"",""115"",""118""]},{""sku"":""LMF25-15W-3K-IP65"",""combination"":[""102"",""106"",""111"",""112"",""115"",""118""]},{""sku"":""LMF25-15W-4K-IP65"",""co"&amp;"mbination"":[""102"",""107"",""111"",""112"",""115"",""118""]},{""sku"":""LMF25-15W-RGB-IP65"",""combination"":[""102"",""108"",""111"",""112"",""115"",""118""]},{""sku"":""LMF25-15W-TW-IP65"",""combination"":[""102"",""109"",""111"",""112"",""115"",""118"&amp;"""]},{""sku"":""LMF25-18W-RGBW-IP65"",""combination"":[""104"",""110"",""111"",""112"",""115"",""118""]},{""sku"":""LMF30-15W-2.7K-IP65"",""combination"":[""102"",""105"",""111"",""112"",""116"",""118""]},{""sku"":""LMF30-15W-3K-IP65"",""combination"":["""&amp;"102"",""106"",""111"",""112"",""116"",""118""]},{""sku"":""LMF30-15W-4K-IP65"",""combination"":[""102"",""107"",""111"",""112"",""116"",""118""]},{""sku"":""LMF30-18W-RGBW-IP65"",""combination"":[""104"",""110"",""111"",""112"",""116"",""118""]},{""sku"":"&amp;"""LMF40-18W-RGBW-IP65"",""combination"":[""104"",""110"",""111"",""112"",""117"",""118""]}]")</f>
        <v>[{"sku":"LMF13-9W-2.7K-IP65","combination":["101","105","111","112","113","118"]},{"sku":"LMF13-9W-3K-IP65","combination":["101","106","111","112","113","118"]},{"sku":"LMF13-9W-4K-IP65","combination":["101","107","111","112","113","118"]},{"sku":"LMF18-15W-2.7K-IP65","combination":["102","105","111","112","114","118"]},{"sku":"LMF18-15W-3K-IP65","combination":["102","106","111","112","114","118"]},{"sku":"LMF18-15W-4K-IP65","combination":["102","107","111","112","114","118"]},{"sku":"LMF18-13W-RGB-IP65","combination":["103","108","111","112","114","118"]},{"sku":"LMF18-15W-TW-IP65","combination":["102","109","111","112","114","118"]},{"sku":"LMF25-15W-2.7K-IP65","combination":["102","105","111","112","115","118"]},{"sku":"LMF25-15W-3K-IP65","combination":["102","106","111","112","115","118"]},{"sku":"LMF25-15W-4K-IP65","combination":["102","107","111","112","115","118"]},{"sku":"LMF25-15W-RGB-IP65","combination":["102","108","111","112","115","118"]},{"sku":"LMF25-15W-TW-IP65","combination":["102","109","111","112","115","118"]},{"sku":"LMF25-18W-RGBW-IP65","combination":["104","110","111","112","115","118"]},{"sku":"LMF30-15W-2.7K-IP65","combination":["102","105","111","112","116","118"]},{"sku":"LMF30-15W-3K-IP65","combination":["102","106","111","112","116","118"]},{"sku":"LMF30-15W-4K-IP65","combination":["102","107","111","112","116","118"]},{"sku":"LMF30-18W-RGBW-IP65","combination":["104","110","111","112","116","118"]},{"sku":"LMF40-18W-RGBW-IP65","combination":["104","110","111","112","117","118"]}]</v>
      </c>
      <c r="Y66" s="11" t="s">
        <v>42</v>
      </c>
      <c r="Z66" s="11" t="s">
        <v>316</v>
      </c>
      <c r="AA66" s="11" t="s">
        <v>44</v>
      </c>
      <c r="AB66" s="23"/>
      <c r="AC66" s="23" t="str">
        <f>IFERROR(__xludf.DUMMYFUNCTION("AI(""Generate 6 powerful unique keywords for the product in this row"")"),"Lumoflex Neon, Premium Flexible Lighting, 360 Degree LED Neon, Architectural Linear Light, Waterproof Decorative Neon, Uniform Glow Light Strip")</f>
        <v>Lumoflex Neon, Premium Flexible Lighting, 360 Degree LED Neon, Architectural Linear Light, Waterproof Decorative Neon, Uniform Glow Light Strip</v>
      </c>
      <c r="AD66" s="23" t="s">
        <v>317</v>
      </c>
    </row>
    <row r="67" ht="37.5" customHeight="1">
      <c r="A67" s="11"/>
      <c r="B67" s="23"/>
      <c r="C67" s="23"/>
      <c r="D67" s="24"/>
      <c r="E67" s="23"/>
      <c r="F67" s="23"/>
      <c r="G67" s="23"/>
      <c r="H67" s="23"/>
      <c r="I67" s="23"/>
      <c r="J67" s="23"/>
      <c r="K67" s="23"/>
      <c r="L67" s="15" t="s">
        <v>318</v>
      </c>
      <c r="M67" s="15" t="s">
        <v>319</v>
      </c>
      <c r="N6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""&amp;M67)"),"Power Consumption Rate | Color Temperature | Voltage | IP Rating | Depth | Beam Angle")</f>
        <v>Power Consumption Rate | Color Temperature | Voltage | IP Rating | Depth | Beam Angle</v>
      </c>
      <c r="O67" s="25" t="s">
        <v>312</v>
      </c>
      <c r="P6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""&amp;O67&amp;"", Values: ""&amp;M67&amp; "" and SKU Code: ""&amp;"&amp;"L67)"),"{
""Power Consumption Rate"": ""9W/m"",
""Color Temperature"": ""3000K"",
""Voltage"": ""24V"",
""IP Rating"": ""IP65"",
""Depth"": ""13mm (D)"",
""Beam Angle"": ""360°"",
""SKU"": ""LMF13-9W-3K-IP65""
}")</f>
        <v>{
"Power Consumption Rate": "9W/m",
"Color Temperature": "3000K",
"Voltage": "24V",
"IP Rating": "IP65",
"Depth": "13mm (D)",
"Beam Angle": "360°",
"SKU": "LMF13-9W-3K-IP65"
}</v>
      </c>
      <c r="Q67" s="25" t="s">
        <v>320</v>
      </c>
      <c r="R67" s="23"/>
      <c r="S67" s="23"/>
      <c r="T67" s="23"/>
      <c r="U67" s="23"/>
      <c r="V67" s="23"/>
      <c r="W67" s="23"/>
      <c r="X67" s="23"/>
      <c r="Y67" s="11" t="s">
        <v>42</v>
      </c>
      <c r="Z67" s="11" t="s">
        <v>316</v>
      </c>
      <c r="AA67" s="11" t="s">
        <v>44</v>
      </c>
      <c r="AB67" s="23"/>
      <c r="AC67" s="23"/>
      <c r="AD67" s="23"/>
    </row>
    <row r="68" ht="37.5" customHeight="1">
      <c r="A68" s="11"/>
      <c r="B68" s="23"/>
      <c r="C68" s="23"/>
      <c r="D68" s="24"/>
      <c r="E68" s="23"/>
      <c r="F68" s="23"/>
      <c r="G68" s="23"/>
      <c r="H68" s="23"/>
      <c r="I68" s="23"/>
      <c r="J68" s="23"/>
      <c r="K68" s="23"/>
      <c r="L68" s="15" t="s">
        <v>321</v>
      </c>
      <c r="M68" s="15" t="s">
        <v>322</v>
      </c>
      <c r="N6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""&amp;M68)"),"Power Consumption Rate | Color Temperature | Voltage | IP Rating | Depth | Beam Angle")</f>
        <v>Power Consumption Rate | Color Temperature | Voltage | IP Rating | Depth | Beam Angle</v>
      </c>
      <c r="O68" s="25" t="s">
        <v>312</v>
      </c>
      <c r="P6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""&amp;O68&amp;"", Values: ""&amp;M68&amp; "" and SKU Code: ""&amp;"&amp;"L68)"),"{ ""Power Consumption Rate"": ""9W/m"", ""Color Temperature"": ""4000K"", ""Voltage"": ""24V"", ""IP Rating"": ""IP65"", ""Depth"": ""13mm (D)"", ""Beam Angle"": ""360°"", ""SKU"": ""LMF13-9W-4K-IP65"" }")</f>
        <v>{ "Power Consumption Rate": "9W/m", "Color Temperature": "4000K", "Voltage": "24V", "IP Rating": "IP65", "Depth": "13mm (D)", "Beam Angle": "360°", "SKU": "LMF13-9W-4K-IP65" }</v>
      </c>
      <c r="Q68" s="25" t="s">
        <v>323</v>
      </c>
      <c r="R68" s="23"/>
      <c r="S68" s="23"/>
      <c r="T68" s="23"/>
      <c r="U68" s="23"/>
      <c r="V68" s="23"/>
      <c r="W68" s="23"/>
      <c r="X68" s="23"/>
      <c r="Y68" s="11" t="s">
        <v>42</v>
      </c>
      <c r="Z68" s="11" t="s">
        <v>316</v>
      </c>
      <c r="AA68" s="11" t="s">
        <v>44</v>
      </c>
      <c r="AB68" s="23"/>
      <c r="AC68" s="23"/>
      <c r="AD68" s="23"/>
    </row>
    <row r="69" ht="37.5" customHeight="1">
      <c r="A69" s="11"/>
      <c r="B69" s="23"/>
      <c r="C69" s="23"/>
      <c r="D69" s="24"/>
      <c r="E69" s="23"/>
      <c r="F69" s="23"/>
      <c r="G69" s="23"/>
      <c r="H69" s="23"/>
      <c r="I69" s="23"/>
      <c r="J69" s="23"/>
      <c r="K69" s="23"/>
      <c r="L69" s="15" t="s">
        <v>324</v>
      </c>
      <c r="M69" s="15" t="s">
        <v>325</v>
      </c>
      <c r="N6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""&amp;M69)"),"Power Consumption Rate | Color Temperature | Voltage | IP Rating | Depth | Beam Angle")</f>
        <v>Power Consumption Rate | Color Temperature | Voltage | IP Rating | Depth | Beam Angle</v>
      </c>
      <c r="O69" s="25" t="s">
        <v>312</v>
      </c>
      <c r="P6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""&amp;O69&amp;"", Values: ""&amp;M69&amp; "" and SKU Code: ""&amp;"&amp;"L69)"),"{ ""Power Consumption Rate"": ""15W/m"", ""Color Temperature"": ""2700K"", ""Voltage"": ""24V"", ""IP Rating"": ""IP65"", ""Depth"": ""18mm (D)"", ""Beam Angle"": ""360°"", ""SKU"": ""LMF18-15W-2.7K-IP65"" }")</f>
        <v>{ "Power Consumption Rate": "15W/m", "Color Temperature": "2700K", "Voltage": "24V", "IP Rating": "IP65", "Depth": "18mm (D)", "Beam Angle": "360°", "SKU": "LMF18-15W-2.7K-IP65" }</v>
      </c>
      <c r="Q69" s="25" t="s">
        <v>326</v>
      </c>
      <c r="R69" s="23"/>
      <c r="S69" s="23"/>
      <c r="T69" s="23"/>
      <c r="U69" s="23"/>
      <c r="V69" s="23"/>
      <c r="W69" s="23"/>
      <c r="X69" s="23"/>
      <c r="Y69" s="11" t="s">
        <v>42</v>
      </c>
      <c r="Z69" s="11" t="s">
        <v>327</v>
      </c>
      <c r="AA69" s="11" t="s">
        <v>44</v>
      </c>
      <c r="AB69" s="23"/>
      <c r="AC69" s="23"/>
      <c r="AD69" s="23"/>
    </row>
    <row r="70" ht="37.5" customHeight="1">
      <c r="A70" s="11"/>
      <c r="B70" s="23"/>
      <c r="C70" s="23"/>
      <c r="D70" s="24"/>
      <c r="E70" s="23"/>
      <c r="F70" s="23"/>
      <c r="G70" s="23"/>
      <c r="H70" s="23"/>
      <c r="I70" s="23"/>
      <c r="J70" s="23"/>
      <c r="K70" s="23"/>
      <c r="L70" s="15" t="s">
        <v>328</v>
      </c>
      <c r="M70" s="15" t="s">
        <v>329</v>
      </c>
      <c r="N7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""&amp;M70)"),"Power Consumption Rate | Color Temperature | Voltage | IP Rating | Depth | Beam Angle")</f>
        <v>Power Consumption Rate | Color Temperature | Voltage | IP Rating | Depth | Beam Angle</v>
      </c>
      <c r="O70" s="25" t="s">
        <v>312</v>
      </c>
      <c r="P7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""&amp;O70&amp;"", Values: ""&amp;M70&amp; "" and SKU Code: ""&amp;"&amp;"L70)"),"{ ""Power Consumption Rate"": ""15W/m"", ""Color Temperature"": ""3000K"", ""Voltage"": ""24V"", ""IP Rating"": ""IP65"", ""Depth"": ""18mm (D)"", ""Beam Angle"": ""360°"", ""SKU"": ""LMF18-15W-3K-IP65"" }")</f>
        <v>{ "Power Consumption Rate": "15W/m", "Color Temperature": "3000K", "Voltage": "24V", "IP Rating": "IP65", "Depth": "18mm (D)", "Beam Angle": "360°", "SKU": "LMF18-15W-3K-IP65" }</v>
      </c>
      <c r="Q70" s="25" t="s">
        <v>330</v>
      </c>
      <c r="R70" s="23"/>
      <c r="S70" s="23"/>
      <c r="T70" s="23"/>
      <c r="U70" s="23"/>
      <c r="V70" s="23"/>
      <c r="W70" s="23"/>
      <c r="X70" s="23"/>
      <c r="Y70" s="11" t="s">
        <v>42</v>
      </c>
      <c r="Z70" s="11" t="s">
        <v>327</v>
      </c>
      <c r="AA70" s="11" t="s">
        <v>44</v>
      </c>
      <c r="AB70" s="23"/>
      <c r="AC70" s="23"/>
      <c r="AD70" s="23"/>
    </row>
    <row r="71" ht="37.5" customHeight="1">
      <c r="A71" s="11"/>
      <c r="B71" s="23"/>
      <c r="C71" s="23"/>
      <c r="D71" s="24"/>
      <c r="E71" s="23"/>
      <c r="F71" s="23"/>
      <c r="G71" s="23"/>
      <c r="H71" s="23"/>
      <c r="I71" s="23"/>
      <c r="J71" s="23"/>
      <c r="K71" s="23"/>
      <c r="L71" s="15" t="s">
        <v>331</v>
      </c>
      <c r="M71" s="15" t="s">
        <v>332</v>
      </c>
      <c r="N7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""&amp;M71)"),"Power Consumption Rate | Color Temperature | Voltage | IP Rating | Depth | Beam Angle")</f>
        <v>Power Consumption Rate | Color Temperature | Voltage | IP Rating | Depth | Beam Angle</v>
      </c>
      <c r="O71" s="25" t="s">
        <v>312</v>
      </c>
      <c r="P7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""&amp;O71&amp;"", Values: ""&amp;M71&amp; "" and SKU Code: ""&amp;"&amp;"L71)"),"{ ""Power Consumption Rate"": ""15W/m"", ""Color Temperature"": ""4000K"", ""Voltage"": ""24V"", ""IP Rating"": ""IP65"", ""Depth"": ""18mm (D)"", ""Beam Angle"": ""360°"", ""SKU"": ""LMF18-15W-4K-IP65"" }")</f>
        <v>{ "Power Consumption Rate": "15W/m", "Color Temperature": "4000K", "Voltage": "24V", "IP Rating": "IP65", "Depth": "18mm (D)", "Beam Angle": "360°", "SKU": "LMF18-15W-4K-IP65" }</v>
      </c>
      <c r="Q71" s="25" t="s">
        <v>333</v>
      </c>
      <c r="R71" s="23"/>
      <c r="S71" s="23"/>
      <c r="T71" s="23"/>
      <c r="U71" s="23"/>
      <c r="V71" s="23"/>
      <c r="W71" s="23"/>
      <c r="X71" s="23"/>
      <c r="Y71" s="11" t="s">
        <v>42</v>
      </c>
      <c r="Z71" s="11" t="s">
        <v>327</v>
      </c>
      <c r="AA71" s="11" t="s">
        <v>44</v>
      </c>
      <c r="AB71" s="23"/>
      <c r="AC71" s="23"/>
      <c r="AD71" s="23"/>
    </row>
    <row r="72" ht="37.5" customHeight="1">
      <c r="A72" s="11"/>
      <c r="B72" s="23"/>
      <c r="C72" s="23"/>
      <c r="D72" s="24"/>
      <c r="E72" s="23"/>
      <c r="F72" s="23"/>
      <c r="G72" s="23"/>
      <c r="H72" s="23"/>
      <c r="I72" s="23"/>
      <c r="J72" s="23"/>
      <c r="K72" s="23"/>
      <c r="L72" s="15" t="s">
        <v>334</v>
      </c>
      <c r="M72" s="15" t="s">
        <v>335</v>
      </c>
      <c r="N7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""&amp;M72)"),"Power Consumption Rate | Color Temperature | Voltage | IP Rating | Depth | Beam Angle")</f>
        <v>Power Consumption Rate | Color Temperature | Voltage | IP Rating | Depth | Beam Angle</v>
      </c>
      <c r="O72" s="25" t="s">
        <v>312</v>
      </c>
      <c r="P7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""&amp;O72&amp;"", Values: ""&amp;M72&amp; "" and SKU Code: ""&amp;"&amp;"L72)"),"{
""Power Consumption Rate"": ""13W/m"",
""Color Temperature"": ""RGB"",
""Voltage"": ""24V"",
""IP Rating"": ""IP65"",
""Depth"": ""18mm (D)"",
""Beam Angle"": ""360°"",
""SKU"": ""LMF18-13W-RGB-IP65""
}")</f>
        <v>{
"Power Consumption Rate": "13W/m",
"Color Temperature": "RGB",
"Voltage": "24V",
"IP Rating": "IP65",
"Depth": "18mm (D)",
"Beam Angle": "360°",
"SKU": "LMF18-13W-RGB-IP65"
}</v>
      </c>
      <c r="Q72" s="25" t="s">
        <v>336</v>
      </c>
      <c r="R72" s="23"/>
      <c r="S72" s="23"/>
      <c r="T72" s="23"/>
      <c r="U72" s="23"/>
      <c r="V72" s="23"/>
      <c r="W72" s="23"/>
      <c r="X72" s="23"/>
      <c r="Y72" s="11" t="s">
        <v>42</v>
      </c>
      <c r="Z72" s="11" t="s">
        <v>337</v>
      </c>
      <c r="AA72" s="11" t="s">
        <v>44</v>
      </c>
      <c r="AB72" s="23"/>
      <c r="AC72" s="23"/>
      <c r="AD72" s="23"/>
    </row>
    <row r="73" ht="37.5" customHeight="1">
      <c r="A73" s="11"/>
      <c r="B73" s="23"/>
      <c r="C73" s="23"/>
      <c r="D73" s="24"/>
      <c r="E73" s="23"/>
      <c r="F73" s="23"/>
      <c r="G73" s="23"/>
      <c r="H73" s="23"/>
      <c r="I73" s="23"/>
      <c r="J73" s="23"/>
      <c r="K73" s="23"/>
      <c r="L73" s="15" t="s">
        <v>338</v>
      </c>
      <c r="M73" s="15" t="s">
        <v>339</v>
      </c>
      <c r="N7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""&amp;M73)"),"Power Consumption Rate | Color Temperature | Voltage | IP Rating | Depth | Beam Angle")</f>
        <v>Power Consumption Rate | Color Temperature | Voltage | IP Rating | Depth | Beam Angle</v>
      </c>
      <c r="O73" s="25" t="s">
        <v>312</v>
      </c>
      <c r="P7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""&amp;O73&amp;"", Values: ""&amp;M73&amp; "" and SKU Code: ""&amp;"&amp;"L73)"),"{ ""Power Consumption Rate"": ""15W/m"", ""Color Temperature"": ""2300K-4000K"", ""Voltage"": ""24V"", ""IP Rating"": ""IP65"", ""Depth"": ""18mm (D)"", ""Beam Angle"": ""360°"", ""SKU"": ""LMF18-15W-TW-IP65"" }")</f>
        <v>{ "Power Consumption Rate": "15W/m", "Color Temperature": "2300K-4000K", "Voltage": "24V", "IP Rating": "IP65", "Depth": "18mm (D)", "Beam Angle": "360°", "SKU": "LMF18-15W-TW-IP65" }</v>
      </c>
      <c r="Q73" s="25" t="s">
        <v>340</v>
      </c>
      <c r="R73" s="23"/>
      <c r="S73" s="23"/>
      <c r="T73" s="23"/>
      <c r="U73" s="23"/>
      <c r="V73" s="23"/>
      <c r="W73" s="23"/>
      <c r="X73" s="23"/>
      <c r="Y73" s="11" t="s">
        <v>42</v>
      </c>
      <c r="Z73" s="11" t="s">
        <v>341</v>
      </c>
      <c r="AA73" s="11" t="s">
        <v>44</v>
      </c>
      <c r="AB73" s="23"/>
      <c r="AC73" s="23"/>
      <c r="AD73" s="23"/>
    </row>
    <row r="74" ht="37.5" customHeight="1">
      <c r="A74" s="11"/>
      <c r="B74" s="23"/>
      <c r="C74" s="23"/>
      <c r="D74" s="24"/>
      <c r="E74" s="23"/>
      <c r="F74" s="23"/>
      <c r="G74" s="23"/>
      <c r="H74" s="23"/>
      <c r="I74" s="23"/>
      <c r="J74" s="23"/>
      <c r="K74" s="23"/>
      <c r="L74" s="15" t="s">
        <v>342</v>
      </c>
      <c r="M74" s="15" t="s">
        <v>343</v>
      </c>
      <c r="N7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""&amp;M74)"),"Power Consumption Rate | Color Temperature | Voltage | IP Rating | Depth | Beam Angle")</f>
        <v>Power Consumption Rate | Color Temperature | Voltage | IP Rating | Depth | Beam Angle</v>
      </c>
      <c r="O74" s="25" t="s">
        <v>312</v>
      </c>
      <c r="P7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""&amp;O74&amp;"", Values: ""&amp;M74&amp; "" and SKU Code: ""&amp;"&amp;"L74)"),"{
""Power Consumption Rate"": ""15W/m"",
""Color Temperature"": ""2700K"",
""Voltage"": ""24V"",
""IP Rating"": ""IP65"",
""Depth"": ""25mm (D)"",
""Beam Angle"": ""360°"",
""SKU"": ""LMF25-15W-2.7K-IP65""
}")</f>
        <v>{
"Power Consumption Rate": "15W/m",
"Color Temperature": "2700K",
"Voltage": "24V",
"IP Rating": "IP65",
"Depth": "25mm (D)",
"Beam Angle": "360°",
"SKU": "LMF25-15W-2.7K-IP65"
}</v>
      </c>
      <c r="Q74" s="25" t="s">
        <v>344</v>
      </c>
      <c r="R74" s="23"/>
      <c r="S74" s="23"/>
      <c r="T74" s="23"/>
      <c r="U74" s="23"/>
      <c r="V74" s="23"/>
      <c r="W74" s="23"/>
      <c r="X74" s="23"/>
      <c r="Y74" s="11" t="s">
        <v>42</v>
      </c>
      <c r="Z74" s="11" t="s">
        <v>345</v>
      </c>
      <c r="AA74" s="11" t="s">
        <v>44</v>
      </c>
      <c r="AB74" s="23"/>
      <c r="AC74" s="23"/>
      <c r="AD74" s="23"/>
    </row>
    <row r="75" ht="37.5" customHeight="1">
      <c r="A75" s="11"/>
      <c r="B75" s="23"/>
      <c r="C75" s="23"/>
      <c r="D75" s="24"/>
      <c r="E75" s="23"/>
      <c r="F75" s="23"/>
      <c r="G75" s="23"/>
      <c r="H75" s="23"/>
      <c r="I75" s="23"/>
      <c r="J75" s="23"/>
      <c r="K75" s="23"/>
      <c r="L75" s="15" t="s">
        <v>346</v>
      </c>
      <c r="M75" s="15" t="s">
        <v>347</v>
      </c>
      <c r="N7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""&amp;M75)"),"Power Consumption Rate | Color Temperature | Voltage | IP Rating | Depth | Beam Angle")</f>
        <v>Power Consumption Rate | Color Temperature | Voltage | IP Rating | Depth | Beam Angle</v>
      </c>
      <c r="O75" s="25" t="s">
        <v>312</v>
      </c>
      <c r="P7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""&amp;O75&amp;"", Values: ""&amp;M75&amp; "" and SKU Code: ""&amp;"&amp;"L75)"),"{
""Power Consumption Rate"": ""15W/m"",
""Color Temperature"": ""3000K"",
""Voltage"": ""24V"",
""IP Rating"": ""IP65"",
""Depth"": ""25mm (D)"",
""Beam Angle"": ""360°"",
""SKU"": ""LMF25-15W-3K-IP65""
}")</f>
        <v>{
"Power Consumption Rate": "15W/m",
"Color Temperature": "3000K",
"Voltage": "24V",
"IP Rating": "IP65",
"Depth": "25mm (D)",
"Beam Angle": "360°",
"SKU": "LMF25-15W-3K-IP65"
}</v>
      </c>
      <c r="Q75" s="25" t="s">
        <v>348</v>
      </c>
      <c r="R75" s="23"/>
      <c r="S75" s="23"/>
      <c r="T75" s="23"/>
      <c r="U75" s="23"/>
      <c r="V75" s="23"/>
      <c r="W75" s="23"/>
      <c r="X75" s="23"/>
      <c r="Y75" s="11" t="s">
        <v>42</v>
      </c>
      <c r="Z75" s="11" t="s">
        <v>345</v>
      </c>
      <c r="AA75" s="11" t="s">
        <v>44</v>
      </c>
      <c r="AB75" s="23"/>
      <c r="AC75" s="23"/>
      <c r="AD75" s="23"/>
    </row>
    <row r="76" ht="37.5" customHeight="1">
      <c r="A76" s="11"/>
      <c r="B76" s="23"/>
      <c r="C76" s="23"/>
      <c r="D76" s="24"/>
      <c r="E76" s="23"/>
      <c r="F76" s="23"/>
      <c r="G76" s="23"/>
      <c r="H76" s="23"/>
      <c r="I76" s="23"/>
      <c r="J76" s="23"/>
      <c r="K76" s="23"/>
      <c r="L76" s="15" t="s">
        <v>349</v>
      </c>
      <c r="M76" s="15" t="s">
        <v>350</v>
      </c>
      <c r="N7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""&amp;M76)"),"Power Consumption Rate | Color Temperature | Voltage | IP Rating | Depth | Beam Angle")</f>
        <v>Power Consumption Rate | Color Temperature | Voltage | IP Rating | Depth | Beam Angle</v>
      </c>
      <c r="O76" s="25" t="s">
        <v>312</v>
      </c>
      <c r="P7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""&amp;O76&amp;"", Values: ""&amp;M76&amp; "" and SKU Code: ""&amp;"&amp;"L76)"),"{
""Power Consumption Rate"": ""15W/m"",
""Color Temperature"": ""4000K"",
""Voltage"": ""24V"",
""IP Rating"": ""IP65"",
""Depth"": ""25mm (D)"",
""Beam Angle"": ""360°"",
""SKU"": ""LMF25-15W-4K-IP65""
}")</f>
        <v>{
"Power Consumption Rate": "15W/m",
"Color Temperature": "4000K",
"Voltage": "24V",
"IP Rating": "IP65",
"Depth": "25mm (D)",
"Beam Angle": "360°",
"SKU": "LMF25-15W-4K-IP65"
}</v>
      </c>
      <c r="Q76" s="25" t="s">
        <v>351</v>
      </c>
      <c r="R76" s="23"/>
      <c r="S76" s="23"/>
      <c r="T76" s="23"/>
      <c r="U76" s="23"/>
      <c r="V76" s="23"/>
      <c r="W76" s="23"/>
      <c r="X76" s="23"/>
      <c r="Y76" s="11" t="s">
        <v>42</v>
      </c>
      <c r="Z76" s="11" t="s">
        <v>345</v>
      </c>
      <c r="AA76" s="11" t="s">
        <v>44</v>
      </c>
      <c r="AB76" s="23"/>
      <c r="AC76" s="23"/>
      <c r="AD76" s="23"/>
    </row>
    <row r="77" ht="37.5" customHeight="1">
      <c r="A77" s="11"/>
      <c r="B77" s="23"/>
      <c r="C77" s="23"/>
      <c r="D77" s="24"/>
      <c r="E77" s="23"/>
      <c r="F77" s="23"/>
      <c r="G77" s="23"/>
      <c r="H77" s="23"/>
      <c r="I77" s="23"/>
      <c r="J77" s="23"/>
      <c r="K77" s="23"/>
      <c r="L77" s="15" t="s">
        <v>352</v>
      </c>
      <c r="M77" s="15" t="s">
        <v>353</v>
      </c>
      <c r="N7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""&amp;M77)"),"Power Consumption Rate | Color Temperature | Voltage | IP Rating | Depth | Beam Angle")</f>
        <v>Power Consumption Rate | Color Temperature | Voltage | IP Rating | Depth | Beam Angle</v>
      </c>
      <c r="O77" s="25" t="s">
        <v>312</v>
      </c>
      <c r="P7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""&amp;O77&amp;"", Values: ""&amp;M77&amp; "" and SKU Code: ""&amp;"&amp;"L77)"),"{
""Power Consumption Rate"": ""15W/m"",
""Color Temperature"": ""RGB"",
""Voltage"": ""24V"",
""IP Rating"": ""IP65"",
""Depth"": ""25mm (D)"",
""Beam Angle"": ""360°"",
""SKU"": ""LMF25-15W-RGB-IP65""
}")</f>
        <v>{
"Power Consumption Rate": "15W/m",
"Color Temperature": "RGB",
"Voltage": "24V",
"IP Rating": "IP65",
"Depth": "25mm (D)",
"Beam Angle": "360°",
"SKU": "LMF25-15W-RGB-IP65"
}</v>
      </c>
      <c r="Q77" s="25" t="s">
        <v>354</v>
      </c>
      <c r="R77" s="23"/>
      <c r="S77" s="23"/>
      <c r="T77" s="23"/>
      <c r="U77" s="23"/>
      <c r="V77" s="23"/>
      <c r="W77" s="23"/>
      <c r="X77" s="23"/>
      <c r="Y77" s="11" t="s">
        <v>42</v>
      </c>
      <c r="Z77" s="11" t="s">
        <v>355</v>
      </c>
      <c r="AA77" s="11" t="s">
        <v>44</v>
      </c>
      <c r="AB77" s="23"/>
      <c r="AC77" s="23"/>
      <c r="AD77" s="23"/>
    </row>
    <row r="78" ht="37.5" customHeight="1">
      <c r="A78" s="11"/>
      <c r="B78" s="23"/>
      <c r="C78" s="23"/>
      <c r="D78" s="24"/>
      <c r="E78" s="23"/>
      <c r="F78" s="23"/>
      <c r="G78" s="23"/>
      <c r="H78" s="23"/>
      <c r="I78" s="23"/>
      <c r="J78" s="23"/>
      <c r="K78" s="23"/>
      <c r="L78" s="15" t="s">
        <v>356</v>
      </c>
      <c r="M78" s="15" t="s">
        <v>357</v>
      </c>
      <c r="N7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""&amp;M78)"),"Power Consumption Rate | Color Temperature | Voltage | IP Rating | Depth | Beam Angle")</f>
        <v>Power Consumption Rate | Color Temperature | Voltage | IP Rating | Depth | Beam Angle</v>
      </c>
      <c r="O78" s="25" t="s">
        <v>312</v>
      </c>
      <c r="P7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""&amp;O78&amp;"", Values: ""&amp;M78&amp; "" and SKU Code: ""&amp;"&amp;"L78)"),"{ ""Power Consumption Rate"": ""15W/m"", ""Color Temperature"": ""2300K-4000K"", ""Voltage"": ""24V"", ""IP Rating"": ""IP65"", ""Depth"": ""25mm (D)"", ""Beam Angle"": ""360°"", ""SKU"": ""LMF25-15W-TW-IP65"" }")</f>
        <v>{ "Power Consumption Rate": "15W/m", "Color Temperature": "2300K-4000K", "Voltage": "24V", "IP Rating": "IP65", "Depth": "25mm (D)", "Beam Angle": "360°", "SKU": "LMF25-15W-TW-IP65" }</v>
      </c>
      <c r="Q78" s="25" t="s">
        <v>358</v>
      </c>
      <c r="R78" s="23"/>
      <c r="S78" s="23"/>
      <c r="T78" s="23"/>
      <c r="U78" s="23"/>
      <c r="V78" s="23"/>
      <c r="W78" s="23"/>
      <c r="X78" s="23"/>
      <c r="Y78" s="11" t="s">
        <v>42</v>
      </c>
      <c r="Z78" s="11" t="s">
        <v>359</v>
      </c>
      <c r="AA78" s="11" t="s">
        <v>44</v>
      </c>
      <c r="AB78" s="23"/>
      <c r="AC78" s="23"/>
      <c r="AD78" s="23"/>
    </row>
    <row r="79" ht="37.5" customHeight="1">
      <c r="A79" s="11"/>
      <c r="B79" s="23"/>
      <c r="C79" s="23"/>
      <c r="D79" s="24"/>
      <c r="E79" s="23"/>
      <c r="F79" s="23"/>
      <c r="G79" s="23"/>
      <c r="H79" s="23"/>
      <c r="I79" s="23"/>
      <c r="J79" s="23"/>
      <c r="K79" s="23"/>
      <c r="L79" s="15" t="s">
        <v>360</v>
      </c>
      <c r="M79" s="15" t="s">
        <v>361</v>
      </c>
      <c r="N7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""&amp;M79)"),"Power Consumption Rate | Color Temperature | Voltage | IP Rating | Depth | Beam Angle")</f>
        <v>Power Consumption Rate | Color Temperature | Voltage | IP Rating | Depth | Beam Angle</v>
      </c>
      <c r="O79" s="25" t="s">
        <v>312</v>
      </c>
      <c r="P7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""&amp;O79&amp;"", Values: ""&amp;M79&amp; "" and SKU Code: ""&amp;"&amp;"L79)"),"{
""Power Consumption Rate"": ""18W/m"",
""Color Temperature"": ""RGBW (3000K)"",
""Voltage"": ""24V"",
""IP Rating"": ""IP65"",
""Depth"": ""25mm (D)"",
""Beam Angle"": ""360°"",
""SKU"": ""LMF25-18W-RGBW-IP65""
}")</f>
        <v>{
"Power Consumption Rate": "18W/m",
"Color Temperature": "RGBW (3000K)",
"Voltage": "24V",
"IP Rating": "IP65",
"Depth": "25mm (D)",
"Beam Angle": "360°",
"SKU": "LMF25-18W-RGBW-IP65"
}</v>
      </c>
      <c r="Q79" s="25" t="s">
        <v>362</v>
      </c>
      <c r="R79" s="23"/>
      <c r="S79" s="23"/>
      <c r="T79" s="23"/>
      <c r="U79" s="23"/>
      <c r="V79" s="23"/>
      <c r="W79" s="23"/>
      <c r="X79" s="23"/>
      <c r="Y79" s="11" t="s">
        <v>42</v>
      </c>
      <c r="Z79" s="11" t="s">
        <v>363</v>
      </c>
      <c r="AA79" s="11" t="s">
        <v>44</v>
      </c>
      <c r="AB79" s="23"/>
      <c r="AC79" s="23"/>
      <c r="AD79" s="23"/>
    </row>
    <row r="80" ht="37.5" customHeight="1">
      <c r="A80" s="11"/>
      <c r="B80" s="23"/>
      <c r="C80" s="23"/>
      <c r="D80" s="24"/>
      <c r="E80" s="23"/>
      <c r="F80" s="23"/>
      <c r="G80" s="23"/>
      <c r="H80" s="23"/>
      <c r="I80" s="23"/>
      <c r="J80" s="23"/>
      <c r="K80" s="23"/>
      <c r="L80" s="15" t="s">
        <v>364</v>
      </c>
      <c r="M80" s="15" t="s">
        <v>365</v>
      </c>
      <c r="N8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""&amp;M80)"),"Power Consumption Rate | Color Temperature | Voltage | IP Rating | Depth | Beam Angle")</f>
        <v>Power Consumption Rate | Color Temperature | Voltage | IP Rating | Depth | Beam Angle</v>
      </c>
      <c r="O80" s="25" t="s">
        <v>312</v>
      </c>
      <c r="P8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""&amp;O80&amp;"", Values: ""&amp;M80&amp; "" and SKU Code: ""&amp;"&amp;"L80)"),"{
""Power Consumption Rate"": ""15W/m"",
""Color Temperature"": ""2700K"",
""Voltage"": ""24V"",
""IP Rating"": ""IP65"",
""Depth"": ""30mm (D)"",
""Beam Angle"": ""360°"",
""SKU"": ""LMF30-15W-2.7K-IP65""
}")</f>
        <v>{
"Power Consumption Rate": "15W/m",
"Color Temperature": "2700K",
"Voltage": "24V",
"IP Rating": "IP65",
"Depth": "30mm (D)",
"Beam Angle": "360°",
"SKU": "LMF30-15W-2.7K-IP65"
}</v>
      </c>
      <c r="Q80" s="25" t="s">
        <v>366</v>
      </c>
      <c r="R80" s="23"/>
      <c r="S80" s="23"/>
      <c r="T80" s="23"/>
      <c r="U80" s="23"/>
      <c r="V80" s="23"/>
      <c r="W80" s="23"/>
      <c r="X80" s="23"/>
      <c r="Y80" s="11" t="s">
        <v>42</v>
      </c>
      <c r="Z80" s="11" t="s">
        <v>367</v>
      </c>
      <c r="AA80" s="11" t="s">
        <v>44</v>
      </c>
      <c r="AB80" s="23"/>
      <c r="AC80" s="23"/>
      <c r="AD80" s="23"/>
    </row>
    <row r="81" ht="37.5" customHeight="1">
      <c r="A81" s="11"/>
      <c r="B81" s="23"/>
      <c r="C81" s="23"/>
      <c r="D81" s="24"/>
      <c r="E81" s="23"/>
      <c r="F81" s="23"/>
      <c r="G81" s="23"/>
      <c r="H81" s="23"/>
      <c r="I81" s="23"/>
      <c r="J81" s="23"/>
      <c r="K81" s="23"/>
      <c r="L81" s="15" t="s">
        <v>368</v>
      </c>
      <c r="M81" s="15" t="s">
        <v>369</v>
      </c>
      <c r="N8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""&amp;M81)"),"Power Consumption Rate | Color Temperature | Voltage | IP Rating | Depth | Beam Angle")</f>
        <v>Power Consumption Rate | Color Temperature | Voltage | IP Rating | Depth | Beam Angle</v>
      </c>
      <c r="O81" s="25" t="s">
        <v>312</v>
      </c>
      <c r="P8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""&amp;O81&amp;"", Values: ""&amp;M81&amp; "" and SKU Code: ""&amp;"&amp;"L81)"),"{ ""Power Consumption Rate"": ""15W/m"", ""Color Temperature"": ""3000K"", ""Voltage"": ""24V"", ""IP Rating"": ""IP65"", ""Depth"": ""30mm (D)"", ""Beam Angle"": ""360°"", ""SKU"": ""LMF30-15W-3K-IP65"" }")</f>
        <v>{ "Power Consumption Rate": "15W/m", "Color Temperature": "3000K", "Voltage": "24V", "IP Rating": "IP65", "Depth": "30mm (D)", "Beam Angle": "360°", "SKU": "LMF30-15W-3K-IP65" }</v>
      </c>
      <c r="Q81" s="25" t="s">
        <v>370</v>
      </c>
      <c r="R81" s="23"/>
      <c r="S81" s="23"/>
      <c r="T81" s="23"/>
      <c r="U81" s="23"/>
      <c r="V81" s="23"/>
      <c r="W81" s="23"/>
      <c r="X81" s="23"/>
      <c r="Y81" s="11" t="s">
        <v>42</v>
      </c>
      <c r="Z81" s="11" t="s">
        <v>367</v>
      </c>
      <c r="AA81" s="11" t="s">
        <v>44</v>
      </c>
      <c r="AB81" s="23"/>
      <c r="AC81" s="23"/>
      <c r="AD81" s="23"/>
    </row>
    <row r="82" ht="37.5" customHeight="1">
      <c r="A82" s="11"/>
      <c r="B82" s="23"/>
      <c r="C82" s="23"/>
      <c r="D82" s="24"/>
      <c r="E82" s="23"/>
      <c r="F82" s="23"/>
      <c r="G82" s="23"/>
      <c r="H82" s="23"/>
      <c r="I82" s="23"/>
      <c r="J82" s="23"/>
      <c r="K82" s="23"/>
      <c r="L82" s="15" t="s">
        <v>371</v>
      </c>
      <c r="M82" s="15" t="s">
        <v>372</v>
      </c>
      <c r="N8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""&amp;M82)"),"Power Consumption Rate | Color Temperature | Voltage | IP Rating | Depth | Beam Angle")</f>
        <v>Power Consumption Rate | Color Temperature | Voltage | IP Rating | Depth | Beam Angle</v>
      </c>
      <c r="O82" s="25" t="s">
        <v>312</v>
      </c>
      <c r="P8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""&amp;O82&amp;"", Values: ""&amp;M82&amp; "" and SKU Code: ""&amp;"&amp;"L82)"),"{
""Power Consumption Rate"": ""15W/m"",
""Color Temperature"": ""4000K"",
""Voltage"": ""24V"",
""IP Rating"": ""IP65"",
""Depth"": ""30mm (D)"",
""Beam Angle"": ""360°"",
""SKU"": ""LMF30-15W-4K-IP65""
}")</f>
        <v>{
"Power Consumption Rate": "15W/m",
"Color Temperature": "4000K",
"Voltage": "24V",
"IP Rating": "IP65",
"Depth": "30mm (D)",
"Beam Angle": "360°",
"SKU": "LMF30-15W-4K-IP65"
}</v>
      </c>
      <c r="Q82" s="25" t="s">
        <v>373</v>
      </c>
      <c r="R82" s="23"/>
      <c r="S82" s="23"/>
      <c r="T82" s="23"/>
      <c r="U82" s="23"/>
      <c r="V82" s="23"/>
      <c r="W82" s="23"/>
      <c r="X82" s="23"/>
      <c r="Y82" s="11" t="s">
        <v>42</v>
      </c>
      <c r="Z82" s="11" t="s">
        <v>367</v>
      </c>
      <c r="AA82" s="11" t="s">
        <v>44</v>
      </c>
      <c r="AB82" s="23"/>
      <c r="AC82" s="23"/>
      <c r="AD82" s="23"/>
    </row>
    <row r="83" ht="37.5" customHeight="1">
      <c r="A83" s="11"/>
      <c r="B83" s="23"/>
      <c r="C83" s="23"/>
      <c r="D83" s="24"/>
      <c r="E83" s="23"/>
      <c r="F83" s="23"/>
      <c r="G83" s="23"/>
      <c r="H83" s="23"/>
      <c r="I83" s="23"/>
      <c r="J83" s="23"/>
      <c r="K83" s="23"/>
      <c r="L83" s="15" t="s">
        <v>374</v>
      </c>
      <c r="M83" s="15" t="s">
        <v>375</v>
      </c>
      <c r="N8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""&amp;M83)"),"Power Consumption Rate | Color Temperature | Voltage | IP Rating | Depth | Beam Angle")</f>
        <v>Power Consumption Rate | Color Temperature | Voltage | IP Rating | Depth | Beam Angle</v>
      </c>
      <c r="O83" s="25" t="s">
        <v>312</v>
      </c>
      <c r="P8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""&amp;O83&amp;"", Values: ""&amp;M83&amp; "" and SKU Code: ""&amp;"&amp;"L83)"),"{
""Power Consumption Rate"": ""18W/m"",
""Color Temperature"": ""RGBW (3000K)"",
""Voltage"": ""24V"",
""IP Rating"": ""IP65"",
""Depth"": ""30mm (D)"",
""Beam Angle"": ""360°"",
""SKU"": ""LMF30-18W-RGBW-IP65""
}")</f>
        <v>{
"Power Consumption Rate": "18W/m",
"Color Temperature": "RGBW (3000K)",
"Voltage": "24V",
"IP Rating": "IP65",
"Depth": "30mm (D)",
"Beam Angle": "360°",
"SKU": "LMF30-18W-RGBW-IP65"
}</v>
      </c>
      <c r="Q83" s="25" t="s">
        <v>376</v>
      </c>
      <c r="R83" s="23"/>
      <c r="S83" s="23"/>
      <c r="T83" s="23"/>
      <c r="U83" s="23"/>
      <c r="V83" s="23"/>
      <c r="W83" s="23"/>
      <c r="X83" s="23"/>
      <c r="Y83" s="11" t="s">
        <v>42</v>
      </c>
      <c r="Z83" s="11" t="s">
        <v>377</v>
      </c>
      <c r="AA83" s="11" t="s">
        <v>44</v>
      </c>
      <c r="AB83" s="23"/>
      <c r="AC83" s="23"/>
      <c r="AD83" s="23"/>
    </row>
    <row r="84" ht="37.5" customHeight="1">
      <c r="A84" s="11"/>
      <c r="B84" s="23"/>
      <c r="C84" s="23"/>
      <c r="D84" s="24"/>
      <c r="E84" s="23"/>
      <c r="F84" s="23"/>
      <c r="G84" s="23"/>
      <c r="H84" s="23"/>
      <c r="I84" s="23"/>
      <c r="J84" s="23"/>
      <c r="K84" s="23"/>
      <c r="L84" s="15" t="s">
        <v>378</v>
      </c>
      <c r="M84" s="15" t="s">
        <v>379</v>
      </c>
      <c r="N8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""&amp;M84)"),"Power Consumption Rate | Color Temperature | Voltage | IP Rating | Depth | Beam Angle")</f>
        <v>Power Consumption Rate | Color Temperature | Voltage | IP Rating | Depth | Beam Angle</v>
      </c>
      <c r="O84" s="25" t="s">
        <v>312</v>
      </c>
      <c r="P8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""&amp;O84&amp;"", Values: ""&amp;M84&amp; "" and SKU Code: ""&amp;"&amp;"L84)"),"{
""Power Consumption Rate"": ""18W/m"",
""Color Temperature"": ""RGBW (3000K)"",
""Voltage"": ""24V"",
""IP Rating"": ""IP65"",
""Depth"": ""40mm (D)"",
""Beam Angle"": ""360°"",
""SKU"": ""LMF40-18W-RGBW-IP65""
}")</f>
        <v>{
"Power Consumption Rate": "18W/m",
"Color Temperature": "RGBW (3000K)",
"Voltage": "24V",
"IP Rating": "IP65",
"Depth": "40mm (D)",
"Beam Angle": "360°",
"SKU": "LMF40-18W-RGBW-IP65"
}</v>
      </c>
      <c r="Q84" s="25" t="s">
        <v>380</v>
      </c>
      <c r="R84" s="23"/>
      <c r="S84" s="23"/>
      <c r="T84" s="23"/>
      <c r="U84" s="23"/>
      <c r="V84" s="23"/>
      <c r="W84" s="23"/>
      <c r="X84" s="23"/>
      <c r="Y84" s="11" t="s">
        <v>42</v>
      </c>
      <c r="Z84" s="11" t="s">
        <v>381</v>
      </c>
      <c r="AA84" s="11" t="s">
        <v>44</v>
      </c>
      <c r="AB84" s="23"/>
      <c r="AC84" s="23"/>
      <c r="AD84" s="23"/>
    </row>
    <row r="85">
      <c r="A85" s="23"/>
      <c r="B85" s="23"/>
      <c r="C85" s="23"/>
      <c r="D85" s="24"/>
      <c r="E85" s="23"/>
      <c r="F85" s="23"/>
      <c r="G85" s="23"/>
      <c r="H85" s="23"/>
      <c r="I85" s="23"/>
      <c r="J85" s="23"/>
      <c r="K85" s="23"/>
      <c r="L85" s="23"/>
      <c r="M85" s="23"/>
      <c r="N85" s="23"/>
      <c r="O85" s="23"/>
      <c r="P85" s="29"/>
      <c r="Q85" s="23"/>
      <c r="R85" s="23"/>
      <c r="S85" s="23"/>
      <c r="T85" s="23"/>
      <c r="U85" s="23"/>
      <c r="V85" s="23"/>
      <c r="W85" s="23"/>
      <c r="X85" s="23"/>
      <c r="Y85" s="23"/>
      <c r="Z85" s="23"/>
      <c r="AA85" s="23"/>
      <c r="AB85" s="23"/>
      <c r="AC85" s="23"/>
      <c r="AD85" s="23"/>
    </row>
    <row r="86">
      <c r="A86" s="23"/>
      <c r="B86" s="23"/>
      <c r="C86" s="23"/>
      <c r="D86" s="24"/>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row>
    <row r="87">
      <c r="A87" s="23"/>
      <c r="B87" s="23"/>
      <c r="C87" s="23"/>
      <c r="D87" s="24"/>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row>
    <row r="88">
      <c r="A88" s="23"/>
      <c r="B88" s="23"/>
      <c r="C88" s="23"/>
      <c r="D88" s="24"/>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row>
    <row r="89">
      <c r="A89" s="23"/>
      <c r="B89" s="23"/>
      <c r="C89" s="23"/>
      <c r="D89" s="24"/>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row>
    <row r="90">
      <c r="A90" s="23"/>
      <c r="B90" s="23"/>
      <c r="C90" s="23"/>
      <c r="D90" s="24"/>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row>
    <row r="91">
      <c r="A91" s="23"/>
      <c r="B91" s="23"/>
      <c r="C91" s="23"/>
      <c r="D91" s="24"/>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row>
    <row r="92">
      <c r="A92" s="23"/>
      <c r="B92" s="23"/>
      <c r="C92" s="23"/>
      <c r="D92" s="24"/>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row>
    <row r="93">
      <c r="A93" s="23"/>
      <c r="B93" s="23"/>
      <c r="C93" s="23"/>
      <c r="D93" s="24"/>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row>
    <row r="94">
      <c r="A94" s="23"/>
      <c r="B94" s="23"/>
      <c r="C94" s="23"/>
      <c r="D94" s="24"/>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row>
    <row r="95">
      <c r="A95" s="23"/>
      <c r="B95" s="23"/>
      <c r="C95" s="23"/>
      <c r="D95" s="24"/>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row>
    <row r="96">
      <c r="A96" s="23"/>
      <c r="B96" s="23"/>
      <c r="C96" s="23"/>
      <c r="D96" s="24"/>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row>
    <row r="97">
      <c r="A97" s="23"/>
      <c r="B97" s="23"/>
      <c r="C97" s="23"/>
      <c r="D97" s="24"/>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row>
    <row r="98">
      <c r="A98" s="23"/>
      <c r="B98" s="23"/>
      <c r="C98" s="23"/>
      <c r="D98" s="24"/>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row>
    <row r="99">
      <c r="A99" s="23"/>
      <c r="B99" s="23"/>
      <c r="C99" s="23"/>
      <c r="D99" s="24"/>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row>
    <row r="100">
      <c r="A100" s="23"/>
      <c r="B100" s="23"/>
      <c r="C100" s="23"/>
      <c r="D100" s="24"/>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row>
    <row r="101">
      <c r="A101" s="23"/>
      <c r="B101" s="23"/>
      <c r="C101" s="23"/>
      <c r="D101" s="24"/>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row>
    <row r="102">
      <c r="A102" s="23"/>
      <c r="B102" s="23"/>
      <c r="C102" s="23"/>
      <c r="D102" s="24"/>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row>
    <row r="103">
      <c r="A103" s="23"/>
      <c r="B103" s="23"/>
      <c r="C103" s="23"/>
      <c r="D103" s="24"/>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row>
    <row r="104">
      <c r="A104" s="23"/>
      <c r="B104" s="23"/>
      <c r="C104" s="23"/>
      <c r="D104" s="24"/>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row>
    <row r="105">
      <c r="A105" s="23"/>
      <c r="B105" s="23"/>
      <c r="C105" s="23"/>
      <c r="D105" s="24"/>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row>
    <row r="106">
      <c r="A106" s="23"/>
      <c r="B106" s="23"/>
      <c r="C106" s="23"/>
      <c r="D106" s="24"/>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row>
    <row r="107">
      <c r="A107" s="23"/>
      <c r="B107" s="23"/>
      <c r="C107" s="23"/>
      <c r="D107" s="24"/>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row>
    <row r="108">
      <c r="A108" s="23"/>
      <c r="B108" s="23"/>
      <c r="C108" s="23"/>
      <c r="D108" s="24"/>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row>
    <row r="109">
      <c r="A109" s="23"/>
      <c r="B109" s="23"/>
      <c r="C109" s="23"/>
      <c r="D109" s="24"/>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row>
    <row r="110">
      <c r="A110" s="23"/>
      <c r="B110" s="23"/>
      <c r="C110" s="23"/>
      <c r="D110" s="24"/>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row>
    <row r="111">
      <c r="A111" s="23"/>
      <c r="B111" s="23"/>
      <c r="C111" s="23"/>
      <c r="D111" s="24"/>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row>
    <row r="112">
      <c r="A112" s="23"/>
      <c r="B112" s="23"/>
      <c r="C112" s="23"/>
      <c r="D112" s="24"/>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row>
    <row r="113">
      <c r="A113" s="23"/>
      <c r="B113" s="23"/>
      <c r="C113" s="23"/>
      <c r="D113" s="24"/>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row>
    <row r="114">
      <c r="A114" s="23"/>
      <c r="B114" s="23"/>
      <c r="C114" s="23"/>
      <c r="D114" s="24"/>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row>
    <row r="115">
      <c r="A115" s="23"/>
      <c r="B115" s="23"/>
      <c r="C115" s="23"/>
      <c r="D115" s="24"/>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row>
    <row r="116">
      <c r="A116" s="23"/>
      <c r="B116" s="23"/>
      <c r="C116" s="23"/>
      <c r="D116" s="24"/>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row>
    <row r="117">
      <c r="A117" s="23"/>
      <c r="B117" s="23"/>
      <c r="C117" s="23"/>
      <c r="D117" s="24"/>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row>
    <row r="118">
      <c r="A118" s="23"/>
      <c r="B118" s="23"/>
      <c r="C118" s="23"/>
      <c r="D118" s="24"/>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row>
    <row r="119">
      <c r="A119" s="23"/>
      <c r="B119" s="23"/>
      <c r="C119" s="23"/>
      <c r="D119" s="24"/>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row>
    <row r="120">
      <c r="A120" s="23"/>
      <c r="B120" s="23"/>
      <c r="C120" s="23"/>
      <c r="D120" s="24"/>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row>
    <row r="121">
      <c r="A121" s="23"/>
      <c r="B121" s="23"/>
      <c r="C121" s="23"/>
      <c r="D121" s="24"/>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row>
    <row r="122">
      <c r="A122" s="23"/>
      <c r="B122" s="23"/>
      <c r="C122" s="23"/>
      <c r="D122" s="24"/>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row>
    <row r="123">
      <c r="A123" s="23"/>
      <c r="B123" s="23"/>
      <c r="C123" s="23"/>
      <c r="D123" s="24"/>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row>
    <row r="124">
      <c r="A124" s="23"/>
      <c r="B124" s="23"/>
      <c r="C124" s="23"/>
      <c r="D124" s="24"/>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row>
    <row r="125">
      <c r="A125" s="23"/>
      <c r="B125" s="23"/>
      <c r="C125" s="23"/>
      <c r="D125" s="24"/>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row>
    <row r="126">
      <c r="A126" s="23"/>
      <c r="B126" s="23"/>
      <c r="C126" s="23"/>
      <c r="D126" s="24"/>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row>
    <row r="127">
      <c r="A127" s="23"/>
      <c r="B127" s="23"/>
      <c r="C127" s="23"/>
      <c r="D127" s="24"/>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row>
    <row r="128">
      <c r="A128" s="23"/>
      <c r="B128" s="23"/>
      <c r="C128" s="23"/>
      <c r="D128" s="24"/>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row>
    <row r="129">
      <c r="A129" s="23"/>
      <c r="B129" s="23"/>
      <c r="C129" s="23"/>
      <c r="D129" s="24"/>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row>
    <row r="130">
      <c r="A130" s="23"/>
      <c r="B130" s="23"/>
      <c r="C130" s="23"/>
      <c r="D130" s="24"/>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row>
    <row r="131">
      <c r="A131" s="23"/>
      <c r="B131" s="23"/>
      <c r="C131" s="23"/>
      <c r="D131" s="24"/>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row>
    <row r="132">
      <c r="A132" s="23"/>
      <c r="B132" s="23"/>
      <c r="C132" s="23"/>
      <c r="D132" s="24"/>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row>
    <row r="133">
      <c r="A133" s="23"/>
      <c r="B133" s="23"/>
      <c r="C133" s="23"/>
      <c r="D133" s="24"/>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row>
    <row r="134">
      <c r="A134" s="23"/>
      <c r="B134" s="23"/>
      <c r="C134" s="23"/>
      <c r="D134" s="24"/>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row>
    <row r="135">
      <c r="A135" s="23"/>
      <c r="B135" s="23"/>
      <c r="C135" s="23"/>
      <c r="D135" s="24"/>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row>
    <row r="136">
      <c r="A136" s="23"/>
      <c r="B136" s="23"/>
      <c r="C136" s="23"/>
      <c r="D136" s="24"/>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row>
    <row r="137">
      <c r="A137" s="23"/>
      <c r="B137" s="23"/>
      <c r="C137" s="23"/>
      <c r="D137" s="24"/>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row>
    <row r="138">
      <c r="A138" s="23"/>
      <c r="B138" s="23"/>
      <c r="C138" s="23"/>
      <c r="D138" s="24"/>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row>
    <row r="139">
      <c r="A139" s="23"/>
      <c r="B139" s="23"/>
      <c r="C139" s="23"/>
      <c r="D139" s="24"/>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row>
    <row r="140">
      <c r="A140" s="23"/>
      <c r="B140" s="23"/>
      <c r="C140" s="23"/>
      <c r="D140" s="24"/>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row>
    <row r="141">
      <c r="A141" s="23"/>
      <c r="B141" s="23"/>
      <c r="C141" s="23"/>
      <c r="D141" s="24"/>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row>
    <row r="142">
      <c r="A142" s="23"/>
      <c r="B142" s="23"/>
      <c r="C142" s="23"/>
      <c r="D142" s="24"/>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row>
    <row r="143">
      <c r="A143" s="23"/>
      <c r="B143" s="23"/>
      <c r="C143" s="23"/>
      <c r="D143" s="24"/>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row>
    <row r="144">
      <c r="A144" s="23"/>
      <c r="B144" s="23"/>
      <c r="C144" s="23"/>
      <c r="D144" s="24"/>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row>
    <row r="145">
      <c r="A145" s="23"/>
      <c r="B145" s="23"/>
      <c r="C145" s="23"/>
      <c r="D145" s="24"/>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row>
    <row r="146">
      <c r="A146" s="23"/>
      <c r="B146" s="23"/>
      <c r="C146" s="23"/>
      <c r="D146" s="24"/>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row>
    <row r="147">
      <c r="A147" s="23"/>
      <c r="B147" s="23"/>
      <c r="C147" s="23"/>
      <c r="D147" s="24"/>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row>
    <row r="148">
      <c r="A148" s="23"/>
      <c r="B148" s="23"/>
      <c r="C148" s="23"/>
      <c r="D148" s="24"/>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row>
    <row r="149">
      <c r="A149" s="23"/>
      <c r="B149" s="23"/>
      <c r="C149" s="23"/>
      <c r="D149" s="24"/>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row>
    <row r="150">
      <c r="A150" s="23"/>
      <c r="B150" s="23"/>
      <c r="C150" s="23"/>
      <c r="D150" s="24"/>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row>
    <row r="151">
      <c r="A151" s="23"/>
      <c r="B151" s="23"/>
      <c r="C151" s="23"/>
      <c r="D151" s="24"/>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row>
    <row r="152">
      <c r="A152" s="23"/>
      <c r="B152" s="23"/>
      <c r="C152" s="23"/>
      <c r="D152" s="24"/>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row>
    <row r="153">
      <c r="A153" s="23"/>
      <c r="B153" s="23"/>
      <c r="C153" s="23"/>
      <c r="D153" s="24"/>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row>
    <row r="154">
      <c r="A154" s="23"/>
      <c r="B154" s="23"/>
      <c r="C154" s="23"/>
      <c r="D154" s="24"/>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row>
    <row r="155">
      <c r="A155" s="23"/>
      <c r="B155" s="23"/>
      <c r="C155" s="23"/>
      <c r="D155" s="24"/>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row>
    <row r="156">
      <c r="A156" s="23"/>
      <c r="B156" s="23"/>
      <c r="C156" s="23"/>
      <c r="D156" s="24"/>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row>
    <row r="157">
      <c r="A157" s="23"/>
      <c r="B157" s="23"/>
      <c r="C157" s="23"/>
      <c r="D157" s="24"/>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row>
    <row r="158">
      <c r="A158" s="23"/>
      <c r="B158" s="23"/>
      <c r="C158" s="23"/>
      <c r="D158" s="24"/>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row>
    <row r="159">
      <c r="A159" s="23"/>
      <c r="B159" s="23"/>
      <c r="C159" s="23"/>
      <c r="D159" s="24"/>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row>
    <row r="160">
      <c r="A160" s="23"/>
      <c r="B160" s="23"/>
      <c r="C160" s="23"/>
      <c r="D160" s="24"/>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row>
    <row r="161">
      <c r="A161" s="23"/>
      <c r="B161" s="23"/>
      <c r="C161" s="23"/>
      <c r="D161" s="24"/>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row>
    <row r="162">
      <c r="A162" s="23"/>
      <c r="B162" s="23"/>
      <c r="C162" s="23"/>
      <c r="D162" s="24"/>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row>
    <row r="163">
      <c r="A163" s="23"/>
      <c r="B163" s="23"/>
      <c r="C163" s="23"/>
      <c r="D163" s="24"/>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row>
    <row r="164">
      <c r="A164" s="23"/>
      <c r="B164" s="23"/>
      <c r="C164" s="23"/>
      <c r="D164" s="24"/>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row>
    <row r="165">
      <c r="A165" s="23"/>
      <c r="B165" s="23"/>
      <c r="C165" s="23"/>
      <c r="D165" s="24"/>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row>
    <row r="166">
      <c r="A166" s="23"/>
      <c r="B166" s="23"/>
      <c r="C166" s="23"/>
      <c r="D166" s="24"/>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row>
    <row r="167">
      <c r="A167" s="23"/>
      <c r="B167" s="23"/>
      <c r="C167" s="23"/>
      <c r="D167" s="24"/>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row>
    <row r="168">
      <c r="A168" s="23"/>
      <c r="B168" s="23"/>
      <c r="C168" s="23"/>
      <c r="D168" s="24"/>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row>
    <row r="169">
      <c r="A169" s="23"/>
      <c r="B169" s="23"/>
      <c r="C169" s="23"/>
      <c r="D169" s="24"/>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row>
    <row r="170">
      <c r="A170" s="23"/>
      <c r="B170" s="23"/>
      <c r="C170" s="23"/>
      <c r="D170" s="24"/>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row>
    <row r="171">
      <c r="A171" s="23"/>
      <c r="B171" s="23"/>
      <c r="C171" s="23"/>
      <c r="D171" s="24"/>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row>
    <row r="172">
      <c r="A172" s="23"/>
      <c r="B172" s="23"/>
      <c r="C172" s="23"/>
      <c r="D172" s="24"/>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row>
    <row r="173">
      <c r="A173" s="23"/>
      <c r="B173" s="23"/>
      <c r="C173" s="23"/>
      <c r="D173" s="24"/>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row>
    <row r="174">
      <c r="A174" s="23"/>
      <c r="B174" s="23"/>
      <c r="C174" s="23"/>
      <c r="D174" s="24"/>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row>
    <row r="175">
      <c r="A175" s="23"/>
      <c r="B175" s="23"/>
      <c r="C175" s="23"/>
      <c r="D175" s="24"/>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row>
    <row r="176">
      <c r="A176" s="23"/>
      <c r="B176" s="23"/>
      <c r="C176" s="23"/>
      <c r="D176" s="24"/>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row>
    <row r="177">
      <c r="A177" s="23"/>
      <c r="B177" s="23"/>
      <c r="C177" s="23"/>
      <c r="D177" s="24"/>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row>
    <row r="178">
      <c r="A178" s="23"/>
      <c r="B178" s="23"/>
      <c r="C178" s="23"/>
      <c r="D178" s="24"/>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row>
    <row r="179">
      <c r="A179" s="23"/>
      <c r="B179" s="23"/>
      <c r="C179" s="23"/>
      <c r="D179" s="24"/>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row>
    <row r="180">
      <c r="A180" s="23"/>
      <c r="B180" s="23"/>
      <c r="C180" s="23"/>
      <c r="D180" s="24"/>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row>
    <row r="181">
      <c r="A181" s="23"/>
      <c r="B181" s="23"/>
      <c r="C181" s="23"/>
      <c r="D181" s="24"/>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row>
    <row r="182">
      <c r="A182" s="23"/>
      <c r="B182" s="23"/>
      <c r="C182" s="23"/>
      <c r="D182" s="24"/>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row>
    <row r="183">
      <c r="A183" s="23"/>
      <c r="B183" s="23"/>
      <c r="C183" s="23"/>
      <c r="D183" s="24"/>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row>
    <row r="184">
      <c r="A184" s="23"/>
      <c r="B184" s="23"/>
      <c r="C184" s="23"/>
      <c r="D184" s="24"/>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row>
    <row r="185">
      <c r="A185" s="23"/>
      <c r="B185" s="23"/>
      <c r="C185" s="23"/>
      <c r="D185" s="24"/>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row>
    <row r="186">
      <c r="A186" s="23"/>
      <c r="B186" s="23"/>
      <c r="C186" s="23"/>
      <c r="D186" s="24"/>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row>
    <row r="187">
      <c r="A187" s="23"/>
      <c r="B187" s="23"/>
      <c r="C187" s="23"/>
      <c r="D187" s="24"/>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row>
    <row r="188">
      <c r="A188" s="23"/>
      <c r="B188" s="23"/>
      <c r="C188" s="23"/>
      <c r="D188" s="24"/>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row>
    <row r="189">
      <c r="A189" s="23"/>
      <c r="B189" s="23"/>
      <c r="C189" s="23"/>
      <c r="D189" s="24"/>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row>
    <row r="190">
      <c r="A190" s="23"/>
      <c r="B190" s="23"/>
      <c r="C190" s="23"/>
      <c r="D190" s="24"/>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row>
    <row r="191">
      <c r="A191" s="23"/>
      <c r="B191" s="23"/>
      <c r="C191" s="23"/>
      <c r="D191" s="24"/>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row>
    <row r="192">
      <c r="A192" s="23"/>
      <c r="B192" s="23"/>
      <c r="C192" s="23"/>
      <c r="D192" s="24"/>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row>
    <row r="193">
      <c r="A193" s="23"/>
      <c r="B193" s="23"/>
      <c r="C193" s="23"/>
      <c r="D193" s="24"/>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row>
    <row r="194">
      <c r="A194" s="23"/>
      <c r="B194" s="23"/>
      <c r="C194" s="23"/>
      <c r="D194" s="24"/>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row>
    <row r="195">
      <c r="A195" s="23"/>
      <c r="B195" s="23"/>
      <c r="C195" s="23"/>
      <c r="D195" s="24"/>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row>
    <row r="196">
      <c r="A196" s="23"/>
      <c r="B196" s="23"/>
      <c r="C196" s="23"/>
      <c r="D196" s="24"/>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row>
    <row r="197">
      <c r="A197" s="23"/>
      <c r="B197" s="23"/>
      <c r="C197" s="23"/>
      <c r="D197" s="24"/>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row>
    <row r="198">
      <c r="A198" s="23"/>
      <c r="B198" s="23"/>
      <c r="C198" s="23"/>
      <c r="D198" s="24"/>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row>
    <row r="199">
      <c r="A199" s="23"/>
      <c r="B199" s="23"/>
      <c r="C199" s="23"/>
      <c r="D199" s="24"/>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row>
    <row r="200">
      <c r="A200" s="23"/>
      <c r="B200" s="23"/>
      <c r="C200" s="23"/>
      <c r="D200" s="24"/>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row>
    <row r="201">
      <c r="A201" s="23"/>
      <c r="B201" s="23"/>
      <c r="C201" s="23"/>
      <c r="D201" s="24"/>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row>
    <row r="202">
      <c r="A202" s="23"/>
      <c r="B202" s="23"/>
      <c r="C202" s="23"/>
      <c r="D202" s="24"/>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row>
    <row r="203">
      <c r="A203" s="23"/>
      <c r="B203" s="23"/>
      <c r="C203" s="23"/>
      <c r="D203" s="24"/>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row>
    <row r="204">
      <c r="A204" s="23"/>
      <c r="B204" s="23"/>
      <c r="C204" s="23"/>
      <c r="D204" s="24"/>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row>
    <row r="205">
      <c r="A205" s="23"/>
      <c r="B205" s="23"/>
      <c r="C205" s="23"/>
      <c r="D205" s="24"/>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row>
    <row r="206">
      <c r="A206" s="23"/>
      <c r="B206" s="23"/>
      <c r="C206" s="23"/>
      <c r="D206" s="24"/>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row>
    <row r="207">
      <c r="A207" s="23"/>
      <c r="B207" s="23"/>
      <c r="C207" s="23"/>
      <c r="D207" s="24"/>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row>
    <row r="208">
      <c r="A208" s="23"/>
      <c r="B208" s="23"/>
      <c r="C208" s="23"/>
      <c r="D208" s="24"/>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row>
    <row r="209">
      <c r="A209" s="23"/>
      <c r="B209" s="23"/>
      <c r="C209" s="23"/>
      <c r="D209" s="24"/>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row>
    <row r="210">
      <c r="A210" s="23"/>
      <c r="B210" s="23"/>
      <c r="C210" s="23"/>
      <c r="D210" s="24"/>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row>
    <row r="211">
      <c r="A211" s="23"/>
      <c r="B211" s="23"/>
      <c r="C211" s="23"/>
      <c r="D211" s="24"/>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row>
    <row r="212">
      <c r="A212" s="23"/>
      <c r="B212" s="23"/>
      <c r="C212" s="23"/>
      <c r="D212" s="24"/>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row>
    <row r="213">
      <c r="A213" s="23"/>
      <c r="B213" s="23"/>
      <c r="C213" s="23"/>
      <c r="D213" s="24"/>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row>
    <row r="214">
      <c r="A214" s="23"/>
      <c r="B214" s="23"/>
      <c r="C214" s="23"/>
      <c r="D214" s="24"/>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row>
    <row r="215">
      <c r="A215" s="23"/>
      <c r="B215" s="23"/>
      <c r="C215" s="23"/>
      <c r="D215" s="24"/>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row>
    <row r="216">
      <c r="A216" s="23"/>
      <c r="B216" s="23"/>
      <c r="C216" s="23"/>
      <c r="D216" s="24"/>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row>
    <row r="217">
      <c r="A217" s="23"/>
      <c r="B217" s="23"/>
      <c r="C217" s="23"/>
      <c r="D217" s="24"/>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row>
    <row r="218">
      <c r="A218" s="23"/>
      <c r="B218" s="23"/>
      <c r="C218" s="23"/>
      <c r="D218" s="24"/>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row>
    <row r="219">
      <c r="A219" s="23"/>
      <c r="B219" s="23"/>
      <c r="C219" s="23"/>
      <c r="D219" s="24"/>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row>
    <row r="220">
      <c r="A220" s="23"/>
      <c r="B220" s="23"/>
      <c r="C220" s="23"/>
      <c r="D220" s="24"/>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row>
    <row r="221">
      <c r="A221" s="23"/>
      <c r="B221" s="23"/>
      <c r="C221" s="23"/>
      <c r="D221" s="24"/>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row>
    <row r="222">
      <c r="A222" s="23"/>
      <c r="B222" s="23"/>
      <c r="C222" s="23"/>
      <c r="D222" s="24"/>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row>
    <row r="223">
      <c r="A223" s="23"/>
      <c r="B223" s="23"/>
      <c r="C223" s="23"/>
      <c r="D223" s="24"/>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row>
    <row r="224">
      <c r="A224" s="23"/>
      <c r="B224" s="23"/>
      <c r="C224" s="23"/>
      <c r="D224" s="24"/>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row>
    <row r="225">
      <c r="A225" s="23"/>
      <c r="B225" s="23"/>
      <c r="C225" s="23"/>
      <c r="D225" s="24"/>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row>
    <row r="226">
      <c r="A226" s="23"/>
      <c r="B226" s="23"/>
      <c r="C226" s="23"/>
      <c r="D226" s="24"/>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row>
    <row r="227">
      <c r="A227" s="23"/>
      <c r="B227" s="23"/>
      <c r="C227" s="23"/>
      <c r="D227" s="24"/>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row>
    <row r="228">
      <c r="A228" s="23"/>
      <c r="B228" s="23"/>
      <c r="C228" s="23"/>
      <c r="D228" s="24"/>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row>
    <row r="229">
      <c r="A229" s="23"/>
      <c r="B229" s="23"/>
      <c r="C229" s="23"/>
      <c r="D229" s="24"/>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row>
    <row r="230">
      <c r="A230" s="23"/>
      <c r="B230" s="23"/>
      <c r="C230" s="23"/>
      <c r="D230" s="24"/>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row>
    <row r="231">
      <c r="A231" s="23"/>
      <c r="B231" s="23"/>
      <c r="C231" s="23"/>
      <c r="D231" s="24"/>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row>
    <row r="232">
      <c r="A232" s="23"/>
      <c r="B232" s="23"/>
      <c r="C232" s="23"/>
      <c r="D232" s="24"/>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row>
    <row r="233">
      <c r="A233" s="23"/>
      <c r="B233" s="23"/>
      <c r="C233" s="23"/>
      <c r="D233" s="24"/>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row>
    <row r="234">
      <c r="A234" s="23"/>
      <c r="B234" s="23"/>
      <c r="C234" s="23"/>
      <c r="D234" s="24"/>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row>
    <row r="235">
      <c r="A235" s="23"/>
      <c r="B235" s="23"/>
      <c r="C235" s="23"/>
      <c r="D235" s="24"/>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row>
    <row r="236">
      <c r="A236" s="23"/>
      <c r="B236" s="23"/>
      <c r="C236" s="23"/>
      <c r="D236" s="24"/>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row>
    <row r="237">
      <c r="A237" s="23"/>
      <c r="B237" s="23"/>
      <c r="C237" s="23"/>
      <c r="D237" s="24"/>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row>
    <row r="238">
      <c r="A238" s="23"/>
      <c r="B238" s="23"/>
      <c r="C238" s="23"/>
      <c r="D238" s="24"/>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row>
    <row r="239">
      <c r="A239" s="23"/>
      <c r="B239" s="23"/>
      <c r="C239" s="23"/>
      <c r="D239" s="24"/>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row>
    <row r="240">
      <c r="A240" s="23"/>
      <c r="B240" s="23"/>
      <c r="C240" s="23"/>
      <c r="D240" s="24"/>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row>
    <row r="241">
      <c r="A241" s="23"/>
      <c r="B241" s="23"/>
      <c r="C241" s="23"/>
      <c r="D241" s="24"/>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row>
    <row r="242">
      <c r="A242" s="23"/>
      <c r="B242" s="23"/>
      <c r="C242" s="23"/>
      <c r="D242" s="24"/>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row>
    <row r="243">
      <c r="A243" s="23"/>
      <c r="B243" s="23"/>
      <c r="C243" s="23"/>
      <c r="D243" s="24"/>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row>
    <row r="244">
      <c r="A244" s="23"/>
      <c r="B244" s="23"/>
      <c r="C244" s="23"/>
      <c r="D244" s="24"/>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row>
    <row r="245">
      <c r="A245" s="23"/>
      <c r="B245" s="23"/>
      <c r="C245" s="23"/>
      <c r="D245" s="24"/>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row>
    <row r="246">
      <c r="A246" s="23"/>
      <c r="B246" s="23"/>
      <c r="C246" s="23"/>
      <c r="D246" s="24"/>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row>
    <row r="247">
      <c r="A247" s="23"/>
      <c r="B247" s="23"/>
      <c r="C247" s="23"/>
      <c r="D247" s="24"/>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row>
    <row r="248">
      <c r="A248" s="23"/>
      <c r="B248" s="23"/>
      <c r="C248" s="23"/>
      <c r="D248" s="24"/>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row>
    <row r="249">
      <c r="A249" s="23"/>
      <c r="B249" s="23"/>
      <c r="C249" s="23"/>
      <c r="D249" s="24"/>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row>
    <row r="250">
      <c r="A250" s="23"/>
      <c r="B250" s="23"/>
      <c r="C250" s="23"/>
      <c r="D250" s="24"/>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row>
    <row r="251">
      <c r="A251" s="23"/>
      <c r="B251" s="23"/>
      <c r="C251" s="23"/>
      <c r="D251" s="24"/>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row>
    <row r="252">
      <c r="A252" s="23"/>
      <c r="B252" s="23"/>
      <c r="C252" s="23"/>
      <c r="D252" s="24"/>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row>
    <row r="253">
      <c r="A253" s="23"/>
      <c r="B253" s="23"/>
      <c r="C253" s="23"/>
      <c r="D253" s="24"/>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row>
    <row r="254">
      <c r="A254" s="23"/>
      <c r="B254" s="23"/>
      <c r="C254" s="23"/>
      <c r="D254" s="24"/>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row>
    <row r="255">
      <c r="A255" s="23"/>
      <c r="B255" s="23"/>
      <c r="C255" s="23"/>
      <c r="D255" s="24"/>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row>
    <row r="256">
      <c r="A256" s="23"/>
      <c r="B256" s="23"/>
      <c r="C256" s="23"/>
      <c r="D256" s="24"/>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row>
    <row r="257">
      <c r="A257" s="23"/>
      <c r="B257" s="23"/>
      <c r="C257" s="23"/>
      <c r="D257" s="24"/>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row>
    <row r="258">
      <c r="A258" s="23"/>
      <c r="B258" s="23"/>
      <c r="C258" s="23"/>
      <c r="D258" s="24"/>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row>
    <row r="259">
      <c r="A259" s="23"/>
      <c r="B259" s="23"/>
      <c r="C259" s="23"/>
      <c r="D259" s="24"/>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row>
    <row r="260">
      <c r="A260" s="23"/>
      <c r="B260" s="23"/>
      <c r="C260" s="23"/>
      <c r="D260" s="24"/>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row>
    <row r="261">
      <c r="A261" s="23"/>
      <c r="B261" s="23"/>
      <c r="C261" s="23"/>
      <c r="D261" s="24"/>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row>
    <row r="262">
      <c r="A262" s="23"/>
      <c r="B262" s="23"/>
      <c r="C262" s="23"/>
      <c r="D262" s="24"/>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row>
    <row r="263">
      <c r="A263" s="23"/>
      <c r="B263" s="23"/>
      <c r="C263" s="23"/>
      <c r="D263" s="24"/>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row>
    <row r="264">
      <c r="A264" s="23"/>
      <c r="B264" s="23"/>
      <c r="C264" s="23"/>
      <c r="D264" s="24"/>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row>
    <row r="265">
      <c r="A265" s="23"/>
      <c r="B265" s="23"/>
      <c r="C265" s="23"/>
      <c r="D265" s="24"/>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row>
    <row r="266">
      <c r="A266" s="23"/>
      <c r="B266" s="23"/>
      <c r="C266" s="23"/>
      <c r="D266" s="24"/>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row>
    <row r="267">
      <c r="A267" s="23"/>
      <c r="B267" s="23"/>
      <c r="C267" s="23"/>
      <c r="D267" s="24"/>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row>
    <row r="268">
      <c r="A268" s="23"/>
      <c r="B268" s="23"/>
      <c r="C268" s="23"/>
      <c r="D268" s="24"/>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row>
    <row r="269">
      <c r="A269" s="23"/>
      <c r="B269" s="23"/>
      <c r="C269" s="23"/>
      <c r="D269" s="24"/>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row>
    <row r="270">
      <c r="A270" s="23"/>
      <c r="B270" s="23"/>
      <c r="C270" s="23"/>
      <c r="D270" s="24"/>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row>
    <row r="271">
      <c r="A271" s="23"/>
      <c r="B271" s="23"/>
      <c r="C271" s="23"/>
      <c r="D271" s="24"/>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row>
    <row r="272">
      <c r="A272" s="23"/>
      <c r="B272" s="23"/>
      <c r="C272" s="23"/>
      <c r="D272" s="24"/>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row>
    <row r="273">
      <c r="A273" s="23"/>
      <c r="B273" s="23"/>
      <c r="C273" s="23"/>
      <c r="D273" s="24"/>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row>
    <row r="274">
      <c r="A274" s="23"/>
      <c r="B274" s="23"/>
      <c r="C274" s="23"/>
      <c r="D274" s="24"/>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row>
    <row r="275">
      <c r="A275" s="23"/>
      <c r="B275" s="23"/>
      <c r="C275" s="23"/>
      <c r="D275" s="24"/>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row>
    <row r="276">
      <c r="A276" s="23"/>
      <c r="B276" s="23"/>
      <c r="C276" s="23"/>
      <c r="D276" s="24"/>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row>
    <row r="277">
      <c r="A277" s="23"/>
      <c r="B277" s="23"/>
      <c r="C277" s="23"/>
      <c r="D277" s="24"/>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row>
    <row r="278">
      <c r="A278" s="23"/>
      <c r="B278" s="23"/>
      <c r="C278" s="23"/>
      <c r="D278" s="24"/>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row>
    <row r="279">
      <c r="A279" s="23"/>
      <c r="B279" s="23"/>
      <c r="C279" s="23"/>
      <c r="D279" s="24"/>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row>
    <row r="280">
      <c r="A280" s="23"/>
      <c r="B280" s="23"/>
      <c r="C280" s="23"/>
      <c r="D280" s="24"/>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row>
    <row r="281">
      <c r="A281" s="23"/>
      <c r="B281" s="23"/>
      <c r="C281" s="23"/>
      <c r="D281" s="24"/>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row>
    <row r="282">
      <c r="A282" s="23"/>
      <c r="B282" s="23"/>
      <c r="C282" s="23"/>
      <c r="D282" s="24"/>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row>
    <row r="283">
      <c r="A283" s="23"/>
      <c r="B283" s="23"/>
      <c r="C283" s="23"/>
      <c r="D283" s="24"/>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row>
    <row r="284">
      <c r="A284" s="23"/>
      <c r="B284" s="23"/>
      <c r="C284" s="23"/>
      <c r="D284" s="24"/>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row>
    <row r="285">
      <c r="A285" s="23"/>
      <c r="B285" s="23"/>
      <c r="C285" s="23"/>
      <c r="D285" s="24"/>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row>
    <row r="286">
      <c r="A286" s="23"/>
      <c r="B286" s="23"/>
      <c r="C286" s="23"/>
      <c r="D286" s="24"/>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row>
    <row r="287">
      <c r="A287" s="23"/>
      <c r="B287" s="23"/>
      <c r="C287" s="23"/>
      <c r="D287" s="24"/>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row>
    <row r="288">
      <c r="A288" s="23"/>
      <c r="B288" s="23"/>
      <c r="C288" s="23"/>
      <c r="D288" s="24"/>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row>
    <row r="289">
      <c r="A289" s="23"/>
      <c r="B289" s="23"/>
      <c r="C289" s="23"/>
      <c r="D289" s="24"/>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row>
    <row r="290">
      <c r="A290" s="23"/>
      <c r="B290" s="23"/>
      <c r="C290" s="23"/>
      <c r="D290" s="24"/>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row>
    <row r="291">
      <c r="A291" s="23"/>
      <c r="B291" s="23"/>
      <c r="C291" s="23"/>
      <c r="D291" s="24"/>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row>
    <row r="292">
      <c r="A292" s="23"/>
      <c r="B292" s="23"/>
      <c r="C292" s="23"/>
      <c r="D292" s="24"/>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row>
    <row r="293">
      <c r="A293" s="23"/>
      <c r="B293" s="23"/>
      <c r="C293" s="23"/>
      <c r="D293" s="24"/>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row>
    <row r="294">
      <c r="A294" s="23"/>
      <c r="B294" s="23"/>
      <c r="C294" s="23"/>
      <c r="D294" s="24"/>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row>
    <row r="295">
      <c r="A295" s="23"/>
      <c r="B295" s="23"/>
      <c r="C295" s="23"/>
      <c r="D295" s="24"/>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row>
    <row r="296">
      <c r="A296" s="23"/>
      <c r="B296" s="23"/>
      <c r="C296" s="23"/>
      <c r="D296" s="24"/>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row>
    <row r="297">
      <c r="A297" s="23"/>
      <c r="B297" s="23"/>
      <c r="C297" s="23"/>
      <c r="D297" s="24"/>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row>
    <row r="298">
      <c r="A298" s="23"/>
      <c r="B298" s="23"/>
      <c r="C298" s="23"/>
      <c r="D298" s="24"/>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row>
    <row r="299">
      <c r="A299" s="23"/>
      <c r="B299" s="23"/>
      <c r="C299" s="23"/>
      <c r="D299" s="24"/>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row>
    <row r="300">
      <c r="A300" s="23"/>
      <c r="B300" s="23"/>
      <c r="C300" s="23"/>
      <c r="D300" s="24"/>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row>
    <row r="301">
      <c r="A301" s="23"/>
      <c r="B301" s="23"/>
      <c r="C301" s="23"/>
      <c r="D301" s="24"/>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row>
    <row r="302">
      <c r="A302" s="23"/>
      <c r="B302" s="23"/>
      <c r="C302" s="23"/>
      <c r="D302" s="24"/>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row>
    <row r="303">
      <c r="A303" s="23"/>
      <c r="B303" s="23"/>
      <c r="C303" s="23"/>
      <c r="D303" s="24"/>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row>
    <row r="304">
      <c r="A304" s="23"/>
      <c r="B304" s="23"/>
      <c r="C304" s="23"/>
      <c r="D304" s="24"/>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row>
    <row r="305">
      <c r="A305" s="23"/>
      <c r="B305" s="23"/>
      <c r="C305" s="23"/>
      <c r="D305" s="24"/>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row>
    <row r="306">
      <c r="A306" s="23"/>
      <c r="B306" s="23"/>
      <c r="C306" s="23"/>
      <c r="D306" s="24"/>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row>
    <row r="307">
      <c r="A307" s="23"/>
      <c r="B307" s="23"/>
      <c r="C307" s="23"/>
      <c r="D307" s="24"/>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row>
    <row r="308">
      <c r="A308" s="23"/>
      <c r="B308" s="23"/>
      <c r="C308" s="23"/>
      <c r="D308" s="24"/>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row>
    <row r="309">
      <c r="A309" s="23"/>
      <c r="B309" s="23"/>
      <c r="C309" s="23"/>
      <c r="D309" s="24"/>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row>
    <row r="310">
      <c r="A310" s="23"/>
      <c r="B310" s="23"/>
      <c r="C310" s="23"/>
      <c r="D310" s="24"/>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row>
    <row r="311">
      <c r="A311" s="23"/>
      <c r="B311" s="23"/>
      <c r="C311" s="23"/>
      <c r="D311" s="24"/>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row>
    <row r="312">
      <c r="A312" s="23"/>
      <c r="B312" s="23"/>
      <c r="C312" s="23"/>
      <c r="D312" s="24"/>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row>
    <row r="313">
      <c r="A313" s="23"/>
      <c r="B313" s="23"/>
      <c r="C313" s="23"/>
      <c r="D313" s="24"/>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row>
    <row r="314">
      <c r="A314" s="23"/>
      <c r="B314" s="23"/>
      <c r="C314" s="23"/>
      <c r="D314" s="24"/>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row>
    <row r="315">
      <c r="A315" s="23"/>
      <c r="B315" s="23"/>
      <c r="C315" s="23"/>
      <c r="D315" s="24"/>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row>
    <row r="316">
      <c r="A316" s="23"/>
      <c r="B316" s="23"/>
      <c r="C316" s="23"/>
      <c r="D316" s="24"/>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row>
    <row r="317">
      <c r="A317" s="23"/>
      <c r="B317" s="23"/>
      <c r="C317" s="23"/>
      <c r="D317" s="24"/>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row>
    <row r="318">
      <c r="A318" s="23"/>
      <c r="B318" s="23"/>
      <c r="C318" s="23"/>
      <c r="D318" s="24"/>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row>
    <row r="319">
      <c r="A319" s="23"/>
      <c r="B319" s="23"/>
      <c r="C319" s="23"/>
      <c r="D319" s="24"/>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row>
    <row r="320">
      <c r="A320" s="23"/>
      <c r="B320" s="23"/>
      <c r="C320" s="23"/>
      <c r="D320" s="24"/>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row>
    <row r="321">
      <c r="A321" s="23"/>
      <c r="B321" s="23"/>
      <c r="C321" s="23"/>
      <c r="D321" s="24"/>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row>
    <row r="322">
      <c r="A322" s="23"/>
      <c r="B322" s="23"/>
      <c r="C322" s="23"/>
      <c r="D322" s="24"/>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row>
    <row r="323">
      <c r="A323" s="23"/>
      <c r="B323" s="23"/>
      <c r="C323" s="23"/>
      <c r="D323" s="24"/>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row>
    <row r="324">
      <c r="A324" s="23"/>
      <c r="B324" s="23"/>
      <c r="C324" s="23"/>
      <c r="D324" s="24"/>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row>
    <row r="325">
      <c r="A325" s="23"/>
      <c r="B325" s="23"/>
      <c r="C325" s="23"/>
      <c r="D325" s="24"/>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row>
    <row r="326">
      <c r="A326" s="23"/>
      <c r="B326" s="23"/>
      <c r="C326" s="23"/>
      <c r="D326" s="24"/>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row>
    <row r="327">
      <c r="A327" s="23"/>
      <c r="B327" s="23"/>
      <c r="C327" s="23"/>
      <c r="D327" s="24"/>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row>
    <row r="328">
      <c r="A328" s="23"/>
      <c r="B328" s="23"/>
      <c r="C328" s="23"/>
      <c r="D328" s="24"/>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row>
    <row r="329">
      <c r="A329" s="23"/>
      <c r="B329" s="23"/>
      <c r="C329" s="23"/>
      <c r="D329" s="24"/>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row>
    <row r="330">
      <c r="A330" s="23"/>
      <c r="B330" s="23"/>
      <c r="C330" s="23"/>
      <c r="D330" s="24"/>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row>
    <row r="331">
      <c r="A331" s="23"/>
      <c r="B331" s="23"/>
      <c r="C331" s="23"/>
      <c r="D331" s="24"/>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row>
    <row r="332">
      <c r="A332" s="23"/>
      <c r="B332" s="23"/>
      <c r="C332" s="23"/>
      <c r="D332" s="24"/>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row>
    <row r="333">
      <c r="A333" s="23"/>
      <c r="B333" s="23"/>
      <c r="C333" s="23"/>
      <c r="D333" s="24"/>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row>
    <row r="334">
      <c r="A334" s="23"/>
      <c r="B334" s="23"/>
      <c r="C334" s="23"/>
      <c r="D334" s="24"/>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row>
    <row r="335">
      <c r="A335" s="23"/>
      <c r="B335" s="23"/>
      <c r="C335" s="23"/>
      <c r="D335" s="24"/>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row>
    <row r="336">
      <c r="A336" s="23"/>
      <c r="B336" s="23"/>
      <c r="C336" s="23"/>
      <c r="D336" s="24"/>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row>
    <row r="337">
      <c r="A337" s="23"/>
      <c r="B337" s="23"/>
      <c r="C337" s="23"/>
      <c r="D337" s="24"/>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row>
    <row r="338">
      <c r="A338" s="23"/>
      <c r="B338" s="23"/>
      <c r="C338" s="23"/>
      <c r="D338" s="24"/>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row>
    <row r="339">
      <c r="A339" s="23"/>
      <c r="B339" s="23"/>
      <c r="C339" s="23"/>
      <c r="D339" s="24"/>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row>
    <row r="340">
      <c r="A340" s="23"/>
      <c r="B340" s="23"/>
      <c r="C340" s="23"/>
      <c r="D340" s="24"/>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row>
    <row r="341">
      <c r="A341" s="23"/>
      <c r="B341" s="23"/>
      <c r="C341" s="23"/>
      <c r="D341" s="24"/>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row>
    <row r="342">
      <c r="A342" s="23"/>
      <c r="B342" s="23"/>
      <c r="C342" s="23"/>
      <c r="D342" s="24"/>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row>
    <row r="343">
      <c r="A343" s="23"/>
      <c r="B343" s="23"/>
      <c r="C343" s="23"/>
      <c r="D343" s="24"/>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row>
    <row r="344">
      <c r="A344" s="23"/>
      <c r="B344" s="23"/>
      <c r="C344" s="23"/>
      <c r="D344" s="24"/>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row>
    <row r="345">
      <c r="A345" s="23"/>
      <c r="B345" s="23"/>
      <c r="C345" s="23"/>
      <c r="D345" s="24"/>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row>
    <row r="346">
      <c r="A346" s="23"/>
      <c r="B346" s="23"/>
      <c r="C346" s="23"/>
      <c r="D346" s="24"/>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row>
    <row r="347">
      <c r="A347" s="23"/>
      <c r="B347" s="23"/>
      <c r="C347" s="23"/>
      <c r="D347" s="24"/>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row>
    <row r="348">
      <c r="A348" s="23"/>
      <c r="B348" s="23"/>
      <c r="C348" s="23"/>
      <c r="D348" s="24"/>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row>
    <row r="349">
      <c r="A349" s="23"/>
      <c r="B349" s="23"/>
      <c r="C349" s="23"/>
      <c r="D349" s="24"/>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row>
    <row r="350">
      <c r="A350" s="23"/>
      <c r="B350" s="23"/>
      <c r="C350" s="23"/>
      <c r="D350" s="24"/>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row>
    <row r="351">
      <c r="A351" s="23"/>
      <c r="B351" s="23"/>
      <c r="C351" s="23"/>
      <c r="D351" s="24"/>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row>
    <row r="352">
      <c r="A352" s="23"/>
      <c r="B352" s="23"/>
      <c r="C352" s="23"/>
      <c r="D352" s="24"/>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row>
    <row r="353">
      <c r="A353" s="23"/>
      <c r="B353" s="23"/>
      <c r="C353" s="23"/>
      <c r="D353" s="24"/>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row>
    <row r="354">
      <c r="A354" s="23"/>
      <c r="B354" s="23"/>
      <c r="C354" s="23"/>
      <c r="D354" s="24"/>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row>
    <row r="355">
      <c r="A355" s="23"/>
      <c r="B355" s="23"/>
      <c r="C355" s="23"/>
      <c r="D355" s="24"/>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row>
    <row r="356">
      <c r="A356" s="23"/>
      <c r="B356" s="23"/>
      <c r="C356" s="23"/>
      <c r="D356" s="24"/>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row>
    <row r="357">
      <c r="A357" s="23"/>
      <c r="B357" s="23"/>
      <c r="C357" s="23"/>
      <c r="D357" s="24"/>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row>
    <row r="358">
      <c r="A358" s="23"/>
      <c r="B358" s="23"/>
      <c r="C358" s="23"/>
      <c r="D358" s="24"/>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row>
    <row r="359">
      <c r="A359" s="23"/>
      <c r="B359" s="23"/>
      <c r="C359" s="23"/>
      <c r="D359" s="24"/>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row>
    <row r="360">
      <c r="A360" s="23"/>
      <c r="B360" s="23"/>
      <c r="C360" s="23"/>
      <c r="D360" s="24"/>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row>
    <row r="361">
      <c r="A361" s="23"/>
      <c r="B361" s="23"/>
      <c r="C361" s="23"/>
      <c r="D361" s="24"/>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row>
    <row r="362">
      <c r="A362" s="23"/>
      <c r="B362" s="23"/>
      <c r="C362" s="23"/>
      <c r="D362" s="24"/>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row>
    <row r="363">
      <c r="A363" s="23"/>
      <c r="B363" s="23"/>
      <c r="C363" s="23"/>
      <c r="D363" s="24"/>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row>
    <row r="364">
      <c r="A364" s="23"/>
      <c r="B364" s="23"/>
      <c r="C364" s="23"/>
      <c r="D364" s="24"/>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row>
    <row r="365">
      <c r="A365" s="23"/>
      <c r="B365" s="23"/>
      <c r="C365" s="23"/>
      <c r="D365" s="24"/>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row>
    <row r="366">
      <c r="A366" s="23"/>
      <c r="B366" s="23"/>
      <c r="C366" s="23"/>
      <c r="D366" s="24"/>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row>
    <row r="367">
      <c r="A367" s="23"/>
      <c r="B367" s="23"/>
      <c r="C367" s="23"/>
      <c r="D367" s="24"/>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row>
    <row r="368">
      <c r="A368" s="23"/>
      <c r="B368" s="23"/>
      <c r="C368" s="23"/>
      <c r="D368" s="24"/>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row>
    <row r="369">
      <c r="A369" s="23"/>
      <c r="B369" s="23"/>
      <c r="C369" s="23"/>
      <c r="D369" s="24"/>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row>
    <row r="370">
      <c r="A370" s="23"/>
      <c r="B370" s="23"/>
      <c r="C370" s="23"/>
      <c r="D370" s="24"/>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row>
    <row r="371">
      <c r="A371" s="23"/>
      <c r="B371" s="23"/>
      <c r="C371" s="23"/>
      <c r="D371" s="24"/>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row>
    <row r="372">
      <c r="A372" s="23"/>
      <c r="B372" s="23"/>
      <c r="C372" s="23"/>
      <c r="D372" s="24"/>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row>
    <row r="373">
      <c r="A373" s="23"/>
      <c r="B373" s="23"/>
      <c r="C373" s="23"/>
      <c r="D373" s="24"/>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row>
    <row r="374">
      <c r="A374" s="23"/>
      <c r="B374" s="23"/>
      <c r="C374" s="23"/>
      <c r="D374" s="24"/>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row>
    <row r="375">
      <c r="A375" s="23"/>
      <c r="B375" s="23"/>
      <c r="C375" s="23"/>
      <c r="D375" s="24"/>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row>
    <row r="376">
      <c r="A376" s="23"/>
      <c r="B376" s="23"/>
      <c r="C376" s="23"/>
      <c r="D376" s="24"/>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row>
    <row r="377">
      <c r="A377" s="23"/>
      <c r="B377" s="23"/>
      <c r="C377" s="23"/>
      <c r="D377" s="24"/>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row>
    <row r="378">
      <c r="A378" s="23"/>
      <c r="B378" s="23"/>
      <c r="C378" s="23"/>
      <c r="D378" s="24"/>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row>
    <row r="379">
      <c r="A379" s="23"/>
      <c r="B379" s="23"/>
      <c r="C379" s="23"/>
      <c r="D379" s="24"/>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row>
    <row r="380">
      <c r="A380" s="23"/>
      <c r="B380" s="23"/>
      <c r="C380" s="23"/>
      <c r="D380" s="24"/>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row>
    <row r="381">
      <c r="A381" s="23"/>
      <c r="B381" s="23"/>
      <c r="C381" s="23"/>
      <c r="D381" s="24"/>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row>
    <row r="382">
      <c r="A382" s="23"/>
      <c r="B382" s="23"/>
      <c r="C382" s="23"/>
      <c r="D382" s="24"/>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row>
    <row r="383">
      <c r="A383" s="23"/>
      <c r="B383" s="23"/>
      <c r="C383" s="23"/>
      <c r="D383" s="24"/>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row>
    <row r="384">
      <c r="A384" s="23"/>
      <c r="B384" s="23"/>
      <c r="C384" s="23"/>
      <c r="D384" s="24"/>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row>
    <row r="385">
      <c r="A385" s="23"/>
      <c r="B385" s="23"/>
      <c r="C385" s="23"/>
      <c r="D385" s="24"/>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row>
    <row r="386">
      <c r="A386" s="23"/>
      <c r="B386" s="23"/>
      <c r="C386" s="23"/>
      <c r="D386" s="24"/>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row>
    <row r="387">
      <c r="A387" s="23"/>
      <c r="B387" s="23"/>
      <c r="C387" s="23"/>
      <c r="D387" s="24"/>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row>
    <row r="388">
      <c r="A388" s="23"/>
      <c r="B388" s="23"/>
      <c r="C388" s="23"/>
      <c r="D388" s="24"/>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row>
    <row r="389">
      <c r="A389" s="23"/>
      <c r="B389" s="23"/>
      <c r="C389" s="23"/>
      <c r="D389" s="24"/>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row>
    <row r="390">
      <c r="A390" s="23"/>
      <c r="B390" s="23"/>
      <c r="C390" s="23"/>
      <c r="D390" s="24"/>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row>
    <row r="391">
      <c r="A391" s="23"/>
      <c r="B391" s="23"/>
      <c r="C391" s="23"/>
      <c r="D391" s="24"/>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row>
    <row r="392">
      <c r="A392" s="23"/>
      <c r="B392" s="23"/>
      <c r="C392" s="23"/>
      <c r="D392" s="24"/>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row>
    <row r="393">
      <c r="A393" s="23"/>
      <c r="B393" s="23"/>
      <c r="C393" s="23"/>
      <c r="D393" s="24"/>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row>
    <row r="394">
      <c r="A394" s="23"/>
      <c r="B394" s="23"/>
      <c r="C394" s="23"/>
      <c r="D394" s="24"/>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row>
    <row r="395">
      <c r="A395" s="23"/>
      <c r="B395" s="23"/>
      <c r="C395" s="23"/>
      <c r="D395" s="24"/>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row>
    <row r="396">
      <c r="A396" s="23"/>
      <c r="B396" s="23"/>
      <c r="C396" s="23"/>
      <c r="D396" s="24"/>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row>
    <row r="397">
      <c r="A397" s="23"/>
      <c r="B397" s="23"/>
      <c r="C397" s="23"/>
      <c r="D397" s="24"/>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row>
    <row r="398">
      <c r="A398" s="23"/>
      <c r="B398" s="23"/>
      <c r="C398" s="23"/>
      <c r="D398" s="24"/>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row>
    <row r="399">
      <c r="A399" s="23"/>
      <c r="B399" s="23"/>
      <c r="C399" s="23"/>
      <c r="D399" s="24"/>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row>
    <row r="400">
      <c r="A400" s="23"/>
      <c r="B400" s="23"/>
      <c r="C400" s="23"/>
      <c r="D400" s="24"/>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row>
    <row r="401">
      <c r="A401" s="23"/>
      <c r="B401" s="23"/>
      <c r="C401" s="23"/>
      <c r="D401" s="24"/>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row>
    <row r="402">
      <c r="A402" s="23"/>
      <c r="B402" s="23"/>
      <c r="C402" s="23"/>
      <c r="D402" s="24"/>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row>
    <row r="403">
      <c r="A403" s="23"/>
      <c r="B403" s="23"/>
      <c r="C403" s="23"/>
      <c r="D403" s="24"/>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row>
    <row r="404">
      <c r="A404" s="23"/>
      <c r="B404" s="23"/>
      <c r="C404" s="23"/>
      <c r="D404" s="24"/>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row>
    <row r="405">
      <c r="A405" s="23"/>
      <c r="B405" s="23"/>
      <c r="C405" s="23"/>
      <c r="D405" s="24"/>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row>
    <row r="406">
      <c r="A406" s="23"/>
      <c r="B406" s="23"/>
      <c r="C406" s="23"/>
      <c r="D406" s="24"/>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row>
    <row r="407">
      <c r="A407" s="23"/>
      <c r="B407" s="23"/>
      <c r="C407" s="23"/>
      <c r="D407" s="24"/>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row>
    <row r="408">
      <c r="A408" s="23"/>
      <c r="B408" s="23"/>
      <c r="C408" s="23"/>
      <c r="D408" s="24"/>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row>
    <row r="409">
      <c r="A409" s="23"/>
      <c r="B409" s="23"/>
      <c r="C409" s="23"/>
      <c r="D409" s="24"/>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row>
    <row r="410">
      <c r="A410" s="23"/>
      <c r="B410" s="23"/>
      <c r="C410" s="23"/>
      <c r="D410" s="24"/>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row>
    <row r="411">
      <c r="A411" s="23"/>
      <c r="B411" s="23"/>
      <c r="C411" s="23"/>
      <c r="D411" s="24"/>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row>
    <row r="412">
      <c r="A412" s="23"/>
      <c r="B412" s="23"/>
      <c r="C412" s="23"/>
      <c r="D412" s="24"/>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row>
    <row r="413">
      <c r="A413" s="23"/>
      <c r="B413" s="23"/>
      <c r="C413" s="23"/>
      <c r="D413" s="24"/>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row>
    <row r="414">
      <c r="A414" s="23"/>
      <c r="B414" s="23"/>
      <c r="C414" s="23"/>
      <c r="D414" s="24"/>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row>
    <row r="415">
      <c r="A415" s="23"/>
      <c r="B415" s="23"/>
      <c r="C415" s="23"/>
      <c r="D415" s="24"/>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row>
    <row r="416">
      <c r="A416" s="23"/>
      <c r="B416" s="23"/>
      <c r="C416" s="23"/>
      <c r="D416" s="24"/>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row>
    <row r="417">
      <c r="A417" s="23"/>
      <c r="B417" s="23"/>
      <c r="C417" s="23"/>
      <c r="D417" s="24"/>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row>
    <row r="418">
      <c r="A418" s="23"/>
      <c r="B418" s="23"/>
      <c r="C418" s="23"/>
      <c r="D418" s="24"/>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row>
    <row r="419">
      <c r="A419" s="23"/>
      <c r="B419" s="23"/>
      <c r="C419" s="23"/>
      <c r="D419" s="24"/>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row>
    <row r="420">
      <c r="A420" s="23"/>
      <c r="B420" s="23"/>
      <c r="C420" s="23"/>
      <c r="D420" s="24"/>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row>
    <row r="421">
      <c r="A421" s="23"/>
      <c r="B421" s="23"/>
      <c r="C421" s="23"/>
      <c r="D421" s="24"/>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row>
    <row r="422">
      <c r="A422" s="23"/>
      <c r="B422" s="23"/>
      <c r="C422" s="23"/>
      <c r="D422" s="24"/>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row>
    <row r="423">
      <c r="A423" s="23"/>
      <c r="B423" s="23"/>
      <c r="C423" s="23"/>
      <c r="D423" s="24"/>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row>
    <row r="424">
      <c r="A424" s="23"/>
      <c r="B424" s="23"/>
      <c r="C424" s="23"/>
      <c r="D424" s="24"/>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row>
    <row r="425">
      <c r="A425" s="23"/>
      <c r="B425" s="23"/>
      <c r="C425" s="23"/>
      <c r="D425" s="24"/>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row>
    <row r="426">
      <c r="A426" s="23"/>
      <c r="B426" s="23"/>
      <c r="C426" s="23"/>
      <c r="D426" s="24"/>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row>
    <row r="427">
      <c r="A427" s="23"/>
      <c r="B427" s="23"/>
      <c r="C427" s="23"/>
      <c r="D427" s="24"/>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row>
    <row r="428">
      <c r="A428" s="23"/>
      <c r="B428" s="23"/>
      <c r="C428" s="23"/>
      <c r="D428" s="24"/>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row>
    <row r="429">
      <c r="A429" s="23"/>
      <c r="B429" s="23"/>
      <c r="C429" s="23"/>
      <c r="D429" s="24"/>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row>
    <row r="430">
      <c r="A430" s="23"/>
      <c r="B430" s="23"/>
      <c r="C430" s="23"/>
      <c r="D430" s="24"/>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row>
    <row r="431">
      <c r="A431" s="23"/>
      <c r="B431" s="23"/>
      <c r="C431" s="23"/>
      <c r="D431" s="24"/>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row>
    <row r="432">
      <c r="A432" s="23"/>
      <c r="B432" s="23"/>
      <c r="C432" s="23"/>
      <c r="D432" s="24"/>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row>
    <row r="433">
      <c r="A433" s="23"/>
      <c r="B433" s="23"/>
      <c r="C433" s="23"/>
      <c r="D433" s="24"/>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row>
    <row r="434">
      <c r="A434" s="23"/>
      <c r="B434" s="23"/>
      <c r="C434" s="23"/>
      <c r="D434" s="24"/>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row>
    <row r="435">
      <c r="A435" s="23"/>
      <c r="B435" s="23"/>
      <c r="C435" s="23"/>
      <c r="D435" s="24"/>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row>
    <row r="436">
      <c r="A436" s="23"/>
      <c r="B436" s="23"/>
      <c r="C436" s="23"/>
      <c r="D436" s="24"/>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row>
    <row r="437">
      <c r="A437" s="23"/>
      <c r="B437" s="23"/>
      <c r="C437" s="23"/>
      <c r="D437" s="24"/>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row>
    <row r="438">
      <c r="A438" s="23"/>
      <c r="B438" s="23"/>
      <c r="C438" s="23"/>
      <c r="D438" s="24"/>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row>
    <row r="439">
      <c r="A439" s="23"/>
      <c r="B439" s="23"/>
      <c r="C439" s="23"/>
      <c r="D439" s="24"/>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row>
    <row r="440">
      <c r="A440" s="23"/>
      <c r="B440" s="23"/>
      <c r="C440" s="23"/>
      <c r="D440" s="24"/>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row>
    <row r="441">
      <c r="A441" s="23"/>
      <c r="B441" s="23"/>
      <c r="C441" s="23"/>
      <c r="D441" s="24"/>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row>
    <row r="442">
      <c r="A442" s="23"/>
      <c r="B442" s="23"/>
      <c r="C442" s="23"/>
      <c r="D442" s="24"/>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row>
    <row r="443">
      <c r="A443" s="23"/>
      <c r="B443" s="23"/>
      <c r="C443" s="23"/>
      <c r="D443" s="24"/>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row>
    <row r="444">
      <c r="A444" s="23"/>
      <c r="B444" s="23"/>
      <c r="C444" s="23"/>
      <c r="D444" s="24"/>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row>
    <row r="445">
      <c r="A445" s="23"/>
      <c r="B445" s="23"/>
      <c r="C445" s="23"/>
      <c r="D445" s="24"/>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row>
    <row r="446">
      <c r="A446" s="23"/>
      <c r="B446" s="23"/>
      <c r="C446" s="23"/>
      <c r="D446" s="24"/>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row>
    <row r="447">
      <c r="A447" s="23"/>
      <c r="B447" s="23"/>
      <c r="C447" s="23"/>
      <c r="D447" s="24"/>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row>
    <row r="448">
      <c r="A448" s="23"/>
      <c r="B448" s="23"/>
      <c r="C448" s="23"/>
      <c r="D448" s="24"/>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row>
    <row r="449">
      <c r="A449" s="23"/>
      <c r="B449" s="23"/>
      <c r="C449" s="23"/>
      <c r="D449" s="24"/>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row>
    <row r="450">
      <c r="A450" s="23"/>
      <c r="B450" s="23"/>
      <c r="C450" s="23"/>
      <c r="D450" s="24"/>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row>
    <row r="451">
      <c r="A451" s="23"/>
      <c r="B451" s="23"/>
      <c r="C451" s="23"/>
      <c r="D451" s="24"/>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row>
    <row r="452">
      <c r="A452" s="23"/>
      <c r="B452" s="23"/>
      <c r="C452" s="23"/>
      <c r="D452" s="24"/>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row>
    <row r="453">
      <c r="A453" s="23"/>
      <c r="B453" s="23"/>
      <c r="C453" s="23"/>
      <c r="D453" s="24"/>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row>
    <row r="454">
      <c r="A454" s="23"/>
      <c r="B454" s="23"/>
      <c r="C454" s="23"/>
      <c r="D454" s="24"/>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row>
    <row r="455">
      <c r="A455" s="23"/>
      <c r="B455" s="23"/>
      <c r="C455" s="23"/>
      <c r="D455" s="24"/>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row>
    <row r="456">
      <c r="A456" s="23"/>
      <c r="B456" s="23"/>
      <c r="C456" s="23"/>
      <c r="D456" s="24"/>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row>
    <row r="457">
      <c r="A457" s="23"/>
      <c r="B457" s="23"/>
      <c r="C457" s="23"/>
      <c r="D457" s="24"/>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row>
    <row r="458">
      <c r="A458" s="23"/>
      <c r="B458" s="23"/>
      <c r="C458" s="23"/>
      <c r="D458" s="24"/>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row>
    <row r="459">
      <c r="A459" s="23"/>
      <c r="B459" s="23"/>
      <c r="C459" s="23"/>
      <c r="D459" s="24"/>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row>
    <row r="460">
      <c r="A460" s="23"/>
      <c r="B460" s="23"/>
      <c r="C460" s="23"/>
      <c r="D460" s="24"/>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row>
    <row r="461">
      <c r="A461" s="23"/>
      <c r="B461" s="23"/>
      <c r="C461" s="23"/>
      <c r="D461" s="24"/>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row>
    <row r="462">
      <c r="A462" s="23"/>
      <c r="B462" s="23"/>
      <c r="C462" s="23"/>
      <c r="D462" s="24"/>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row>
    <row r="463">
      <c r="A463" s="23"/>
      <c r="B463" s="23"/>
      <c r="C463" s="23"/>
      <c r="D463" s="24"/>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row>
    <row r="464">
      <c r="A464" s="23"/>
      <c r="B464" s="23"/>
      <c r="C464" s="23"/>
      <c r="D464" s="24"/>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row>
    <row r="465">
      <c r="A465" s="23"/>
      <c r="B465" s="23"/>
      <c r="C465" s="23"/>
      <c r="D465" s="24"/>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row>
    <row r="466">
      <c r="A466" s="23"/>
      <c r="B466" s="23"/>
      <c r="C466" s="23"/>
      <c r="D466" s="24"/>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row>
    <row r="467">
      <c r="A467" s="23"/>
      <c r="B467" s="23"/>
      <c r="C467" s="23"/>
      <c r="D467" s="24"/>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row>
    <row r="468">
      <c r="A468" s="23"/>
      <c r="B468" s="23"/>
      <c r="C468" s="23"/>
      <c r="D468" s="24"/>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row>
    <row r="469">
      <c r="A469" s="23"/>
      <c r="B469" s="23"/>
      <c r="C469" s="23"/>
      <c r="D469" s="24"/>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row>
    <row r="470">
      <c r="A470" s="23"/>
      <c r="B470" s="23"/>
      <c r="C470" s="23"/>
      <c r="D470" s="24"/>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row>
    <row r="471">
      <c r="A471" s="23"/>
      <c r="B471" s="23"/>
      <c r="C471" s="23"/>
      <c r="D471" s="24"/>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row>
    <row r="472">
      <c r="A472" s="23"/>
      <c r="B472" s="23"/>
      <c r="C472" s="23"/>
      <c r="D472" s="24"/>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row>
    <row r="473">
      <c r="A473" s="23"/>
      <c r="B473" s="23"/>
      <c r="C473" s="23"/>
      <c r="D473" s="24"/>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row>
    <row r="474">
      <c r="A474" s="23"/>
      <c r="B474" s="23"/>
      <c r="C474" s="23"/>
      <c r="D474" s="24"/>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row>
    <row r="475">
      <c r="A475" s="23"/>
      <c r="B475" s="23"/>
      <c r="C475" s="23"/>
      <c r="D475" s="24"/>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row>
    <row r="476">
      <c r="A476" s="23"/>
      <c r="B476" s="23"/>
      <c r="C476" s="23"/>
      <c r="D476" s="24"/>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row>
    <row r="477">
      <c r="A477" s="23"/>
      <c r="B477" s="23"/>
      <c r="C477" s="23"/>
      <c r="D477" s="24"/>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row>
    <row r="478">
      <c r="A478" s="23"/>
      <c r="B478" s="23"/>
      <c r="C478" s="23"/>
      <c r="D478" s="24"/>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row>
    <row r="479">
      <c r="A479" s="23"/>
      <c r="B479" s="23"/>
      <c r="C479" s="23"/>
      <c r="D479" s="24"/>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row>
    <row r="480">
      <c r="A480" s="23"/>
      <c r="B480" s="23"/>
      <c r="C480" s="23"/>
      <c r="D480" s="24"/>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row>
    <row r="481">
      <c r="A481" s="23"/>
      <c r="B481" s="23"/>
      <c r="C481" s="23"/>
      <c r="D481" s="24"/>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row>
    <row r="482">
      <c r="A482" s="23"/>
      <c r="B482" s="23"/>
      <c r="C482" s="23"/>
      <c r="D482" s="24"/>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row>
    <row r="483">
      <c r="A483" s="23"/>
      <c r="B483" s="23"/>
      <c r="C483" s="23"/>
      <c r="D483" s="24"/>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row>
    <row r="484">
      <c r="A484" s="23"/>
      <c r="B484" s="23"/>
      <c r="C484" s="23"/>
      <c r="D484" s="24"/>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row>
    <row r="485">
      <c r="A485" s="23"/>
      <c r="B485" s="23"/>
      <c r="C485" s="23"/>
      <c r="D485" s="24"/>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row>
    <row r="486">
      <c r="A486" s="23"/>
      <c r="B486" s="23"/>
      <c r="C486" s="23"/>
      <c r="D486" s="24"/>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row>
    <row r="487">
      <c r="A487" s="23"/>
      <c r="B487" s="23"/>
      <c r="C487" s="23"/>
      <c r="D487" s="24"/>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row>
    <row r="488">
      <c r="A488" s="23"/>
      <c r="B488" s="23"/>
      <c r="C488" s="23"/>
      <c r="D488" s="24"/>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row>
    <row r="489">
      <c r="A489" s="23"/>
      <c r="B489" s="23"/>
      <c r="C489" s="23"/>
      <c r="D489" s="24"/>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row>
    <row r="490">
      <c r="A490" s="23"/>
      <c r="B490" s="23"/>
      <c r="C490" s="23"/>
      <c r="D490" s="24"/>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row>
    <row r="491">
      <c r="A491" s="23"/>
      <c r="B491" s="23"/>
      <c r="C491" s="23"/>
      <c r="D491" s="24"/>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row>
    <row r="492">
      <c r="A492" s="23"/>
      <c r="B492" s="23"/>
      <c r="C492" s="23"/>
      <c r="D492" s="24"/>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row>
    <row r="493">
      <c r="A493" s="23"/>
      <c r="B493" s="23"/>
      <c r="C493" s="23"/>
      <c r="D493" s="24"/>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row>
    <row r="494">
      <c r="A494" s="23"/>
      <c r="B494" s="23"/>
      <c r="C494" s="23"/>
      <c r="D494" s="24"/>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row>
    <row r="495">
      <c r="A495" s="23"/>
      <c r="B495" s="23"/>
      <c r="C495" s="23"/>
      <c r="D495" s="24"/>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row>
    <row r="496">
      <c r="A496" s="23"/>
      <c r="B496" s="23"/>
      <c r="C496" s="23"/>
      <c r="D496" s="24"/>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row>
    <row r="497">
      <c r="A497" s="23"/>
      <c r="B497" s="23"/>
      <c r="C497" s="23"/>
      <c r="D497" s="24"/>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row>
    <row r="498">
      <c r="A498" s="23"/>
      <c r="B498" s="23"/>
      <c r="C498" s="23"/>
      <c r="D498" s="24"/>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row>
    <row r="499">
      <c r="A499" s="23"/>
      <c r="B499" s="23"/>
      <c r="C499" s="23"/>
      <c r="D499" s="24"/>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row>
    <row r="500">
      <c r="A500" s="23"/>
      <c r="B500" s="23"/>
      <c r="C500" s="23"/>
      <c r="D500" s="24"/>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row>
    <row r="501">
      <c r="A501" s="23"/>
      <c r="B501" s="23"/>
      <c r="C501" s="23"/>
      <c r="D501" s="24"/>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row>
    <row r="502">
      <c r="A502" s="23"/>
      <c r="B502" s="23"/>
      <c r="C502" s="23"/>
      <c r="D502" s="24"/>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row>
    <row r="503">
      <c r="A503" s="23"/>
      <c r="B503" s="23"/>
      <c r="C503" s="23"/>
      <c r="D503" s="24"/>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row>
    <row r="504">
      <c r="A504" s="23"/>
      <c r="B504" s="23"/>
      <c r="C504" s="23"/>
      <c r="D504" s="24"/>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row>
    <row r="505">
      <c r="A505" s="23"/>
      <c r="B505" s="23"/>
      <c r="C505" s="23"/>
      <c r="D505" s="24"/>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row>
    <row r="506">
      <c r="A506" s="23"/>
      <c r="B506" s="23"/>
      <c r="C506" s="23"/>
      <c r="D506" s="24"/>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row>
    <row r="507">
      <c r="A507" s="23"/>
      <c r="B507" s="23"/>
      <c r="C507" s="23"/>
      <c r="D507" s="24"/>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row>
    <row r="508">
      <c r="A508" s="23"/>
      <c r="B508" s="23"/>
      <c r="C508" s="23"/>
      <c r="D508" s="24"/>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row>
    <row r="509">
      <c r="A509" s="23"/>
      <c r="B509" s="23"/>
      <c r="C509" s="23"/>
      <c r="D509" s="24"/>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row>
    <row r="510">
      <c r="A510" s="23"/>
      <c r="B510" s="23"/>
      <c r="C510" s="23"/>
      <c r="D510" s="24"/>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row>
    <row r="511">
      <c r="A511" s="23"/>
      <c r="B511" s="23"/>
      <c r="C511" s="23"/>
      <c r="D511" s="24"/>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row>
    <row r="512">
      <c r="A512" s="23"/>
      <c r="B512" s="23"/>
      <c r="C512" s="23"/>
      <c r="D512" s="24"/>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row>
    <row r="513">
      <c r="A513" s="23"/>
      <c r="B513" s="23"/>
      <c r="C513" s="23"/>
      <c r="D513" s="24"/>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row>
    <row r="514">
      <c r="A514" s="23"/>
      <c r="B514" s="23"/>
      <c r="C514" s="23"/>
      <c r="D514" s="24"/>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row>
    <row r="515">
      <c r="A515" s="23"/>
      <c r="B515" s="23"/>
      <c r="C515" s="23"/>
      <c r="D515" s="24"/>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row>
    <row r="516">
      <c r="A516" s="23"/>
      <c r="B516" s="23"/>
      <c r="C516" s="23"/>
      <c r="D516" s="24"/>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row>
    <row r="517">
      <c r="A517" s="23"/>
      <c r="B517" s="23"/>
      <c r="C517" s="23"/>
      <c r="D517" s="24"/>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row>
    <row r="518">
      <c r="A518" s="23"/>
      <c r="B518" s="23"/>
      <c r="C518" s="23"/>
      <c r="D518" s="24"/>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row>
    <row r="519">
      <c r="A519" s="23"/>
      <c r="B519" s="23"/>
      <c r="C519" s="23"/>
      <c r="D519" s="24"/>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row>
    <row r="520">
      <c r="A520" s="23"/>
      <c r="B520" s="23"/>
      <c r="C520" s="23"/>
      <c r="D520" s="24"/>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row>
    <row r="521">
      <c r="A521" s="23"/>
      <c r="B521" s="23"/>
      <c r="C521" s="23"/>
      <c r="D521" s="24"/>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row>
    <row r="522">
      <c r="A522" s="23"/>
      <c r="B522" s="23"/>
      <c r="C522" s="23"/>
      <c r="D522" s="24"/>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row>
    <row r="523">
      <c r="A523" s="23"/>
      <c r="B523" s="23"/>
      <c r="C523" s="23"/>
      <c r="D523" s="24"/>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row>
    <row r="524">
      <c r="A524" s="23"/>
      <c r="B524" s="23"/>
      <c r="C524" s="23"/>
      <c r="D524" s="24"/>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row>
    <row r="525">
      <c r="A525" s="23"/>
      <c r="B525" s="23"/>
      <c r="C525" s="23"/>
      <c r="D525" s="24"/>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row>
    <row r="526">
      <c r="A526" s="23"/>
      <c r="B526" s="23"/>
      <c r="C526" s="23"/>
      <c r="D526" s="24"/>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row>
    <row r="527">
      <c r="A527" s="23"/>
      <c r="B527" s="23"/>
      <c r="C527" s="23"/>
      <c r="D527" s="24"/>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row>
    <row r="528">
      <c r="A528" s="23"/>
      <c r="B528" s="23"/>
      <c r="C528" s="23"/>
      <c r="D528" s="24"/>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row>
    <row r="529">
      <c r="A529" s="23"/>
      <c r="B529" s="23"/>
      <c r="C529" s="23"/>
      <c r="D529" s="24"/>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row>
    <row r="530">
      <c r="A530" s="23"/>
      <c r="B530" s="23"/>
      <c r="C530" s="23"/>
      <c r="D530" s="24"/>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row>
    <row r="531">
      <c r="A531" s="23"/>
      <c r="B531" s="23"/>
      <c r="C531" s="23"/>
      <c r="D531" s="24"/>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row>
    <row r="532">
      <c r="A532" s="23"/>
      <c r="B532" s="23"/>
      <c r="C532" s="23"/>
      <c r="D532" s="24"/>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row>
    <row r="533">
      <c r="A533" s="23"/>
      <c r="B533" s="23"/>
      <c r="C533" s="23"/>
      <c r="D533" s="24"/>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row>
    <row r="534">
      <c r="A534" s="23"/>
      <c r="B534" s="23"/>
      <c r="C534" s="23"/>
      <c r="D534" s="24"/>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row>
    <row r="535">
      <c r="A535" s="23"/>
      <c r="B535" s="23"/>
      <c r="C535" s="23"/>
      <c r="D535" s="24"/>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row>
    <row r="536">
      <c r="A536" s="23"/>
      <c r="B536" s="23"/>
      <c r="C536" s="23"/>
      <c r="D536" s="24"/>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row>
    <row r="537">
      <c r="A537" s="23"/>
      <c r="B537" s="23"/>
      <c r="C537" s="23"/>
      <c r="D537" s="24"/>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row>
    <row r="538">
      <c r="A538" s="23"/>
      <c r="B538" s="23"/>
      <c r="C538" s="23"/>
      <c r="D538" s="24"/>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row>
    <row r="539">
      <c r="A539" s="23"/>
      <c r="B539" s="23"/>
      <c r="C539" s="23"/>
      <c r="D539" s="24"/>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row>
    <row r="540">
      <c r="A540" s="23"/>
      <c r="B540" s="23"/>
      <c r="C540" s="23"/>
      <c r="D540" s="24"/>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row>
    <row r="541">
      <c r="A541" s="23"/>
      <c r="B541" s="23"/>
      <c r="C541" s="23"/>
      <c r="D541" s="24"/>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row>
    <row r="542">
      <c r="A542" s="23"/>
      <c r="B542" s="23"/>
      <c r="C542" s="23"/>
      <c r="D542" s="24"/>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row>
    <row r="543">
      <c r="A543" s="23"/>
      <c r="B543" s="23"/>
      <c r="C543" s="23"/>
      <c r="D543" s="24"/>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row>
    <row r="544">
      <c r="A544" s="23"/>
      <c r="B544" s="23"/>
      <c r="C544" s="23"/>
      <c r="D544" s="24"/>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row>
    <row r="545">
      <c r="A545" s="23"/>
      <c r="B545" s="23"/>
      <c r="C545" s="23"/>
      <c r="D545" s="24"/>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row>
    <row r="546">
      <c r="A546" s="23"/>
      <c r="B546" s="23"/>
      <c r="C546" s="23"/>
      <c r="D546" s="24"/>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row>
    <row r="547">
      <c r="A547" s="23"/>
      <c r="B547" s="23"/>
      <c r="C547" s="23"/>
      <c r="D547" s="24"/>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row>
    <row r="548">
      <c r="A548" s="23"/>
      <c r="B548" s="23"/>
      <c r="C548" s="23"/>
      <c r="D548" s="24"/>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row>
    <row r="549">
      <c r="A549" s="23"/>
      <c r="B549" s="23"/>
      <c r="C549" s="23"/>
      <c r="D549" s="24"/>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row>
    <row r="550">
      <c r="A550" s="23"/>
      <c r="B550" s="23"/>
      <c r="C550" s="23"/>
      <c r="D550" s="24"/>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row>
    <row r="551">
      <c r="A551" s="23"/>
      <c r="B551" s="23"/>
      <c r="C551" s="23"/>
      <c r="D551" s="24"/>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row>
    <row r="552">
      <c r="A552" s="23"/>
      <c r="B552" s="23"/>
      <c r="C552" s="23"/>
      <c r="D552" s="24"/>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row>
    <row r="553">
      <c r="A553" s="23"/>
      <c r="B553" s="23"/>
      <c r="C553" s="23"/>
      <c r="D553" s="24"/>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row>
    <row r="554">
      <c r="A554" s="23"/>
      <c r="B554" s="23"/>
      <c r="C554" s="23"/>
      <c r="D554" s="24"/>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row>
    <row r="555">
      <c r="A555" s="23"/>
      <c r="B555" s="23"/>
      <c r="C555" s="23"/>
      <c r="D555" s="24"/>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row>
    <row r="556">
      <c r="A556" s="23"/>
      <c r="B556" s="23"/>
      <c r="C556" s="23"/>
      <c r="D556" s="24"/>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row>
    <row r="557">
      <c r="A557" s="23"/>
      <c r="B557" s="23"/>
      <c r="C557" s="23"/>
      <c r="D557" s="24"/>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row>
    <row r="558">
      <c r="A558" s="23"/>
      <c r="B558" s="23"/>
      <c r="C558" s="23"/>
      <c r="D558" s="24"/>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row>
    <row r="559">
      <c r="A559" s="23"/>
      <c r="B559" s="23"/>
      <c r="C559" s="23"/>
      <c r="D559" s="24"/>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row>
    <row r="560">
      <c r="A560" s="23"/>
      <c r="B560" s="23"/>
      <c r="C560" s="23"/>
      <c r="D560" s="24"/>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row>
    <row r="561">
      <c r="A561" s="23"/>
      <c r="B561" s="23"/>
      <c r="C561" s="23"/>
      <c r="D561" s="24"/>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row>
    <row r="562">
      <c r="A562" s="23"/>
      <c r="B562" s="23"/>
      <c r="C562" s="23"/>
      <c r="D562" s="24"/>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row>
    <row r="563">
      <c r="A563" s="23"/>
      <c r="B563" s="23"/>
      <c r="C563" s="23"/>
      <c r="D563" s="24"/>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row>
    <row r="564">
      <c r="A564" s="23"/>
      <c r="B564" s="23"/>
      <c r="C564" s="23"/>
      <c r="D564" s="24"/>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row>
    <row r="565">
      <c r="A565" s="23"/>
      <c r="B565" s="23"/>
      <c r="C565" s="23"/>
      <c r="D565" s="24"/>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row>
    <row r="566">
      <c r="A566" s="23"/>
      <c r="B566" s="23"/>
      <c r="C566" s="23"/>
      <c r="D566" s="24"/>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row>
    <row r="567">
      <c r="A567" s="23"/>
      <c r="B567" s="23"/>
      <c r="C567" s="23"/>
      <c r="D567" s="24"/>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row>
    <row r="568">
      <c r="A568" s="23"/>
      <c r="B568" s="23"/>
      <c r="C568" s="23"/>
      <c r="D568" s="24"/>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row>
    <row r="569">
      <c r="A569" s="23"/>
      <c r="B569" s="23"/>
      <c r="C569" s="23"/>
      <c r="D569" s="24"/>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row>
    <row r="570">
      <c r="A570" s="23"/>
      <c r="B570" s="23"/>
      <c r="C570" s="23"/>
      <c r="D570" s="24"/>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row>
    <row r="571">
      <c r="A571" s="23"/>
      <c r="B571" s="23"/>
      <c r="C571" s="23"/>
      <c r="D571" s="24"/>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row>
    <row r="572">
      <c r="A572" s="23"/>
      <c r="B572" s="23"/>
      <c r="C572" s="23"/>
      <c r="D572" s="24"/>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row>
    <row r="573">
      <c r="A573" s="23"/>
      <c r="B573" s="23"/>
      <c r="C573" s="23"/>
      <c r="D573" s="24"/>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row>
    <row r="574">
      <c r="A574" s="23"/>
      <c r="B574" s="23"/>
      <c r="C574" s="23"/>
      <c r="D574" s="24"/>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row>
    <row r="575">
      <c r="A575" s="23"/>
      <c r="B575" s="23"/>
      <c r="C575" s="23"/>
      <c r="D575" s="24"/>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row>
    <row r="576">
      <c r="A576" s="23"/>
      <c r="B576" s="23"/>
      <c r="C576" s="23"/>
      <c r="D576" s="24"/>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row>
    <row r="577">
      <c r="A577" s="23"/>
      <c r="B577" s="23"/>
      <c r="C577" s="23"/>
      <c r="D577" s="24"/>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row>
    <row r="578">
      <c r="A578" s="23"/>
      <c r="B578" s="23"/>
      <c r="C578" s="23"/>
      <c r="D578" s="24"/>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row>
    <row r="579">
      <c r="A579" s="23"/>
      <c r="B579" s="23"/>
      <c r="C579" s="23"/>
      <c r="D579" s="24"/>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row>
    <row r="580">
      <c r="A580" s="23"/>
      <c r="B580" s="23"/>
      <c r="C580" s="23"/>
      <c r="D580" s="24"/>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row>
    <row r="581">
      <c r="A581" s="23"/>
      <c r="B581" s="23"/>
      <c r="C581" s="23"/>
      <c r="D581" s="24"/>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row>
    <row r="582">
      <c r="A582" s="23"/>
      <c r="B582" s="23"/>
      <c r="C582" s="23"/>
      <c r="D582" s="24"/>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row>
    <row r="583">
      <c r="A583" s="23"/>
      <c r="B583" s="23"/>
      <c r="C583" s="23"/>
      <c r="D583" s="24"/>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row>
    <row r="584">
      <c r="A584" s="23"/>
      <c r="B584" s="23"/>
      <c r="C584" s="23"/>
      <c r="D584" s="24"/>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row>
    <row r="585">
      <c r="A585" s="23"/>
      <c r="B585" s="23"/>
      <c r="C585" s="23"/>
      <c r="D585" s="24"/>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row>
    <row r="586">
      <c r="A586" s="23"/>
      <c r="B586" s="23"/>
      <c r="C586" s="23"/>
      <c r="D586" s="24"/>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row>
    <row r="587">
      <c r="A587" s="23"/>
      <c r="B587" s="23"/>
      <c r="C587" s="23"/>
      <c r="D587" s="24"/>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row>
    <row r="588">
      <c r="A588" s="23"/>
      <c r="B588" s="23"/>
      <c r="C588" s="23"/>
      <c r="D588" s="24"/>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row>
    <row r="589">
      <c r="A589" s="23"/>
      <c r="B589" s="23"/>
      <c r="C589" s="23"/>
      <c r="D589" s="24"/>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row>
    <row r="590">
      <c r="A590" s="23"/>
      <c r="B590" s="23"/>
      <c r="C590" s="23"/>
      <c r="D590" s="24"/>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row>
    <row r="591">
      <c r="A591" s="23"/>
      <c r="B591" s="23"/>
      <c r="C591" s="23"/>
      <c r="D591" s="24"/>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row>
    <row r="592">
      <c r="A592" s="23"/>
      <c r="B592" s="23"/>
      <c r="C592" s="23"/>
      <c r="D592" s="24"/>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row>
    <row r="593">
      <c r="A593" s="23"/>
      <c r="B593" s="23"/>
      <c r="C593" s="23"/>
      <c r="D593" s="24"/>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row>
    <row r="594">
      <c r="A594" s="23"/>
      <c r="B594" s="23"/>
      <c r="C594" s="23"/>
      <c r="D594" s="24"/>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row>
    <row r="595">
      <c r="A595" s="23"/>
      <c r="B595" s="23"/>
      <c r="C595" s="23"/>
      <c r="D595" s="24"/>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row>
    <row r="596">
      <c r="A596" s="23"/>
      <c r="B596" s="23"/>
      <c r="C596" s="23"/>
      <c r="D596" s="24"/>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row>
    <row r="597">
      <c r="A597" s="23"/>
      <c r="B597" s="23"/>
      <c r="C597" s="23"/>
      <c r="D597" s="24"/>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row>
    <row r="598">
      <c r="A598" s="23"/>
      <c r="B598" s="23"/>
      <c r="C598" s="23"/>
      <c r="D598" s="24"/>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row>
    <row r="599">
      <c r="A599" s="23"/>
      <c r="B599" s="23"/>
      <c r="C599" s="23"/>
      <c r="D599" s="24"/>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row>
    <row r="600">
      <c r="A600" s="23"/>
      <c r="B600" s="23"/>
      <c r="C600" s="23"/>
      <c r="D600" s="24"/>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row>
    <row r="601">
      <c r="A601" s="23"/>
      <c r="B601" s="23"/>
      <c r="C601" s="23"/>
      <c r="D601" s="24"/>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row>
    <row r="602">
      <c r="A602" s="23"/>
      <c r="B602" s="23"/>
      <c r="C602" s="23"/>
      <c r="D602" s="24"/>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row>
    <row r="603">
      <c r="A603" s="23"/>
      <c r="B603" s="23"/>
      <c r="C603" s="23"/>
      <c r="D603" s="24"/>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row>
    <row r="604">
      <c r="A604" s="23"/>
      <c r="B604" s="23"/>
      <c r="C604" s="23"/>
      <c r="D604" s="24"/>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row>
    <row r="605">
      <c r="A605" s="23"/>
      <c r="B605" s="23"/>
      <c r="C605" s="23"/>
      <c r="D605" s="24"/>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row>
    <row r="606">
      <c r="A606" s="23"/>
      <c r="B606" s="23"/>
      <c r="C606" s="23"/>
      <c r="D606" s="24"/>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row>
    <row r="607">
      <c r="A607" s="23"/>
      <c r="B607" s="23"/>
      <c r="C607" s="23"/>
      <c r="D607" s="24"/>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row>
    <row r="608">
      <c r="A608" s="23"/>
      <c r="B608" s="23"/>
      <c r="C608" s="23"/>
      <c r="D608" s="24"/>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row>
    <row r="609">
      <c r="A609" s="23"/>
      <c r="B609" s="23"/>
      <c r="C609" s="23"/>
      <c r="D609" s="24"/>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row>
    <row r="610">
      <c r="A610" s="23"/>
      <c r="B610" s="23"/>
      <c r="C610" s="23"/>
      <c r="D610" s="24"/>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row>
    <row r="611">
      <c r="A611" s="23"/>
      <c r="B611" s="23"/>
      <c r="C611" s="23"/>
      <c r="D611" s="24"/>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row>
    <row r="612">
      <c r="A612" s="23"/>
      <c r="B612" s="23"/>
      <c r="C612" s="23"/>
      <c r="D612" s="24"/>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row>
    <row r="613">
      <c r="A613" s="23"/>
      <c r="B613" s="23"/>
      <c r="C613" s="23"/>
      <c r="D613" s="24"/>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row>
    <row r="614">
      <c r="A614" s="23"/>
      <c r="B614" s="23"/>
      <c r="C614" s="23"/>
      <c r="D614" s="24"/>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row>
    <row r="615">
      <c r="A615" s="23"/>
      <c r="B615" s="23"/>
      <c r="C615" s="23"/>
      <c r="D615" s="24"/>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row>
    <row r="616">
      <c r="A616" s="23"/>
      <c r="B616" s="23"/>
      <c r="C616" s="23"/>
      <c r="D616" s="24"/>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row>
    <row r="617">
      <c r="A617" s="23"/>
      <c r="B617" s="23"/>
      <c r="C617" s="23"/>
      <c r="D617" s="24"/>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row>
    <row r="618">
      <c r="A618" s="23"/>
      <c r="B618" s="23"/>
      <c r="C618" s="23"/>
      <c r="D618" s="24"/>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row>
    <row r="619">
      <c r="A619" s="23"/>
      <c r="B619" s="23"/>
      <c r="C619" s="23"/>
      <c r="D619" s="24"/>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row>
    <row r="620">
      <c r="A620" s="23"/>
      <c r="B620" s="23"/>
      <c r="C620" s="23"/>
      <c r="D620" s="24"/>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row>
    <row r="621">
      <c r="A621" s="23"/>
      <c r="B621" s="23"/>
      <c r="C621" s="23"/>
      <c r="D621" s="24"/>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row>
    <row r="622">
      <c r="A622" s="23"/>
      <c r="B622" s="23"/>
      <c r="C622" s="23"/>
      <c r="D622" s="24"/>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row>
    <row r="623">
      <c r="A623" s="23"/>
      <c r="B623" s="23"/>
      <c r="C623" s="23"/>
      <c r="D623" s="24"/>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row>
    <row r="624">
      <c r="A624" s="23"/>
      <c r="B624" s="23"/>
      <c r="C624" s="23"/>
      <c r="D624" s="24"/>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row>
    <row r="625">
      <c r="A625" s="23"/>
      <c r="B625" s="23"/>
      <c r="C625" s="23"/>
      <c r="D625" s="24"/>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row>
    <row r="626">
      <c r="A626" s="23"/>
      <c r="B626" s="23"/>
      <c r="C626" s="23"/>
      <c r="D626" s="24"/>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row>
    <row r="627">
      <c r="A627" s="23"/>
      <c r="B627" s="23"/>
      <c r="C627" s="23"/>
      <c r="D627" s="24"/>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row>
    <row r="628">
      <c r="A628" s="23"/>
      <c r="B628" s="23"/>
      <c r="C628" s="23"/>
      <c r="D628" s="24"/>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row>
    <row r="629">
      <c r="A629" s="23"/>
      <c r="B629" s="23"/>
      <c r="C629" s="23"/>
      <c r="D629" s="24"/>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row>
    <row r="630">
      <c r="A630" s="23"/>
      <c r="B630" s="23"/>
      <c r="C630" s="23"/>
      <c r="D630" s="24"/>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row>
    <row r="631">
      <c r="A631" s="23"/>
      <c r="B631" s="23"/>
      <c r="C631" s="23"/>
      <c r="D631" s="24"/>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row>
    <row r="632">
      <c r="A632" s="23"/>
      <c r="B632" s="23"/>
      <c r="C632" s="23"/>
      <c r="D632" s="24"/>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row>
    <row r="633">
      <c r="A633" s="23"/>
      <c r="B633" s="23"/>
      <c r="C633" s="23"/>
      <c r="D633" s="24"/>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row>
    <row r="634">
      <c r="A634" s="23"/>
      <c r="B634" s="23"/>
      <c r="C634" s="23"/>
      <c r="D634" s="24"/>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row>
    <row r="635">
      <c r="A635" s="23"/>
      <c r="B635" s="23"/>
      <c r="C635" s="23"/>
      <c r="D635" s="24"/>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row>
    <row r="636">
      <c r="A636" s="23"/>
      <c r="B636" s="23"/>
      <c r="C636" s="23"/>
      <c r="D636" s="24"/>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row>
    <row r="637">
      <c r="A637" s="23"/>
      <c r="B637" s="23"/>
      <c r="C637" s="23"/>
      <c r="D637" s="24"/>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row>
    <row r="638">
      <c r="A638" s="23"/>
      <c r="B638" s="23"/>
      <c r="C638" s="23"/>
      <c r="D638" s="24"/>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row>
    <row r="639">
      <c r="A639" s="23"/>
      <c r="B639" s="23"/>
      <c r="C639" s="23"/>
      <c r="D639" s="24"/>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row>
    <row r="640">
      <c r="A640" s="23"/>
      <c r="B640" s="23"/>
      <c r="C640" s="23"/>
      <c r="D640" s="24"/>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row>
    <row r="641">
      <c r="A641" s="23"/>
      <c r="B641" s="23"/>
      <c r="C641" s="23"/>
      <c r="D641" s="24"/>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row>
    <row r="642">
      <c r="A642" s="23"/>
      <c r="B642" s="23"/>
      <c r="C642" s="23"/>
      <c r="D642" s="24"/>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row>
    <row r="643">
      <c r="A643" s="23"/>
      <c r="B643" s="23"/>
      <c r="C643" s="23"/>
      <c r="D643" s="24"/>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row>
    <row r="644">
      <c r="A644" s="23"/>
      <c r="B644" s="23"/>
      <c r="C644" s="23"/>
      <c r="D644" s="24"/>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row>
    <row r="645">
      <c r="A645" s="23"/>
      <c r="B645" s="23"/>
      <c r="C645" s="23"/>
      <c r="D645" s="24"/>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row>
    <row r="646">
      <c r="A646" s="23"/>
      <c r="B646" s="23"/>
      <c r="C646" s="23"/>
      <c r="D646" s="24"/>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row>
    <row r="647">
      <c r="A647" s="23"/>
      <c r="B647" s="23"/>
      <c r="C647" s="23"/>
      <c r="D647" s="24"/>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row>
    <row r="648">
      <c r="A648" s="23"/>
      <c r="B648" s="23"/>
      <c r="C648" s="23"/>
      <c r="D648" s="24"/>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row>
    <row r="649">
      <c r="A649" s="23"/>
      <c r="B649" s="23"/>
      <c r="C649" s="23"/>
      <c r="D649" s="24"/>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row>
    <row r="650">
      <c r="A650" s="23"/>
      <c r="B650" s="23"/>
      <c r="C650" s="23"/>
      <c r="D650" s="24"/>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row>
    <row r="651">
      <c r="A651" s="23"/>
      <c r="B651" s="23"/>
      <c r="C651" s="23"/>
      <c r="D651" s="24"/>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row>
    <row r="652">
      <c r="A652" s="23"/>
      <c r="B652" s="23"/>
      <c r="C652" s="23"/>
      <c r="D652" s="24"/>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row>
    <row r="653">
      <c r="A653" s="23"/>
      <c r="B653" s="23"/>
      <c r="C653" s="23"/>
      <c r="D653" s="24"/>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row>
    <row r="654">
      <c r="A654" s="23"/>
      <c r="B654" s="23"/>
      <c r="C654" s="23"/>
      <c r="D654" s="24"/>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row>
    <row r="655">
      <c r="A655" s="23"/>
      <c r="B655" s="23"/>
      <c r="C655" s="23"/>
      <c r="D655" s="24"/>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row>
    <row r="656">
      <c r="A656" s="23"/>
      <c r="B656" s="23"/>
      <c r="C656" s="23"/>
      <c r="D656" s="24"/>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row>
    <row r="657">
      <c r="A657" s="23"/>
      <c r="B657" s="23"/>
      <c r="C657" s="23"/>
      <c r="D657" s="24"/>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row>
    <row r="658">
      <c r="A658" s="23"/>
      <c r="B658" s="23"/>
      <c r="C658" s="23"/>
      <c r="D658" s="24"/>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row>
    <row r="659">
      <c r="A659" s="23"/>
      <c r="B659" s="23"/>
      <c r="C659" s="23"/>
      <c r="D659" s="24"/>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row>
    <row r="660">
      <c r="A660" s="23"/>
      <c r="B660" s="23"/>
      <c r="C660" s="23"/>
      <c r="D660" s="24"/>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row>
    <row r="661">
      <c r="A661" s="23"/>
      <c r="B661" s="23"/>
      <c r="C661" s="23"/>
      <c r="D661" s="24"/>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row>
    <row r="662">
      <c r="A662" s="23"/>
      <c r="B662" s="23"/>
      <c r="C662" s="23"/>
      <c r="D662" s="24"/>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row>
    <row r="663">
      <c r="A663" s="23"/>
      <c r="B663" s="23"/>
      <c r="C663" s="23"/>
      <c r="D663" s="24"/>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row>
    <row r="664">
      <c r="A664" s="23"/>
      <c r="B664" s="23"/>
      <c r="C664" s="23"/>
      <c r="D664" s="24"/>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row>
    <row r="665">
      <c r="A665" s="23"/>
      <c r="B665" s="23"/>
      <c r="C665" s="23"/>
      <c r="D665" s="24"/>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row>
    <row r="666">
      <c r="A666" s="23"/>
      <c r="B666" s="23"/>
      <c r="C666" s="23"/>
      <c r="D666" s="24"/>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row>
    <row r="667">
      <c r="A667" s="23"/>
      <c r="B667" s="23"/>
      <c r="C667" s="23"/>
      <c r="D667" s="24"/>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row>
    <row r="668">
      <c r="A668" s="23"/>
      <c r="B668" s="23"/>
      <c r="C668" s="23"/>
      <c r="D668" s="24"/>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row>
    <row r="669">
      <c r="A669" s="23"/>
      <c r="B669" s="23"/>
      <c r="C669" s="23"/>
      <c r="D669" s="24"/>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row>
    <row r="670">
      <c r="A670" s="23"/>
      <c r="B670" s="23"/>
      <c r="C670" s="23"/>
      <c r="D670" s="24"/>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row>
    <row r="671">
      <c r="A671" s="23"/>
      <c r="B671" s="23"/>
      <c r="C671" s="23"/>
      <c r="D671" s="24"/>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row>
    <row r="672">
      <c r="A672" s="23"/>
      <c r="B672" s="23"/>
      <c r="C672" s="23"/>
      <c r="D672" s="24"/>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row>
    <row r="673">
      <c r="A673" s="23"/>
      <c r="B673" s="23"/>
      <c r="C673" s="23"/>
      <c r="D673" s="24"/>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row>
    <row r="674">
      <c r="A674" s="23"/>
      <c r="B674" s="23"/>
      <c r="C674" s="23"/>
      <c r="D674" s="24"/>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row>
    <row r="675">
      <c r="A675" s="23"/>
      <c r="B675" s="23"/>
      <c r="C675" s="23"/>
      <c r="D675" s="24"/>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row>
    <row r="676">
      <c r="A676" s="23"/>
      <c r="B676" s="23"/>
      <c r="C676" s="23"/>
      <c r="D676" s="24"/>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row>
    <row r="677">
      <c r="A677" s="23"/>
      <c r="B677" s="23"/>
      <c r="C677" s="23"/>
      <c r="D677" s="24"/>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row>
    <row r="678">
      <c r="A678" s="23"/>
      <c r="B678" s="23"/>
      <c r="C678" s="23"/>
      <c r="D678" s="24"/>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row>
    <row r="679">
      <c r="A679" s="23"/>
      <c r="B679" s="23"/>
      <c r="C679" s="23"/>
      <c r="D679" s="24"/>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row>
    <row r="680">
      <c r="A680" s="23"/>
      <c r="B680" s="23"/>
      <c r="C680" s="23"/>
      <c r="D680" s="24"/>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row>
    <row r="681">
      <c r="A681" s="23"/>
      <c r="B681" s="23"/>
      <c r="C681" s="23"/>
      <c r="D681" s="24"/>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row>
    <row r="682">
      <c r="A682" s="23"/>
      <c r="B682" s="23"/>
      <c r="C682" s="23"/>
      <c r="D682" s="24"/>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row>
    <row r="683">
      <c r="A683" s="23"/>
      <c r="B683" s="23"/>
      <c r="C683" s="23"/>
      <c r="D683" s="24"/>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row>
    <row r="684">
      <c r="A684" s="23"/>
      <c r="B684" s="23"/>
      <c r="C684" s="23"/>
      <c r="D684" s="24"/>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row>
    <row r="685">
      <c r="A685" s="23"/>
      <c r="B685" s="23"/>
      <c r="C685" s="23"/>
      <c r="D685" s="24"/>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row>
    <row r="686">
      <c r="A686" s="23"/>
      <c r="B686" s="23"/>
      <c r="C686" s="23"/>
      <c r="D686" s="24"/>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row>
    <row r="687">
      <c r="A687" s="23"/>
      <c r="B687" s="23"/>
      <c r="C687" s="23"/>
      <c r="D687" s="24"/>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row>
    <row r="688">
      <c r="A688" s="23"/>
      <c r="B688" s="23"/>
      <c r="C688" s="23"/>
      <c r="D688" s="24"/>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row>
    <row r="689">
      <c r="A689" s="23"/>
      <c r="B689" s="23"/>
      <c r="C689" s="23"/>
      <c r="D689" s="24"/>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row>
    <row r="690">
      <c r="A690" s="23"/>
      <c r="B690" s="23"/>
      <c r="C690" s="23"/>
      <c r="D690" s="24"/>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row>
    <row r="691">
      <c r="A691" s="23"/>
      <c r="B691" s="23"/>
      <c r="C691" s="23"/>
      <c r="D691" s="24"/>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row>
    <row r="692">
      <c r="A692" s="23"/>
      <c r="B692" s="23"/>
      <c r="C692" s="23"/>
      <c r="D692" s="24"/>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row>
    <row r="693">
      <c r="A693" s="23"/>
      <c r="B693" s="23"/>
      <c r="C693" s="23"/>
      <c r="D693" s="24"/>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row>
    <row r="694">
      <c r="A694" s="23"/>
      <c r="B694" s="23"/>
      <c r="C694" s="23"/>
      <c r="D694" s="24"/>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row>
    <row r="695">
      <c r="A695" s="23"/>
      <c r="B695" s="23"/>
      <c r="C695" s="23"/>
      <c r="D695" s="24"/>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row>
    <row r="696">
      <c r="A696" s="23"/>
      <c r="B696" s="23"/>
      <c r="C696" s="23"/>
      <c r="D696" s="24"/>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row>
    <row r="697">
      <c r="A697" s="23"/>
      <c r="B697" s="23"/>
      <c r="C697" s="23"/>
      <c r="D697" s="24"/>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row>
    <row r="698">
      <c r="A698" s="23"/>
      <c r="B698" s="23"/>
      <c r="C698" s="23"/>
      <c r="D698" s="24"/>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row>
    <row r="699">
      <c r="A699" s="23"/>
      <c r="B699" s="23"/>
      <c r="C699" s="23"/>
      <c r="D699" s="24"/>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row>
    <row r="700">
      <c r="A700" s="23"/>
      <c r="B700" s="23"/>
      <c r="C700" s="23"/>
      <c r="D700" s="24"/>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row>
    <row r="701">
      <c r="A701" s="23"/>
      <c r="B701" s="23"/>
      <c r="C701" s="23"/>
      <c r="D701" s="24"/>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row>
    <row r="702">
      <c r="A702" s="23"/>
      <c r="B702" s="23"/>
      <c r="C702" s="23"/>
      <c r="D702" s="24"/>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row>
    <row r="703">
      <c r="A703" s="23"/>
      <c r="B703" s="23"/>
      <c r="C703" s="23"/>
      <c r="D703" s="24"/>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row>
    <row r="704">
      <c r="A704" s="23"/>
      <c r="B704" s="23"/>
      <c r="C704" s="23"/>
      <c r="D704" s="24"/>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row>
    <row r="705">
      <c r="A705" s="23"/>
      <c r="B705" s="23"/>
      <c r="C705" s="23"/>
      <c r="D705" s="24"/>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row>
    <row r="706">
      <c r="A706" s="23"/>
      <c r="B706" s="23"/>
      <c r="C706" s="23"/>
      <c r="D706" s="24"/>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row>
    <row r="707">
      <c r="A707" s="23"/>
      <c r="B707" s="23"/>
      <c r="C707" s="23"/>
      <c r="D707" s="24"/>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row>
    <row r="708">
      <c r="A708" s="23"/>
      <c r="B708" s="23"/>
      <c r="C708" s="23"/>
      <c r="D708" s="24"/>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row>
    <row r="709">
      <c r="A709" s="23"/>
      <c r="B709" s="23"/>
      <c r="C709" s="23"/>
      <c r="D709" s="24"/>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row>
    <row r="710">
      <c r="A710" s="23"/>
      <c r="B710" s="23"/>
      <c r="C710" s="23"/>
      <c r="D710" s="24"/>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row>
  </sheetData>
  <drawing r:id="rId1"/>
  <tableParts count="11">
    <tablePart r:id="rId13"/>
    <tablePart r:id="rId14"/>
    <tablePart r:id="rId15"/>
    <tablePart r:id="rId16"/>
    <tablePart r:id="rId17"/>
    <tablePart r:id="rId18"/>
    <tablePart r:id="rId19"/>
    <tablePart r:id="rId20"/>
    <tablePart r:id="rId21"/>
    <tablePart r:id="rId22"/>
    <tablePart r:id="rId23"/>
  </tableParts>
</worksheet>
</file>