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iwei Profiles" sheetId="1" r:id="rId5"/>
  </sheets>
  <definedNames/>
  <calcPr/>
</workbook>
</file>

<file path=xl/sharedStrings.xml><?xml version="1.0" encoding="utf-8"?>
<sst xmlns="http://schemas.openxmlformats.org/spreadsheetml/2006/main" count="268" uniqueCount="152">
  <si>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</si>
  <si>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</si>
  <si>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</si>
  <si>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</si>
  <si>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</si>
  <si>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</si>
  <si>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</si>
  <si>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</si>
  <si>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</si>
  <si>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</si>
  <si>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</si>
  <si>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</si>
  <si>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</si>
  <si>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</si>
  <si>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</si>
  <si>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</si>
  <si>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</si>
  <si>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</si>
  <si>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</si>
  <si>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</si>
  <si>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</si>
  <si>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</si>
  <si>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</si>
  <si>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</si>
  <si>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</si>
  <si>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</si>
  <si>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</si>
  <si>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</si>
  <si>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</si>
  <si>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</si>
  <si>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TP5314-DS</t>
  </si>
  <si>
    <t>Aluminium Trimless Plaster Profile</t>
  </si>
  <si>
    <t>simple</t>
  </si>
  <si>
    <t>Trimless</t>
  </si>
  <si>
    <t>draft</t>
  </si>
  <si>
    <t>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</si>
  <si>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Transform your home into a breathtaking visual journey. Experience discreet luxury and a sophisticated, seamless glow that beautifully enhances your elegant spaces.</t>
  </si>
  <si>
    <t>Double-Sided | 53mm (W) x 14mm (H) | Silver</t>
  </si>
  <si>
    <t>Channel Configuration|Dimension|Finish</t>
  </si>
  <si>
    <t>{"Channel Configuration": "Double-Sided", "Dimension": "53mm (W) x 14mm (H)", "Finish": "Silver", "SKU": "TP5314-DS"}</t>
  </si>
  <si>
    <t>{"Options": {"Channel Configuration": [{"name": "Double-Sided", "id": "101"}], "Dimension": [{"name": "53mm (W) x 14mm (H)", "id": "102"}], "Finish": [{"name": "Silver", "id": "103"}]}, "Constraints": {}, "sku_mappings": [{"sku": "TP5314-DS", "combination": ["101", "102", "103"]}]}</t>
  </si>
  <si>
    <t>BAIWEI</t>
  </si>
  <si>
    <t>L200</t>
  </si>
  <si>
    <t>No</t>
  </si>
  <si>
    <t>Trimless LED profile, Plaster-in aluminum channel, Double-sided LED profile, Architectural plaster channel, Recessed profile lighting, Seamless LED channel</t>
  </si>
  <si>
    <t>TP3414-SS-BEND</t>
  </si>
  <si>
    <t>Transform your interior spaces with an elegant blend of modern design and subtle sophistication. This premium lighting profile integrates effortlessly into plasterwork to create a seamless, floating glow that gracefully elevates your architecture. Designed for those who value discreet luxury and refined detail, it bathes your surroundings in a soothing, captivating ambiance, bringing an inviting warmth and breathtaking style to every corner of your home.</t>
  </si>
  <si>
    <t>Elevate your space with an elegant, seamless glow. Experience subtle sophistication and discreet luxury that gracefully accentuates every corner of your home.</t>
  </si>
  <si>
    <t>Bendable Single-Sided | 34.4mm (W) x 14mm (H) | Silver</t>
  </si>
  <si>
    <t>{"Channel Configuration": "Bendable Single-Sided", "Dimension": "34.4mm (W) x 14mm (H)", "Finish": "Silver", "SKU": "TP3414-SS-BEND"}</t>
  </si>
  <si>
    <t>{"Options": {"Channel Configuration": [{"name": "Bendable Single-Sided", "id": "101"}], "Dimension": [{"name": "34.4mm (W) x 14mm (H)", "id": "102"}], "Finish": [{"name": "Silver", "id": "103"}]}, "Constraints": {}, "sku_mappings": [{"sku": "TP3414-SS-BEND", "combination": ["101", "102", "103"]}]}</t>
  </si>
  <si>
    <t>L872</t>
  </si>
  <si>
    <t>Bendable single-sided profile, Trimless plaster LED channel, Flexible plaster-in channel, Recessed aluminum profile, Architectural plaster lighting, Seamless bendable LED channel</t>
  </si>
  <si>
    <t>TP5113-DS-BEND</t>
  </si>
  <si>
    <t>Elevate your interior design with an extraordinary lighting solution that seamlessly integrates into your space for a sleek, modern finish. Designed to bring a touch of discreet luxury, this profile casts a warm, captivating glow that enhances architectural details while creating an inviting atmosphere. Perfect for creating fluid, elegant curves of light, it transforms any room into a sophisticated sanctuary of style and comfort.</t>
  </si>
  <si>
    <t>Elevate your home with seamless, fluid light. Experience discreet luxury and a sophisticated glow that transforms your space into a serene sanctuary of modern style.</t>
  </si>
  <si>
    <t>Bendable Double-Sided | 51mm (W) x 13.1mm (H) | Silver</t>
  </si>
  <si>
    <t>{"Channel Configuration": "Bendable Double-Sided", "Dimension": "51mm (W) x 13.1mm (H)", "Finish": "Silver", "SKU": "TP5113-DS-BEND"}</t>
  </si>
  <si>
    <t>{"Options": {"Channel Configuration": [{"name": "Bendable Double-Sided", "id": "101"}], "Dimension": [{"name": "51mm (W) x 13.1mm (H)", "id": "102"}], "Finish": [{"name": "Silver", "id": "103"}]}, "Constraints": {}, "sku_mappings": [{"sku": "TP5113-DS-BEND", "combination": ["101", "102", "103"]}]}</t>
  </si>
  <si>
    <t>L870</t>
  </si>
  <si>
    <t>Bendable double-sided profile, Trimless plaster LED channel, Double-sided plaster-in profile, Curved aluminum LED channel, Recessed plaster lighting, Architectural double LED channel</t>
  </si>
  <si>
    <t>TP5213-DS-BEND</t>
  </si>
  <si>
    <t>Elevate your interior design with an extraordinary lighting solution that seamlessly integrates into your architecture. Crafted for those who appreciate fluid elegance and discreet luxury, this versatile profile effortlessly bends to outline your space with a captivating, double-sided illumination. Transform any room into a sophisticated retreat filled with warm, ambient radiance and flawless modern style.</t>
  </si>
  <si>
    <t>Elevate your space with fluid elegance and discreet luxury, casting a breathtaking, seamless glow that transforms any room into a sanctuary of modern style.</t>
  </si>
  <si>
    <t>Bendable Double-Sided | 52.6mm (W) x 13.7mm (H) | Silver</t>
  </si>
  <si>
    <t>{"Channel Configuration": "Bendable Double-Sided", "Dimension": "52.6mm (W) x 13.7mm (H)", "Finish": "Silver", "SKU": "TP5213-DS-BEND"}</t>
  </si>
  <si>
    <t>{"Options": {"Channel Configuration": [{"name": "Bendable Double-Sided", "id": "101"}], "Dimension": [{"name": "52.6mm (W) x 13.7mm (H)", "id": "102"}], "Finish": [{"name": "Silver", "id": "103"}]}, "Constraints": {}, "sku_mappings": [{"sku": "TP5213-DS-BEND", "combination": ["101", "102", "103"]}]}</t>
  </si>
  <si>
    <t>L874</t>
  </si>
  <si>
    <t>Flexible double-sided LED profile, Trimless plaster-in aluminum channel, Bendable architectural channel, Recessed double-sided lighting, Seamless plaster LED profile, Curved plaster channel</t>
  </si>
  <si>
    <t>TP6013-DS-BEND</t>
  </si>
  <si>
    <t>Elevate your living space with a seamless blend of modern design and captivating illumination. Designed to effortlessly integrate into your decor, this premium lighting solution bathes your surroundings in a soft, sophisticated glow that highlights the refined beauty of your home. Perfect for creating an inviting ambiance, it offers a touch of discreet luxury and timeless style, transforming any room into a breathtaking sanctuary of warmth and elegance.</t>
  </si>
  <si>
    <t>Elevate your home with seamless elegance and captivating illumination. Experience discreet luxury with a soft, sophisticated glow that enhances any room.</t>
  </si>
  <si>
    <t>Bendable Double-Sided | 60mm (W) x 12.9mm (H) | Silver</t>
  </si>
  <si>
    <t>{"Channel Configuration": "Bendable Double-Sided", "Dimension": "60mm (W) x 12.9mm (H)", "Finish": "Silver", "SKU": "TP6013-DS-BEND"}</t>
  </si>
  <si>
    <t>{"Options": {"Channel Configuration": [{"name": "Bendable Double-Sided", "id": "101"}], "Dimension": [{"name": "60mm (W) x 12.9mm (H)", "id": "102"}], "Finish": [{"name": "Silver", "id": "103"}]}, "Constraints": {}, "sku_mappings": [{"sku": "TP6013-DS-BEND", "combination": ["101", "102", "103"]}]}</t>
  </si>
  <si>
    <t>L878</t>
  </si>
  <si>
    <t>60mm trimless LED channel, Bendable double-sided profile, Plaster-in aluminum LED channel, Recessed architectural profile, Seamless plaster-in lighting, Flexible double LED channel</t>
  </si>
  <si>
    <t>TP6913-DS-BEND</t>
  </si>
  <si>
    <t>Transform your living space into a breathtaking sanctuary of light with this premium architectural lighting solution. Designed to integrate seamlessly into your interior, it casts a warm, sophisticated glow that effortlessly enhances your home's natural beauty and elegance. Perfect for creating an ambiance of subtle luxury, it elevates every room with a captivating aura of warmth, modern refinement, and timeless allure.</t>
  </si>
  <si>
    <t>Transform your home into a breathtaking sanctuary of light. Experience seamless elegance and a sophisticated glow that effortlessly elevates every room with timeless luxury.</t>
  </si>
  <si>
    <t>Bendable Double-Sided | 69mm (W) x 13.5mm (H) | Silver</t>
  </si>
  <si>
    <t>{"Channel Configuration": "Bendable Double-Sided", "Dimension": "69mm (W) x 13.5mm (H)", "Finish": "Silver", "SKU": "TP6913-DS-BEND"}</t>
  </si>
  <si>
    <t>{"Options": {"Channel Configuration": [{"name": "Bendable Double-Sided", "id": "101"}], "Dimension": [{"name": "69mm (W) x 13.5mm (H)", "id": "102"}], "Finish": [{"name": "Silver", "id": "103"}]}, "Constraints": {}, "sku_mappings": [{"sku": "TP6913-DS-BEND", "combination": ["101", "102", "103"]}]}</t>
  </si>
  <si>
    <t>L880</t>
  </si>
  <si>
    <t>Wide trimless LED channel, Bendable double-sided plaster channel, Plaster-in aluminum LED housing, Architectural recessed channel, Flexible double-sided lighting, Seamless plaster channel</t>
  </si>
  <si>
    <t>TP5314-SS</t>
  </si>
  <si>
    <t>Elevate your living space with an exquisite architectural lighting solution that seamlessly merges modern elegance with understated luxury. Designed to effortlessly integrate into your walls or ceilings, this premium profile casts a smooth, sophisticated glow that redefines your interior environment. Perfect for creating a serene and captivating ambiance, it turns ordinary spaces into a breathtaking sanctuary of light, highlighting fine details while maintaining a clean, flawless aesthetic.</t>
  </si>
  <si>
    <t>Elevate your home with seamless modern elegance. Experience discreet luxury and a sophisticated glow that turns any space into a breathtaking sanctuary.</t>
  </si>
  <si>
    <t>Single-Sided | 53mm (W) x 14.5mm (H) | Silver</t>
  </si>
  <si>
    <t>{"Channel Configuration": "Single-Sided", "Dimension": "53mm (W) x 14.5mm (H)", "Finish": "Silver", "SKU": "TP5314-SS"}</t>
  </si>
  <si>
    <t>{"Options": {"Channel Configuration": [{"name": "Single-Sided", "id": "101"}], "Dimension": [{"name": "53mm (W) x 14.5mm (H)", "id": "102"}], "Finish": [{"name": "Silver", "id": "103"}]}, "Constraints": {}, "sku_mappings": [{"sku": "TP5314-SS", "combination": ["101", "102", "103"]}]}</t>
  </si>
  <si>
    <t>L275</t>
  </si>
  <si>
    <t>Single-sided trimless LED profile, Plaster-in aluminum channel, Architectural plaster channel, Recessed profile lighting, Seamless LED channel, Linear plaster-in profile</t>
  </si>
  <si>
    <t>TP3614-SS</t>
  </si>
  <si>
    <t>Transform your living space into a captivating visual masterpiece with a seamless blend of modern elegance and refined design. This sleek lighting channel integrates effortlessly into your walls and ceilings, casting a soft, enchanting radiance that elevates your interior decor. Perfect for creating an inviting and sophisticated ambiance, it adds a touch of discreet luxury to any room, turning simple everyday moments into extraordinary experiences.</t>
  </si>
  <si>
    <t>Transform your living space into a captivating visual masterpiece. Experience discreet luxury and a soft, enchanting glow that effortlessly elevates your interior design.</t>
  </si>
  <si>
    <t>Single-Sided | 36.19mm (W) x 14mm (H) | Silver</t>
  </si>
  <si>
    <t>{"Channel Configuration": "Single-Sided", "Dimension": "36.19mm (W) x 14mm (H)", "Finish": "Silver", "SKU": "TP3614-SS"}</t>
  </si>
  <si>
    <t>{"Options": {"Channel Configuration": [{"name": "Single-Sided", "id": "101"}], "Dimension": [{"name": "36.19mm (W) x 14mm (H)", "id": "102"}], "Finish": [{"name": "Silver", "id": "103"}]}, "Constraints": {}, "sku_mappings": [{"sku": "TP3614-SS", "combination": ["101", "102", "103"]}]}</t>
  </si>
  <si>
    <t>L606</t>
  </si>
  <si>
    <t>Trimless aluminium profile, Plaster-in LED channel, Single-sided lighting profile, Recessed wall profile, Flush architectural channel, Silver LED extrusion</t>
  </si>
  <si>
    <t>TP6213-SS</t>
  </si>
  <si>
    <t>Transform your architectural spaces into a breathtaking visual journey with a perfect blend of elegance and modern design. This premium lighting solution offers seamless trimless integration into your walls and ceilings, casting a warm, sophisticated glow that effortlessly enhances the natural beauty of your environment. Crafted for those who appreciate discreet luxury and refined detail, it adds an unparalleled touch of ambiance, warmth, and captivating style to any setting, making it the ultimate choice for elevated modern illumination.</t>
  </si>
  <si>
    <t>Transform your home into a breathtaking visual journey. Experience discreet luxury and a sophisticated glow that beautifully enhances your space.</t>
  </si>
  <si>
    <t>Single-Sided | 62mm (W) x 13mm (H) | Silver</t>
  </si>
  <si>
    <t>{"Channel Configuration": "Single-Sided", "Dimension": "62mm (W) x 13mm (H)", "Finish": "Silver", "SKU": "TP6213-SS"}</t>
  </si>
  <si>
    <t>{"Options": {"Channel Configuration": [{"name": "Single-Sided", "id": "101"}], "Dimension": [{"name": "62mm (W) x 13mm (H)", "id": "102"}], "Finish": [{"name": "Silver", "id": "103"}]}, "Constraints": {}, "sku_mappings": [{"sku": "TP6213-SS", "combination": ["101", "102", "103"]}]}</t>
  </si>
  <si>
    <t>L548</t>
  </si>
  <si>
    <t>Wide trimless profile, Plaster-in aluminum channel, Seamless ceiling channel, Architectural LED profile, Recessed plaster profile, Flush LED extrusion</t>
  </si>
  <si>
    <t>TP5815-SS</t>
  </si>
  <si>
    <t>Elevate your interior design with an exquisite lighting solution that seamlessly merges modern sophistication with subtle luxury. Designed to blend effortlessly into your architecture, this sleek profile casts a captivating, soft radiance that beautifully accentuates clean lines and refined spaces. Perfect for creating an enchanting, warm atmosphere, it transforms any room into a serene sanctuary of light, offering an elevated visual experience for those who appreciate discreet elegance and impeccable style.</t>
  </si>
  <si>
    <t>Elevate your interior design with an exquisite lighting solution that merges modern sophistication with subtle luxury, creating a serene, warm sanctuary in your home.</t>
  </si>
  <si>
    <t>53mm (W) x 16mm (H) | Silver</t>
  </si>
  <si>
    <t>Dimension|Finish</t>
  </si>
  <si>
    <t>{"Dimension": "53mm (W) x 16mm (H)", "Finish": "Silver", "SKU": "TP5815-SS"}</t>
  </si>
  <si>
    <t>{"Options": {"Dimension": [{"name": "53mm (W) x 16mm (H)", "id": "101"}], "Finish": [{"name": "Silver", "id": "102"}]}, "Constraints": {}, "sku_mappings": [{"sku": "TP5815-SS", "combination": ["101", "102"]}]}</t>
  </si>
  <si>
    <t>L866</t>
  </si>
  <si>
    <t>Plaster-in LED extrusion, Trimless aluminum profile, Flush wall channel, Recessed lighting profile, Modern plaster channel, Silver LED profile</t>
  </si>
  <si>
    <t>TP11636-SS-DL</t>
  </si>
  <si>
    <t>Elevate your interior design with an extraordinary lighting solution that seamlessly merges modern sophistication with subtle luxury. Engineered for a sleek, flush integration into your walls or ceilings, this premium plaster-in profile casts a soft, captivating radiance that brings warmth and depth to any architectural space. Perfect for creating ambient atmosphere and highlighting elegant contours, it offers a discreet yet impactful touch of refinement, transforming ordinary rooms into stunning, light-filled sanctuaries of style.</t>
  </si>
  <si>
    <t>Elevate your home into a glowing sanctuary of modern luxury and discreet elegance with seamless, captivating radiance.</t>
  </si>
  <si>
    <t>Single-Side &amp; Dual LED | 116.1mm (W) x 36.5mm (H) | Silver</t>
  </si>
  <si>
    <t>{"Channel Configuration": "Single-Side &amp; Dual LED", "Dimension": "116.1mm (W) x 36.5mm (H)", "Finish": "Silver", "SKU": "TP11636-SS-DL"}</t>
  </si>
  <si>
    <t>{"Options": {"Channel Configuration": [{"name": "Single-Side &amp; Dual LED", "id": "101"}], "Dimension": [{"name": "116.1mm (W) x 36.5mm (H)", "id": "102"}], "Finish": [{"name": "Silver", "id": "103"}]}, "Constraints": {}, "sku_mappings": [{"sku": "TP11636-SS-DL", "combination": ["101", "102", "103"]}]}</t>
  </si>
  <si>
    <t>L730</t>
  </si>
  <si>
    <t>Dual LED plaster profile, Wide trimless channel, Plaster-in architectural profile, Single-side dual strip profile, Recessed LED channel, Silver extrusion</t>
  </si>
  <si>
    <t>TP6014-DS-BEND</t>
  </si>
  <si>
    <t>Transform your living spaces into a breathtaking sanctuary of light with this premium architectural lighting solution. Designed for those who cherish discreet luxury and sophisticated elegance, it seamlessly integrates into your environment to create an enchanting play of light and shadow. Bathe your home in a warm, inviting glow that effortlessly highlights your unique decor and elevates the ambiance of any room, making every moment spent at home feel like a tranquil, high-end retreat.</t>
  </si>
  <si>
    <t>Transform your home into a breathtaking sanctuary of light. Enjoy discreet luxury and an enchanting glow that effortlessly elevates the ambiance of any room.</t>
  </si>
  <si>
    <t>Bendable Double-Sided | 60mm (W) x 14.7mm (H) | Silver</t>
  </si>
  <si>
    <t>{"Channel Configuration": "Bendable Double-Sided", "Dimension": "60mm (W) x 14.7mm (H)", "Finish": "Silver", "SKU": "TP6014-DS-BEND"}</t>
  </si>
  <si>
    <t>{"Options": {"Channel Configuration": [{"name": "Bendable Double-Sided", "id": "101"}], "Dimension": [{"name": "60mm (W) x 14.7mm (H)", "id": "102"}], "Finish": [{"name": "Silver", "id": "103"}]}, "Constraints": {}, "sku_mappings": [{"sku": "TP6014-DS-BEND", "combination": ["101", "102", "103"]}]}</t>
  </si>
  <si>
    <t>L886</t>
  </si>
  <si>
    <t>Bendable LED profile, Flexible plaster channel, Double-sided trimless profile, Curved plaster-in profile, Architectural bendable channel, Recessed flexible channel</t>
  </si>
  <si>
    <t>SKR1370</t>
  </si>
  <si>
    <t>Aluminium Skirting Trimless Plaster Profile</t>
  </si>
  <si>
    <t>Skirting Trimless</t>
  </si>
  <si>
    <t>Dive into an enchanting oasis of light and luxury with our premium illumination solution. Designed to effortlessly elevate your living experience, it bathes your retreat in a warm, sophisticated radiance that creates an unparalleled ambiance. Perfect for those with a discerning eye for discreet elegance, this seamless lighting design adds a breathtaking allure and a serene, captivating glow to every evening, turning any space into a welcoming sanctuary of modern style.</t>
  </si>
  <si>
    <t>Dive into an enchanting oasis of light and luxury. Elevate your retreat into a sophisticated, glowing sanctuary, adding breathtaking allure and serene ambiance to every evening.</t>
  </si>
  <si>
    <t>13.1mm (W) x 70mm (H) | Silver</t>
  </si>
  <si>
    <t>{"Dimension": "13.1mm (W) x 70mm (H)", "Finish": "Silver", "SKU": "SKR1370"}</t>
  </si>
  <si>
    <t>{"Options": {"Dimension": [{"name": "13.1mm (W) x 70mm (H)", "id": "101"}], "Finish": [{"name": "Silver", "id": "102"}]}, "Constraints": {}, "sku_mappings": [{"sku": "SKR1370", "combination": ["101", "102"]}]}</t>
  </si>
  <si>
    <t>L835</t>
  </si>
  <si>
    <t>Skirting LED profile, Plaster-in skirting channel, Aluminium baseboard profile, Trimless skirting light, Floor-level plaster channel, Architectural skirting profile</t>
  </si>
  <si>
    <t>SKR1580</t>
  </si>
  <si>
    <t>Elevate your interior design with an elegant fusion of modern luxury and subtle sophistication. This premium trimless skirting illumination solution seamlessly embeds into your walls, casting a warm, floating glow that gracefully accentuates your space. Crafted for those who appreciate understated elegance and refined architectural detail, it transforms any room into a breathtaking sanctuary of light and style.</t>
  </si>
  <si>
    <t>Elevate your space with an elegant fusion of modern luxury and subtle sophistication, creating a breathtaking, floating sanctuary of light.</t>
  </si>
  <si>
    <t>15.5mm (W) x 80mm (H) | Silver</t>
  </si>
  <si>
    <t>{"Dimension": "15.5mm (W) x 80mm (H)", "Finish": "Silver", "SKU": "SKR1580"}</t>
  </si>
  <si>
    <t>{"Options": {"Dimension": [{"name": "15.5mm (W) x 80mm (H)", "id": "101"}], "Finish": [{"name": "Silver", "id": "102"}]}, "Constraints": {}, "sku_mappings": [{"sku": "SKR1580", "combination": ["101", "102"]}]}</t>
  </si>
  <si>
    <t>L512</t>
  </si>
  <si>
    <t>Skirting LED profile, Plaster-in skirting channel, Aluminium baseboard profile, Trimless skirting light, Floor-level plaster channel, Recessed baseboard profile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</si>
</sst>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DM Sans"/>
    </font>
    <font>
      <sz val="11.0"/>
      <color theme="1"/>
      <name val="Roboto"/>
    </font>
    <font>
      <color theme="1"/>
      <name val="Arial"/>
      <scheme val="minor"/>
    </font>
    <font>
      <sz val="11.0"/>
      <color theme="1"/>
      <name val="Aptos Narrow"/>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7" fontId="5" numFmtId="0" xfId="0" applyAlignment="1" applyBorder="1" applyFill="1" applyFont="1">
      <alignment readingOrder="0" shrinkToFit="0" vertical="center" wrapText="1"/>
    </xf>
    <xf borderId="1" fillId="6"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6" fontId="6"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5" numFmtId="0" xfId="0" applyAlignment="1" applyBorder="1" applyFont="1">
      <alignment shrinkToFit="0" vertical="center" wrapText="1"/>
    </xf>
    <xf borderId="1" fillId="9" fontId="8" numFmtId="0" xfId="0" applyAlignment="1" applyBorder="1" applyFill="1" applyFont="1">
      <alignment shrinkToFit="0" wrapText="1"/>
    </xf>
    <xf borderId="1" fillId="9" fontId="7" numFmtId="0" xfId="0" applyAlignment="1" applyBorder="1" applyFill="1" applyFont="1">
      <alignment shrinkToFit="0" wrapText="1"/>
    </xf>
    <xf borderId="1" fillId="0" fontId="5" numFmtId="0" xfId="0" applyAlignment="1" applyBorder="1" applyFont="1">
      <alignment readingOrder="0" shrinkToFit="0" vertical="center" wrapText="1"/>
    </xf>
    <xf borderId="1" fillId="9" fontId="9" numFmtId="0" xfId="0" applyAlignment="1" applyBorder="1" applyFill="1" applyFont="1">
      <alignment horizontal="center"/>
    </xf>
    <xf borderId="1" fillId="0" fontId="10" numFmtId="0" xfId="0" applyBorder="1" applyFont="1"/>
    <xf borderId="1" fillId="9" fontId="11" numFmtId="0" xfId="0" applyBorder="1" applyFill="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Baiwei Profiles-style">
      <tableStyleElement dxfId="1" type="firstRowStripe"/>
      <tableStyleElement dxfId="2" type="secondRowStripe"/>
    </tableStyle>
    <tableStyle count="2" pivot="0" name="Baiwei Profiles-style 2">
      <tableStyleElement dxfId="1" type="firstRowStripe"/>
      <tableStyleElement dxfId="2" type="secondRowStripe"/>
    </tableStyle>
    <tableStyle count="2" pivot="0" name="Baiwei Profiles-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A15"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Baiwei Profiles-style" showColumnStripes="0" showFirstColumn="1" showLastColumn="1" showRowStripes="1"/>
</table>
</file>

<file path=xl/tables/table2.xml><?xml version="1.0" encoding="utf-8"?>
<table xmlns="http://schemas.openxmlformats.org/spreadsheetml/2006/main" headerRowCount="0" ref="AC2:AD2" displayName="Table_2" name="Table_2" id="2">
  <tableColumns count="2">
    <tableColumn name="Column1" id="1"/>
    <tableColumn name="Column2" id="2"/>
  </tableColumns>
  <tableStyleInfo name="Baiwei Profiles-style 2" showColumnStripes="0" showFirstColumn="1" showLastColumn="1" showRowStripes="1"/>
</table>
</file>

<file path=xl/tables/table3.xml><?xml version="1.0" encoding="utf-8"?>
<table xmlns="http://schemas.openxmlformats.org/spreadsheetml/2006/main" headerRowCount="0" ref="M19:M44" displayName="Table_3" name="Table_3" id="3">
  <tableColumns count="1">
    <tableColumn name="Column1" id="1"/>
  </tableColumns>
  <tableStyleInfo name="Baiwei Profil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13"/>
    <col customWidth="1" min="2" max="2" width="39.75"/>
    <col customWidth="1" min="3" max="3" width="11.75"/>
    <col customWidth="1" min="4" max="4" width="18.5"/>
    <col customWidth="1" min="5" max="5" width="9.25"/>
    <col customWidth="1" min="6" max="9" width="50.13"/>
    <col customWidth="1" min="10" max="11" width="28.75"/>
    <col customWidth="1" min="12" max="12" width="21.75"/>
    <col customWidth="1" min="13" max="13" width="50.13"/>
    <col customWidth="1" min="14" max="15" width="34.75"/>
    <col customWidth="1" min="16" max="24" width="50.13"/>
    <col customWidth="1" min="25" max="27" width="12.63"/>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7" t="s">
        <v>23</v>
      </c>
      <c r="Y1" s="1" t="s">
        <v>24</v>
      </c>
      <c r="Z1" s="1" t="s">
        <v>25</v>
      </c>
      <c r="AA1" s="1" t="s">
        <v>26</v>
      </c>
      <c r="AB1" s="1" t="s">
        <v>27</v>
      </c>
      <c r="AC1" s="8" t="s">
        <v>28</v>
      </c>
      <c r="AD1" s="9" t="s">
        <v>29</v>
      </c>
    </row>
    <row r="2" ht="37.5" customHeight="1">
      <c r="A2" s="10" t="s">
        <v>30</v>
      </c>
      <c r="B2" s="10" t="s">
        <v>31</v>
      </c>
      <c r="C2" s="11" t="s">
        <v>32</v>
      </c>
      <c r="D2" s="11" t="s">
        <v>33</v>
      </c>
      <c r="E2" s="11" t="s">
        <v>34</v>
      </c>
      <c r="F2" s="12"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1" t="s">
        <v>35</v>
      </c>
      <c r="H2" s="12" t="str">
        <f>IFERROR(__xludf.DUMMYFUNCTION("AI(""Give me a paragraph marketing spiel for this product, no tech specs just marketing fluff under 180 characters "")"),"Transform your home into a breathtaking visual journey. Experience discreet luxury and a sophisticated, seamless glow that beautifully enhances your elegant spaces.")</f>
        <v>Transform your home into a breathtaking visual journey. Experience discreet luxury and a sophisticated, seamless glow that beautifully enhances your elegant spaces.</v>
      </c>
      <c r="I2" s="11" t="s">
        <v>36</v>
      </c>
      <c r="J2" s="11"/>
      <c r="K2" s="11"/>
      <c r="L2" s="13" t="s">
        <v>30</v>
      </c>
      <c r="M2" s="13" t="s">
        <v>37</v>
      </c>
      <c r="N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""&amp;M2)"),"Channel Configuration|Dimension|Finish")</f>
        <v>Channel Configuration|Dimension|Finish</v>
      </c>
      <c r="O2" s="15" t="s">
        <v>38</v>
      </c>
      <c r="P2"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""&amp;L2"&amp;")"),"{""Channel Configuration"": ""Double-Sided"", ""Dimension"": ""53mm (W) x 14mm (H)"", ""Finish"": ""Silver"", ""SKU"": ""TP5314-DS""}")</f>
        <v>{"Channel Configuration": "Double-Sided", "Dimension": "53mm (W) x 14mm (H)", "Finish": "Silver", "SKU": "TP5314-DS"}</v>
      </c>
      <c r="Q2" s="15" t="s">
        <v>39</v>
      </c>
      <c r="R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Q2)"),"{""Channel Configuration"": ""Double-Sided"", ""Dimension"": ""53mm (W) x 14mm (H)"", ""Finish"": ""Silver"", ""SKU"": ""TP5314-DS""}")</f>
        <v>{"Channel Configuration": "Double-Sided", "Dimension": "53mm (W) x 14mm (H)", "Finish": "Silver", "SKU": "TP5314-DS"}</v>
      </c>
      <c r="S2" s="17" t="s">
        <v>39</v>
      </c>
      <c r="T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Q2)"),"{""Options"": {""Channel Configuration"": [{""name"": ""Double-Sided"", ""id"": ""101""}], ""Dimension"": [{""name"": ""53mm (W) x 14mm (H)"", ""id"": ""102""}], ""Finish"": [{""name"": ""Silver"", ""id"": ""103""}]}, ""Constraints"": {}, ""sku_mappings"""&amp;": [{""sku"": ""TP5314-DS"", ""combination"": [""101"", ""102"", ""103""]}]}")</f>
        <v>{"Options": {"Channel Configuration": [{"name": "Double-Sided", "id": "101"}], "Dimension": [{"name": "53mm (W) x 14mm (H)", "id": "102"}], "Finish": [{"name": "Silver", "id": "103"}]}, "Constraints": {}, "sku_mappings": [{"sku": "TP5314-DS", "combination": ["101", "102", "103"]}]}</v>
      </c>
      <c r="U2" s="18" t="s">
        <v>40</v>
      </c>
      <c r="V2" s="19" t="str">
        <f>IFERROR(__xludf.DUMMYFUNCTION("AI(""Extract options object from the json"", U2)"),"{""Channel Configuration"": [{""name"": ""Double-Sided"", ""id"": ""101""}], ""Dimension"": [{""name"": ""53mm (W) x 14mm (H)"", ""id"": ""102""}], ""Finish"": [{""name"": ""Silver"", ""id"": ""103""}]}")</f>
        <v>{"Channel Configuration": [{"name": "Double-Sided", "id": "101"}], "Dimension": [{"name": "53mm (W) x 14mm (H)", "id": "102"}], "Finish": [{"name": "Silver", "id": "103"}]}</v>
      </c>
      <c r="W2" s="19" t="str">
        <f>IFERROR(__xludf.DUMMYFUNCTION("AI(""Extract constraints object from the json"", U2)"),"{}")</f>
        <v>{}</v>
      </c>
      <c r="X2" s="19" t="str">
        <f>IFERROR(__xludf.DUMMYFUNCTION("AI(""Extract sku_mappings object from the json"", U2)"),"[{""sku"": ""TP5314-DS"", ""combination"": [""101"", ""102"", ""103""]}]")</f>
        <v>[{"sku": "TP5314-DS", "combination": ["101", "102", "103"]}]</v>
      </c>
      <c r="Y2" s="17" t="s">
        <v>41</v>
      </c>
      <c r="Z2" s="17" t="s">
        <v>42</v>
      </c>
      <c r="AA2" s="17" t="s">
        <v>43</v>
      </c>
      <c r="AB2" s="20"/>
      <c r="AC2" s="21" t="str">
        <f>IFERROR(__xludf.DUMMYFUNCTION("AI(""Generate 6 powerful unique keywords for the product in this row"")"),"Trimless LED profile, Plaster-in aluminum channel, Double-sided LED profile, Architectural plaster channel, Recessed profile lighting, Seamless LED channel")</f>
        <v>Trimless LED profile, Plaster-in aluminum channel, Double-sided LED profile, Architectural plaster channel, Recessed profile lighting, Seamless LED channel</v>
      </c>
      <c r="AD2" s="22" t="s">
        <v>44</v>
      </c>
    </row>
    <row r="3" ht="37.5" customHeight="1">
      <c r="A3" s="10" t="s">
        <v>45</v>
      </c>
      <c r="B3" s="10" t="s">
        <v>31</v>
      </c>
      <c r="C3" s="11" t="s">
        <v>32</v>
      </c>
      <c r="D3" s="11" t="s">
        <v>33</v>
      </c>
      <c r="E3" s="11" t="s">
        <v>34</v>
      </c>
      <c r="F3" s="12" t="str">
        <f>IFERROR(__xludf.DUMMYFUNCTION("AI(""Give me a paragraph marketing spiel for this product, no tech specs just marketing fluff "")"),"Transform your interior spaces with an elegant blend of modern design and subtle sophistication. This premium lighting profile integrates effortlessly into plasterwork to create a seamless, floating glow that gracefully elevates your architecture. Designe"&amp;"d for those who value discreet luxury and refined detail, it bathes your surroundings in a soothing, captivating ambiance, bringing an inviting warmth and breathtaking style to every corner of your home.")</f>
        <v>Transform your interior spaces with an elegant blend of modern design and subtle sophistication. This premium lighting profile integrates effortlessly into plasterwork to create a seamless, floating glow that gracefully elevates your architecture. Designed for those who value discreet luxury and refined detail, it bathes your surroundings in a soothing, captivating ambiance, bringing an inviting warmth and breathtaking style to every corner of your home.</v>
      </c>
      <c r="G3" s="11" t="s">
        <v>46</v>
      </c>
      <c r="H3" s="12" t="str">
        <f>IFERROR(__xludf.DUMMYFUNCTION("AI(""Give me a paragraph marketing spiel for this product, no tech specs just marketing fluff under 180 characters "")"),"Elevate your space with an elegant, seamless glow. Experience subtle sophistication and discreet luxury that gracefully accentuates every corner of your home.")</f>
        <v>Elevate your space with an elegant, seamless glow. Experience subtle sophistication and discreet luxury that gracefully accentuates every corner of your home.</v>
      </c>
      <c r="I3" s="11" t="s">
        <v>47</v>
      </c>
      <c r="J3" s="11"/>
      <c r="K3" s="11"/>
      <c r="L3" s="13" t="s">
        <v>45</v>
      </c>
      <c r="M3" s="13" t="s">
        <v>48</v>
      </c>
      <c r="N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""&amp;M3)"),"Channel Configuration|Dimension|Finish")</f>
        <v>Channel Configuration|Dimension|Finish</v>
      </c>
      <c r="O3" s="15" t="s">
        <v>38</v>
      </c>
      <c r="P3"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""&amp;L3"&amp;")"),"{""Channel Configuration"": ""Bendable Single-Sided"", ""Dimension"": ""34.4mm (W) x 14mm (H)"", ""Finish"": ""Silver"", ""SKU"": ""TP3414-SS-BEND""}")</f>
        <v>{"Channel Configuration": "Bendable Single-Sided", "Dimension": "34.4mm (W) x 14mm (H)", "Finish": "Silver", "SKU": "TP3414-SS-BEND"}</v>
      </c>
      <c r="Q3" s="15" t="s">
        <v>49</v>
      </c>
      <c r="R3"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Q3)"),"{""Channel Configuration"": ""Bendable Single-Sided"", ""Dimension"": ""34.4mm (W) x 14mm (H)"", ""Finish"": ""Silver"", ""SKU"": ""TP3414-SS-BEND""}")</f>
        <v>{"Channel Configuration": "Bendable Single-Sided", "Dimension": "34.4mm (W) x 14mm (H)", "Finish": "Silver", "SKU": "TP3414-SS-BEND"}</v>
      </c>
      <c r="S3" s="17" t="s">
        <v>49</v>
      </c>
      <c r="T3"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Q3)"),"{""Options"": {""Channel Configuration"": [{""name"": ""Bendable Single-Sided"", ""id"": ""101""}], ""Dimension"": [{""name"": ""34.4mm (W) x 14mm (H)"", ""id"": ""102""}], ""Finish"": [{""name"": ""Silver"", ""id"": ""103""}]}, ""Constraints"": {}, ""sku"&amp;"_mappings"": [{""sku"": ""TP3414-SS-BEND"", ""combination"": [""101"", ""102"", ""103""]}]}")</f>
        <v>{"Options": {"Channel Configuration": [{"name": "Bendable Single-Sided", "id": "101"}], "Dimension": [{"name": "34.4mm (W) x 14mm (H)", "id": "102"}], "Finish": [{"name": "Silver", "id": "103"}]}, "Constraints": {}, "sku_mappings": [{"sku": "TP3414-SS-BEND", "combination": ["101", "102", "103"]}]}</v>
      </c>
      <c r="U3" s="18" t="s">
        <v>50</v>
      </c>
      <c r="V3" s="19" t="str">
        <f>IFERROR(__xludf.DUMMYFUNCTION("AI(""Extract options object from the json"", U3)"),"{""Channel Configuration"": [{""name"": ""Bendable Single-Sided"", ""id"": ""101""}], ""Dimension"": [{""name"": ""34.4mm (W) x 14mm (H)"", ""id"": ""102""}], ""Finish"": [{""name"": ""Silver"", ""id"": ""103""}]}")</f>
        <v>{"Channel Configuration": [{"name": "Bendable Single-Sided", "id": "101"}], "Dimension": [{"name": "34.4mm (W) x 14mm (H)", "id": "102"}], "Finish": [{"name": "Silver", "id": "103"}]}</v>
      </c>
      <c r="W3" s="19" t="str">
        <f>IFERROR(__xludf.DUMMYFUNCTION("AI(""Extract constraints object from the json"", U3)"),"{}")</f>
        <v>{}</v>
      </c>
      <c r="X3" s="19" t="str">
        <f>IFERROR(__xludf.DUMMYFUNCTION("AI(""Extract sku_mappings object from the json"", U3)"),"[{""sku"": ""TP3414-SS-BEND"", ""combination"": [""101"", ""102"", ""103""]}]")</f>
        <v>[{"sku": "TP3414-SS-BEND", "combination": ["101", "102", "103"]}]</v>
      </c>
      <c r="Y3" s="17" t="s">
        <v>41</v>
      </c>
      <c r="Z3" s="17" t="s">
        <v>51</v>
      </c>
      <c r="AA3" s="17" t="s">
        <v>43</v>
      </c>
      <c r="AB3" s="20"/>
      <c r="AC3" s="21" t="str">
        <f>IFERROR(__xludf.DUMMYFUNCTION("AI(""Generate 6 powerful unique keywords for the product in this row"")"),"Bendable single-sided profile, Trimless plaster LED channel, Flexible plaster-in channel, Recessed aluminum profile, Architectural plaster lighting, Seamless bendable LED channel")</f>
        <v>Bendable single-sided profile, Trimless plaster LED channel, Flexible plaster-in channel, Recessed aluminum profile, Architectural plaster lighting, Seamless bendable LED channel</v>
      </c>
      <c r="AD3" s="20" t="s">
        <v>52</v>
      </c>
    </row>
    <row r="4" ht="37.5" customHeight="1">
      <c r="A4" s="10" t="s">
        <v>53</v>
      </c>
      <c r="B4" s="10" t="s">
        <v>31</v>
      </c>
      <c r="C4" s="11" t="s">
        <v>32</v>
      </c>
      <c r="D4" s="11" t="s">
        <v>33</v>
      </c>
      <c r="E4" s="11" t="s">
        <v>34</v>
      </c>
      <c r="F4" s="12" t="str">
        <f>IFERROR(__xludf.DUMMYFUNCTION("AI(""Give me a paragraph marketing spiel for this product, no tech specs just marketing fluff "")"),"Elevate your interior design with an extraordinary lighting solution that seamlessly integrates into your space for a sleek, modern finish. Designed to bring a touch of discreet luxury, this profile casts a warm, captivating glow that enhances architectur"&amp;"al details while creating an inviting atmosphere. Perfect for creating fluid, elegant curves of light, it transforms any room into a sophisticated sanctuary of style and comfort.")</f>
        <v>Elevate your interior design with an extraordinary lighting solution that seamlessly integrates into your space for a sleek, modern finish. Designed to bring a touch of discreet luxury, this profile casts a warm, captivating glow that enhances architectural details while creating an inviting atmosphere. Perfect for creating fluid, elegant curves of light, it transforms any room into a sophisticated sanctuary of style and comfort.</v>
      </c>
      <c r="G4" s="11" t="s">
        <v>54</v>
      </c>
      <c r="H4" s="12" t="str">
        <f>IFERROR(__xludf.DUMMYFUNCTION("AI(""Give me a paragraph marketing spiel for this product, no tech specs just marketing fluff under 180 characters "")"),"Elevate your home with seamless, fluid light. Experience discreet luxury and a sophisticated glow that transforms your space into a serene sanctuary of modern style.")</f>
        <v>Elevate your home with seamless, fluid light. Experience discreet luxury and a sophisticated glow that transforms your space into a serene sanctuary of modern style.</v>
      </c>
      <c r="I4" s="11" t="s">
        <v>55</v>
      </c>
      <c r="J4" s="11"/>
      <c r="K4" s="11"/>
      <c r="L4" s="13" t="s">
        <v>53</v>
      </c>
      <c r="M4" s="13" t="s">
        <v>56</v>
      </c>
      <c r="N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""&amp;M4)"),"Channel Configuration|Dimension|Finish")</f>
        <v>Channel Configuration|Dimension|Finish</v>
      </c>
      <c r="O4" s="15" t="s">
        <v>38</v>
      </c>
      <c r="P4"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""&amp;L4"&amp;")"),"{""Channel Configuration"": ""Bendable Double-Sided"", ""Dimension"": ""51mm (W) x 13.1mm (H)"", ""Finish"": ""Silver"", ""SKU"": ""TP5113-DS-BEND""}")</f>
        <v>{"Channel Configuration": "Bendable Double-Sided", "Dimension": "51mm (W) x 13.1mm (H)", "Finish": "Silver", "SKU": "TP5113-DS-BEND"}</v>
      </c>
      <c r="Q4" s="15" t="s">
        <v>57</v>
      </c>
      <c r="R4"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Q4)"),"{""Channel Configuration"": ""Bendable Double-Sided"", ""Dimension"": ""51mm (W) x 13.1mm (H)"", ""Finish"": ""Silver"", ""SKU"": ""TP5113-DS-BEND""}")</f>
        <v>{"Channel Configuration": "Bendable Double-Sided", "Dimension": "51mm (W) x 13.1mm (H)", "Finish": "Silver", "SKU": "TP5113-DS-BEND"}</v>
      </c>
      <c r="S4" s="17" t="s">
        <v>57</v>
      </c>
      <c r="T4"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Q4)"),"{""Options"": {""Channel Configuration"": [{""name"": ""Bendable Double-Sided"", ""id"": ""101""}], ""Dimension"": [{""name"": ""51mm (W) x 13.1mm (H)"", ""id"": ""102""}], ""Finish"": [{""name"": ""Silver"", ""id"": ""103""}]}, ""Constraints"": {}, ""sku"&amp;"_mappings"": [{""sku"": ""TP5113-DS-BEND"", ""combination"": [""101"", ""102"", ""103""]}]}")</f>
        <v>{"Options": {"Channel Configuration": [{"name": "Bendable Double-Sided", "id": "101"}], "Dimension": [{"name": "51mm (W) x 13.1mm (H)", "id": "102"}], "Finish": [{"name": "Silver", "id": "103"}]}, "Constraints": {}, "sku_mappings": [{"sku": "TP5113-DS-BEND", "combination": ["101", "102", "103"]}]}</v>
      </c>
      <c r="U4" s="18" t="s">
        <v>58</v>
      </c>
      <c r="V4" s="19" t="str">
        <f>IFERROR(__xludf.DUMMYFUNCTION("AI(""Extract options object from the json"", U4)"),"{""Channel Configuration"": [{""name"": ""Bendable Double-Sided"", ""id"": ""101""}], ""Dimension"": [{""name"": ""51mm (W) x 13.1mm (H)"", ""id"": ""102""}], ""Finish"": [{""name"": ""Silver"", ""id"": ""103""}]}")</f>
        <v>{"Channel Configuration": [{"name": "Bendable Double-Sided", "id": "101"}], "Dimension": [{"name": "51mm (W) x 13.1mm (H)", "id": "102"}], "Finish": [{"name": "Silver", "id": "103"}]}</v>
      </c>
      <c r="W4" s="19" t="str">
        <f>IFERROR(__xludf.DUMMYFUNCTION("AI(""Extract constraints object from the json"", U4)"),"{}")</f>
        <v>{}</v>
      </c>
      <c r="X4" s="19" t="str">
        <f>IFERROR(__xludf.DUMMYFUNCTION("AI(""Extract sku_mappings object from the json"", U4)"),"[{""sku"": ""TP5113-DS-BEND"", ""combination"": [""101"", ""102"", ""103""]}]")</f>
        <v>[{"sku": "TP5113-DS-BEND", "combination": ["101", "102", "103"]}]</v>
      </c>
      <c r="Y4" s="17" t="s">
        <v>41</v>
      </c>
      <c r="Z4" s="17" t="s">
        <v>59</v>
      </c>
      <c r="AA4" s="17" t="s">
        <v>43</v>
      </c>
      <c r="AB4" s="20"/>
      <c r="AC4" s="21" t="str">
        <f>IFERROR(__xludf.DUMMYFUNCTION("AI(""Generate 6 powerful unique keywords for the product in this row"")"),"Bendable double-sided profile, Trimless plaster LED channel, Double-sided plaster-in profile, Curved aluminum LED channel, Recessed plaster lighting, Architectural double LED channel")</f>
        <v>Bendable double-sided profile, Trimless plaster LED channel, Double-sided plaster-in profile, Curved aluminum LED channel, Recessed plaster lighting, Architectural double LED channel</v>
      </c>
      <c r="AD4" s="20" t="s">
        <v>60</v>
      </c>
    </row>
    <row r="5" ht="37.5" customHeight="1">
      <c r="A5" s="10" t="s">
        <v>61</v>
      </c>
      <c r="B5" s="10" t="s">
        <v>31</v>
      </c>
      <c r="C5" s="11" t="s">
        <v>32</v>
      </c>
      <c r="D5" s="11" t="s">
        <v>33</v>
      </c>
      <c r="E5" s="11" t="s">
        <v>34</v>
      </c>
      <c r="F5" s="12" t="str">
        <f>IFERROR(__xludf.DUMMYFUNCTION("AI(""Give me a paragraph marketing spiel for this product, no tech specs just marketing fluff "")"),"Elevate your interior design with an extraordinary lighting solution that seamlessly integrates into your architecture. Crafted for those who appreciate fluid elegance and discreet luxury, this versatile profile effortlessly bends to outline your space wi"&amp;"th a captivating, double-sided illumination. Transform any room into a sophisticated retreat filled with warm, ambient radiance and flawless modern style.")</f>
        <v>Elevate your interior design with an extraordinary lighting solution that seamlessly integrates into your architecture. Crafted for those who appreciate fluid elegance and discreet luxury, this versatile profile effortlessly bends to outline your space with a captivating, double-sided illumination. Transform any room into a sophisticated retreat filled with warm, ambient radiance and flawless modern style.</v>
      </c>
      <c r="G5" s="11" t="s">
        <v>62</v>
      </c>
      <c r="H5" s="12" t="str">
        <f>IFERROR(__xludf.DUMMYFUNCTION("AI(""Give me a paragraph marketing spiel for this product, no tech specs just marketing fluff under 180 characters "")"),"Elevate your space with fluid elegance and discreet luxury, casting a breathtaking, seamless glow that transforms any room into a sanctuary of modern style.")</f>
        <v>Elevate your space with fluid elegance and discreet luxury, casting a breathtaking, seamless glow that transforms any room into a sanctuary of modern style.</v>
      </c>
      <c r="I5" s="11" t="s">
        <v>63</v>
      </c>
      <c r="J5" s="11"/>
      <c r="K5" s="11"/>
      <c r="L5" s="13" t="s">
        <v>61</v>
      </c>
      <c r="M5" s="13" t="s">
        <v>64</v>
      </c>
      <c r="N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""&amp;M5)"),"Channel Configuration|Dimension|Finish")</f>
        <v>Channel Configuration|Dimension|Finish</v>
      </c>
      <c r="O5" s="15" t="s">
        <v>38</v>
      </c>
      <c r="P5"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""&amp;L5"&amp;")"),"{""Channel Configuration"": ""Bendable Double-Sided"", ""Dimension"": ""52.6mm (W) x 13.7mm (H)"", ""Finish"": ""Silver"", ""SKU"": ""TP5213-DS-BEND""}")</f>
        <v>{"Channel Configuration": "Bendable Double-Sided", "Dimension": "52.6mm (W) x 13.7mm (H)", "Finish": "Silver", "SKU": "TP5213-DS-BEND"}</v>
      </c>
      <c r="Q5" s="15" t="s">
        <v>65</v>
      </c>
      <c r="R5"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Q5)"),"{""Channel Configuration"": ""Bendable Double-Sided"", ""Dimension"": ""52.6mm (W) x 13.7mm (H)"", ""Finish"": ""Silver"", ""SKU"": ""TP5213-DS-BEND""}")</f>
        <v>{"Channel Configuration": "Bendable Double-Sided", "Dimension": "52.6mm (W) x 13.7mm (H)", "Finish": "Silver", "SKU": "TP5213-DS-BEND"}</v>
      </c>
      <c r="S5" s="17" t="s">
        <v>65</v>
      </c>
      <c r="T5"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Q5)"),"{""Options"": {""Channel Configuration"": [{""name"": ""Bendable Double-Sided"", ""id"": ""101""}], ""Dimension"": [{""name"": ""52.6mm (W) x 13.7mm (H)"", ""id"": ""102""}], ""Finish"": [{""name"": ""Silver"", ""id"": ""103""}]}, ""Constraints"": {}, ""s"&amp;"ku_mappings"": [{""sku"": ""TP5213-DS-BEND"", ""combination"": [""101"", ""102"", ""103""]}]}")</f>
        <v>{"Options": {"Channel Configuration": [{"name": "Bendable Double-Sided", "id": "101"}], "Dimension": [{"name": "52.6mm (W) x 13.7mm (H)", "id": "102"}], "Finish": [{"name": "Silver", "id": "103"}]}, "Constraints": {}, "sku_mappings": [{"sku": "TP5213-DS-BEND", "combination": ["101", "102", "103"]}]}</v>
      </c>
      <c r="U5" s="18" t="s">
        <v>66</v>
      </c>
      <c r="V5" s="19" t="str">
        <f>IFERROR(__xludf.DUMMYFUNCTION("AI(""Extract options object from the json"", U5)"),"{""Channel Configuration"": [{""name"": ""Bendable Double-Sided"", ""id"": ""101""}], ""Dimension"": [{""name"": ""52.6mm (W) x 13.7mm (H)"", ""id"": ""102""}], ""Finish"": [{""name"": ""Silver"", ""id"": ""103""}]}")</f>
        <v>{"Channel Configuration": [{"name": "Bendable Double-Sided", "id": "101"}], "Dimension": [{"name": "52.6mm (W) x 13.7mm (H)", "id": "102"}], "Finish": [{"name": "Silver", "id": "103"}]}</v>
      </c>
      <c r="W5" s="19" t="str">
        <f>IFERROR(__xludf.DUMMYFUNCTION("AI(""Extract constraints object from the json"", U5)"),"{}")</f>
        <v>{}</v>
      </c>
      <c r="X5" s="19" t="str">
        <f>IFERROR(__xludf.DUMMYFUNCTION("AI(""Extract sku_mappings object from the json"", U5)"),"[{""sku"": ""TP5213-DS-BEND"", ""combination"": [""101"", ""102"", ""103""]}]")</f>
        <v>[{"sku": "TP5213-DS-BEND", "combination": ["101", "102", "103"]}]</v>
      </c>
      <c r="Y5" s="17" t="s">
        <v>41</v>
      </c>
      <c r="Z5" s="17" t="s">
        <v>67</v>
      </c>
      <c r="AA5" s="17" t="s">
        <v>43</v>
      </c>
      <c r="AB5" s="20"/>
      <c r="AC5" s="21" t="str">
        <f>IFERROR(__xludf.DUMMYFUNCTION("AI(""Generate 6 powerful unique keywords for the product in this row"")"),"Flexible double-sided LED profile, Trimless plaster-in aluminum channel, Bendable architectural channel, Recessed double-sided lighting, Seamless plaster LED profile, Curved plaster channel")</f>
        <v>Flexible double-sided LED profile, Trimless plaster-in aluminum channel, Bendable architectural channel, Recessed double-sided lighting, Seamless plaster LED profile, Curved plaster channel</v>
      </c>
      <c r="AD5" s="20" t="s">
        <v>68</v>
      </c>
    </row>
    <row r="6" ht="37.5" customHeight="1">
      <c r="A6" s="10" t="s">
        <v>69</v>
      </c>
      <c r="B6" s="10" t="s">
        <v>31</v>
      </c>
      <c r="C6" s="11" t="s">
        <v>32</v>
      </c>
      <c r="D6" s="11" t="s">
        <v>33</v>
      </c>
      <c r="E6" s="11" t="s">
        <v>34</v>
      </c>
      <c r="F6" s="12" t="str">
        <f>IFERROR(__xludf.DUMMYFUNCTION("AI(""Give me a paragraph marketing spiel for this product, no tech specs just marketing fluff "")"),"Elevate your living space with a seamless blend of modern design and captivating illumination. Designed to effortlessly integrate into your decor, this premium lighting solution bathes your surroundings in a soft, sophisticated glow that highlights the re"&amp;"fined beauty of your home. Perfect for creating an inviting ambiance, it offers a touch of discreet luxury and timeless style, transforming any room into a breathtaking sanctuary of warmth and elegance.")</f>
        <v>Elevate your living space with a seamless blend of modern design and captivating illumination. Designed to effortlessly integrate into your decor, this premium lighting solution bathes your surroundings in a soft, sophisticated glow that highlights the refined beauty of your home. Perfect for creating an inviting ambiance, it offers a touch of discreet luxury and timeless style, transforming any room into a breathtaking sanctuary of warmth and elegance.</v>
      </c>
      <c r="G6" s="11" t="s">
        <v>70</v>
      </c>
      <c r="H6" s="12" t="str">
        <f>IFERROR(__xludf.DUMMYFUNCTION("AI(""Give me a paragraph marketing spiel for this product, no tech specs just marketing fluff under 180 characters "")"),"Elevate your home with seamless elegance and captivating illumination. Experience discreet luxury with a soft, sophisticated glow that enhances any room.")</f>
        <v>Elevate your home with seamless elegance and captivating illumination. Experience discreet luxury with a soft, sophisticated glow that enhances any room.</v>
      </c>
      <c r="I6" s="11" t="s">
        <v>71</v>
      </c>
      <c r="J6" s="11"/>
      <c r="K6" s="11"/>
      <c r="L6" s="13" t="s">
        <v>69</v>
      </c>
      <c r="M6" s="13" t="s">
        <v>72</v>
      </c>
      <c r="N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""&amp;M6)"),"Channel Configuration|Dimension|Finish")</f>
        <v>Channel Configuration|Dimension|Finish</v>
      </c>
      <c r="O6" s="15" t="s">
        <v>38</v>
      </c>
      <c r="P6"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""&amp;L6"&amp;")"),"{""Channel Configuration"": ""Bendable Double-Sided"", ""Dimension"": ""60mm (W) x 12.9mm (H)"", ""Finish"": ""Silver"", ""SKU"": ""TP6013-DS-BEND""}")</f>
        <v>{"Channel Configuration": "Bendable Double-Sided", "Dimension": "60mm (W) x 12.9mm (H)", "Finish": "Silver", "SKU": "TP6013-DS-BEND"}</v>
      </c>
      <c r="Q6" s="15" t="s">
        <v>73</v>
      </c>
      <c r="R6"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Q6)"),"{""Channel Configuration"": ""Bendable Double-Sided"", ""Dimension"": ""60mm (W) x 12.9mm (H)"", ""Finish"": ""Silver"", ""SKU"": ""TP6013-DS-BEND""}")</f>
        <v>{"Channel Configuration": "Bendable Double-Sided", "Dimension": "60mm (W) x 12.9mm (H)", "Finish": "Silver", "SKU": "TP6013-DS-BEND"}</v>
      </c>
      <c r="S6" s="17" t="s">
        <v>73</v>
      </c>
      <c r="T6"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Q6)"),"{""Options"": {""Channel Configuration"": [{""name"": ""Bendable Double-Sided"", ""id"": ""101""}], ""Dimension"": [{""name"": ""60mm (W) x 12.9mm (H)"", ""id"": ""102""}], ""Finish"": [{""name"": ""Silver"", ""id"": ""103""}]}, ""Constraints"": {}, ""sku"&amp;"_mappings"": [{""sku"": ""TP6013-DS-BEND"", ""combination"": [""101"", ""102"", ""103""]}]}")</f>
        <v>{"Options": {"Channel Configuration": [{"name": "Bendable Double-Sided", "id": "101"}], "Dimension": [{"name": "60mm (W) x 12.9mm (H)", "id": "102"}], "Finish": [{"name": "Silver", "id": "103"}]}, "Constraints": {}, "sku_mappings": [{"sku": "TP6013-DS-BEND", "combination": ["101", "102", "103"]}]}</v>
      </c>
      <c r="U6" s="18" t="s">
        <v>74</v>
      </c>
      <c r="V6" s="19" t="str">
        <f>IFERROR(__xludf.DUMMYFUNCTION("AI(""Extract options object from the json"", U6)"),"{""Channel Configuration"": [{""name"": ""Bendable Double-Sided"", ""id"": ""101""}], ""Dimension"": [{""name"": ""60mm (W) x 12.9mm (H)"", ""id"": ""102""}], ""Finish"": [{""name"": ""Silver"", ""id"": ""103""}]}")</f>
        <v>{"Channel Configuration": [{"name": "Bendable Double-Sided", "id": "101"}], "Dimension": [{"name": "60mm (W) x 12.9mm (H)", "id": "102"}], "Finish": [{"name": "Silver", "id": "103"}]}</v>
      </c>
      <c r="W6" s="19" t="str">
        <f>IFERROR(__xludf.DUMMYFUNCTION("AI(""Extract constraints object from the json"", U6)"),"{}")</f>
        <v>{}</v>
      </c>
      <c r="X6" s="19" t="str">
        <f>IFERROR(__xludf.DUMMYFUNCTION("AI(""Extract sku_mappings object from the json"", U6)"),"[{""sku"": ""TP6013-DS-BEND"", ""combination"": [""101"", ""102"", ""103""]}]")</f>
        <v>[{"sku": "TP6013-DS-BEND", "combination": ["101", "102", "103"]}]</v>
      </c>
      <c r="Y6" s="17" t="s">
        <v>41</v>
      </c>
      <c r="Z6" s="17" t="s">
        <v>75</v>
      </c>
      <c r="AA6" s="17" t="s">
        <v>43</v>
      </c>
      <c r="AB6" s="20"/>
      <c r="AC6" s="21" t="str">
        <f>IFERROR(__xludf.DUMMYFUNCTION("AI(""Generate 6 powerful unique keywords for the product in this row"")"),"60mm trimless LED channel, Bendable double-sided profile, Plaster-in aluminum LED channel, Recessed architectural profile, Seamless plaster-in lighting, Flexible double LED channel")</f>
        <v>60mm trimless LED channel, Bendable double-sided profile, Plaster-in aluminum LED channel, Recessed architectural profile, Seamless plaster-in lighting, Flexible double LED channel</v>
      </c>
      <c r="AD6" s="20" t="s">
        <v>76</v>
      </c>
    </row>
    <row r="7" ht="37.5" customHeight="1">
      <c r="A7" s="10" t="s">
        <v>77</v>
      </c>
      <c r="B7" s="11" t="s">
        <v>31</v>
      </c>
      <c r="C7" s="11" t="s">
        <v>32</v>
      </c>
      <c r="D7" s="11" t="s">
        <v>33</v>
      </c>
      <c r="E7" s="11" t="s">
        <v>34</v>
      </c>
      <c r="F7" s="12" t="str">
        <f>IFERROR(__xludf.DUMMYFUNCTION("AI(""Give me a paragraph marketing spiel for this product, no tech specs just marketing fluff "")"),"Transform your living space into a breathtaking sanctuary of light with this premium architectural lighting solution. Designed to integrate seamlessly into your interior, it casts a warm, sophisticated glow that effortlessly enhances your home's natural b"&amp;"eauty and elegance. Perfect for creating an ambiance of subtle luxury, it elevates every room with a captivating aura of warmth, modern refinement, and timeless allure.")</f>
        <v>Transform your living space into a breathtaking sanctuary of light with this premium architectural lighting solution. Designed to integrate seamlessly into your interior, it casts a warm, sophisticated glow that effortlessly enhances your home's natural beauty and elegance. Perfect for creating an ambiance of subtle luxury, it elevates every room with a captivating aura of warmth, modern refinement, and timeless allure.</v>
      </c>
      <c r="G7" s="11" t="s">
        <v>78</v>
      </c>
      <c r="H7" s="12" t="str">
        <f>IFERROR(__xludf.DUMMYFUNCTION("AI(""Give me a paragraph marketing spiel for this product, no tech specs just marketing fluff under 180 characters "")"),"Transform your home into a breathtaking sanctuary of light. Experience seamless elegance and a sophisticated glow that effortlessly elevates every room with timeless luxury.")</f>
        <v>Transform your home into a breathtaking sanctuary of light. Experience seamless elegance and a sophisticated glow that effortlessly elevates every room with timeless luxury.</v>
      </c>
      <c r="I7" s="11" t="s">
        <v>79</v>
      </c>
      <c r="J7" s="23"/>
      <c r="K7" s="23"/>
      <c r="L7" s="13" t="s">
        <v>77</v>
      </c>
      <c r="M7" s="13" t="s">
        <v>80</v>
      </c>
      <c r="N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""&amp;M7)"),"Channel Configuration|Dimension|Finish")</f>
        <v>Channel Configuration|Dimension|Finish</v>
      </c>
      <c r="O7" s="15" t="s">
        <v>38</v>
      </c>
      <c r="P7"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""&amp;L7"&amp;")"),"{""Channel Configuration"": ""Bendable Double-Sided"", ""Dimension"": ""69mm (W) x 13.5mm (H)"", ""Finish"": ""Silver"", ""SKU"": ""TP6913-DS-BEND""}")</f>
        <v>{"Channel Configuration": "Bendable Double-Sided", "Dimension": "69mm (W) x 13.5mm (H)", "Finish": "Silver", "SKU": "TP6913-DS-BEND"}</v>
      </c>
      <c r="Q7" s="15" t="s">
        <v>81</v>
      </c>
      <c r="R7"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Q7)"),"{""Channel Configuration"": ""Bendable Double-Sided"", ""Dimension"": ""69mm (W) x 13.5mm (H)"", ""Finish"": ""Silver"", ""SKU"": ""TP6913-DS-BEND""}")</f>
        <v>{"Channel Configuration": "Bendable Double-Sided", "Dimension": "69mm (W) x 13.5mm (H)", "Finish": "Silver", "SKU": "TP6913-DS-BEND"}</v>
      </c>
      <c r="S7" s="17" t="s">
        <v>81</v>
      </c>
      <c r="T7"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Q7)"),"{""Options"": {""Channel Configuration"": [{""name"": ""Bendable Double-Sided"", ""id"": ""101""}], ""Dimension"": [{""name"": ""69mm (W) x 13.5mm (H)"", ""id"": ""102""}], ""Finish"": [{""name"": ""Silver"", ""id"": ""103""}]}, ""Constraints"": {}, ""sku"&amp;"_mappings"": [{""sku"": ""TP6913-DS-BEND"", ""combination"": [""101"", ""102"", ""103""]}]}")</f>
        <v>{"Options": {"Channel Configuration": [{"name": "Bendable Double-Sided", "id": "101"}], "Dimension": [{"name": "69mm (W) x 13.5mm (H)", "id": "102"}], "Finish": [{"name": "Silver", "id": "103"}]}, "Constraints": {}, "sku_mappings": [{"sku": "TP6913-DS-BEND", "combination": ["101", "102", "103"]}]}</v>
      </c>
      <c r="U7" s="18" t="s">
        <v>82</v>
      </c>
      <c r="V7" s="19" t="str">
        <f>IFERROR(__xludf.DUMMYFUNCTION("AI(""Extract options object from the json"", U7)"),"{""Channel Configuration"": [{""name"": ""Bendable Double-Sided"", ""id"": ""101""}], ""Dimension"": [{""name"": ""69mm (W) x 13.5mm (H)"", ""id"": ""102""}], ""Finish"": [{""name"": ""Silver"", ""id"": ""103""}]}")</f>
        <v>{"Channel Configuration": [{"name": "Bendable Double-Sided", "id": "101"}], "Dimension": [{"name": "69mm (W) x 13.5mm (H)", "id": "102"}], "Finish": [{"name": "Silver", "id": "103"}]}</v>
      </c>
      <c r="W7" s="19" t="str">
        <f>IFERROR(__xludf.DUMMYFUNCTION("AI(""Extract constraints object from the json"", U7)"),"{}")</f>
        <v>{}</v>
      </c>
      <c r="X7" s="19" t="str">
        <f>IFERROR(__xludf.DUMMYFUNCTION("AI(""Extract sku_mappings object from the json"", U7)"),"[{""sku"": ""TP6913-DS-BEND"", ""combination"": [""101"", ""102"", ""103""]}]")</f>
        <v>[{"sku": "TP6913-DS-BEND", "combination": ["101", "102", "103"]}]</v>
      </c>
      <c r="Y7" s="17" t="s">
        <v>41</v>
      </c>
      <c r="Z7" s="17" t="s">
        <v>83</v>
      </c>
      <c r="AA7" s="17" t="s">
        <v>43</v>
      </c>
      <c r="AB7" s="20"/>
      <c r="AC7" s="21" t="str">
        <f>IFERROR(__xludf.DUMMYFUNCTION("AI(""Generate 6 powerful unique keywords for the product in this row"")"),"Wide trimless LED channel, Bendable double-sided plaster channel, Plaster-in aluminum LED housing, Architectural recessed channel, Flexible double-sided lighting, Seamless plaster channel")</f>
        <v>Wide trimless LED channel, Bendable double-sided plaster channel, Plaster-in aluminum LED housing, Architectural recessed channel, Flexible double-sided lighting, Seamless plaster channel</v>
      </c>
      <c r="AD7" s="20" t="s">
        <v>84</v>
      </c>
    </row>
    <row r="8" ht="37.5" customHeight="1">
      <c r="A8" s="10" t="s">
        <v>85</v>
      </c>
      <c r="B8" s="11" t="s">
        <v>31</v>
      </c>
      <c r="C8" s="11" t="s">
        <v>32</v>
      </c>
      <c r="D8" s="11" t="s">
        <v>33</v>
      </c>
      <c r="E8" s="11" t="s">
        <v>34</v>
      </c>
      <c r="F8" s="12" t="str">
        <f>IFERROR(__xludf.DUMMYFUNCTION("AI(""Give me a paragraph marketing spiel for this product, no tech specs just marketing fluff "")"),"Elevate your living space with an exquisite architectural lighting solution that seamlessly merges modern elegance with understated luxury. Designed to effortlessly integrate into your walls or ceilings, this premium profile casts a smooth, sophisticated "&amp;"glow that redefines your interior environment. Perfect for creating a serene and captivating ambiance, it turns ordinary spaces into a breathtaking sanctuary of light, highlighting fine details while maintaining a clean, flawless aesthetic.")</f>
        <v>Elevate your living space with an exquisite architectural lighting solution that seamlessly merges modern elegance with understated luxury. Designed to effortlessly integrate into your walls or ceilings, this premium profile casts a smooth, sophisticated glow that redefines your interior environment. Perfect for creating a serene and captivating ambiance, it turns ordinary spaces into a breathtaking sanctuary of light, highlighting fine details while maintaining a clean, flawless aesthetic.</v>
      </c>
      <c r="G8" s="11" t="s">
        <v>86</v>
      </c>
      <c r="H8" s="12" t="str">
        <f>IFERROR(__xludf.DUMMYFUNCTION("AI(""Give me a paragraph marketing spiel for this product, no tech specs just marketing fluff under 180 characters "")"),"Elevate your home with seamless modern elegance. Experience discreet luxury and a sophisticated glow that turns any space into a breathtaking sanctuary.")</f>
        <v>Elevate your home with seamless modern elegance. Experience discreet luxury and a sophisticated glow that turns any space into a breathtaking sanctuary.</v>
      </c>
      <c r="I8" s="11" t="s">
        <v>87</v>
      </c>
      <c r="J8" s="23"/>
      <c r="K8" s="23"/>
      <c r="L8" s="13" t="s">
        <v>85</v>
      </c>
      <c r="M8" s="13" t="s">
        <v>88</v>
      </c>
      <c r="N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""&amp;M8)"),"Channel Configuration|Dimension|Finish")</f>
        <v>Channel Configuration|Dimension|Finish</v>
      </c>
      <c r="O8" s="15" t="s">
        <v>38</v>
      </c>
      <c r="P8"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""&amp;L8"&amp;")"),"{""Channel Configuration"": ""Single-Sided"", ""Dimension"": ""53mm (W) x 14.5mm (H)"", ""Finish"": ""Silver"", ""SKU"": ""TP5314-SS""}")</f>
        <v>{"Channel Configuration": "Single-Sided", "Dimension": "53mm (W) x 14.5mm (H)", "Finish": "Silver", "SKU": "TP5314-SS"}</v>
      </c>
      <c r="Q8" s="15" t="s">
        <v>89</v>
      </c>
      <c r="R8"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Q8)"),"{""Channel Configuration"": ""Single-Sided"", ""Dimension"": ""53mm (W) x 14.5mm (H)"", ""Finish"": ""Silver"", ""SKU"": ""TP5314-SS""}")</f>
        <v>{"Channel Configuration": "Single-Sided", "Dimension": "53mm (W) x 14.5mm (H)", "Finish": "Silver", "SKU": "TP5314-SS"}</v>
      </c>
      <c r="S8" s="17" t="s">
        <v>89</v>
      </c>
      <c r="T8"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Q8)"),"{""Options"": {""Channel Configuration"": [{""name"": ""Single-Sided"", ""id"": ""101""}], ""Dimension"": [{""name"": ""53mm (W) x 14.5mm (H)"", ""id"": ""102""}], ""Finish"": [{""name"": ""Silver"", ""id"": ""103""}]}, ""Constraints"": {}, ""sku_mappings"&amp;""": [{""sku"": ""TP5314-SS"", ""combination"": [""101"", ""102"", ""103""]}]}")</f>
        <v>{"Options": {"Channel Configuration": [{"name": "Single-Sided", "id": "101"}], "Dimension": [{"name": "53mm (W) x 14.5mm (H)", "id": "102"}], "Finish": [{"name": "Silver", "id": "103"}]}, "Constraints": {}, "sku_mappings": [{"sku": "TP5314-SS", "combination": ["101", "102", "103"]}]}</v>
      </c>
      <c r="U8" s="18" t="s">
        <v>90</v>
      </c>
      <c r="V8" s="19" t="str">
        <f>IFERROR(__xludf.DUMMYFUNCTION("AI(""Extract options object from the json"", U8)"),"{""Channel Configuration"": [{""name"": ""Single-Sided"", ""id"": ""101""}], ""Dimension"": [{""name"": ""53mm (W) x 14.5mm (H)"", ""id"": ""102""}], ""Finish"": [{""name"": ""Silver"", ""id"": ""103""}]}")</f>
        <v>{"Channel Configuration": [{"name": "Single-Sided", "id": "101"}], "Dimension": [{"name": "53mm (W) x 14.5mm (H)", "id": "102"}], "Finish": [{"name": "Silver", "id": "103"}]}</v>
      </c>
      <c r="W8" s="19" t="str">
        <f>IFERROR(__xludf.DUMMYFUNCTION("AI(""Extract constraints object from the json"", U8)"),"{}")</f>
        <v>{}</v>
      </c>
      <c r="X8" s="19" t="str">
        <f>IFERROR(__xludf.DUMMYFUNCTION("AI(""Extract sku_mappings object from the json"", U8)"),"[{""sku"": ""TP5314-SS"", ""combination"": [""101"", ""102"", ""103""]}]")</f>
        <v>[{"sku": "TP5314-SS", "combination": ["101", "102", "103"]}]</v>
      </c>
      <c r="Y8" s="17" t="s">
        <v>41</v>
      </c>
      <c r="Z8" s="17" t="s">
        <v>91</v>
      </c>
      <c r="AA8" s="17" t="s">
        <v>43</v>
      </c>
      <c r="AB8" s="20"/>
      <c r="AC8" s="21" t="str">
        <f>IFERROR(__xludf.DUMMYFUNCTION("AI(""Generate 6 powerful unique keywords for the product in this row"")"),"Single-sided trimless LED profile, Plaster-in aluminum channel, Architectural plaster channel, Recessed profile lighting, Seamless LED channel, Linear plaster-in profile")</f>
        <v>Single-sided trimless LED profile, Plaster-in aluminum channel, Architectural plaster channel, Recessed profile lighting, Seamless LED channel, Linear plaster-in profile</v>
      </c>
      <c r="AD8" s="20" t="s">
        <v>92</v>
      </c>
    </row>
    <row r="9" ht="37.5" customHeight="1">
      <c r="A9" s="10" t="s">
        <v>93</v>
      </c>
      <c r="B9" s="11" t="s">
        <v>31</v>
      </c>
      <c r="C9" s="11" t="s">
        <v>32</v>
      </c>
      <c r="D9" s="11" t="s">
        <v>33</v>
      </c>
      <c r="E9" s="11" t="s">
        <v>34</v>
      </c>
      <c r="F9" s="12" t="str">
        <f>IFERROR(__xludf.DUMMYFUNCTION("AI(""Give me a paragraph marketing spiel for this product, no tech specs just marketing fluff "")"),"Transform your living space into a captivating visual masterpiece with a seamless blend of modern elegance and refined design. This sleek lighting channel integrates effortlessly into your walls and ceilings, casting a soft, enchanting radiance that eleva"&amp;"tes your interior decor. Perfect for creating an inviting and sophisticated ambiance, it adds a touch of discreet luxury to any room, turning simple everyday moments into extraordinary experiences.")</f>
        <v>Transform your living space into a captivating visual masterpiece with a seamless blend of modern elegance and refined design. This sleek lighting channel integrates effortlessly into your walls and ceilings, casting a soft, enchanting radiance that elevates your interior decor. Perfect for creating an inviting and sophisticated ambiance, it adds a touch of discreet luxury to any room, turning simple everyday moments into extraordinary experiences.</v>
      </c>
      <c r="G9" s="11" t="s">
        <v>94</v>
      </c>
      <c r="H9" s="12" t="str">
        <f>IFERROR(__xludf.DUMMYFUNCTION("AI(""Give me a paragraph marketing spiel for this product, no tech specs just marketing fluff under 180 characters "")"),"Transform your living space into a captivating visual masterpiece. Experience discreet luxury and a soft, enchanting glow that effortlessly elevates your interior design.")</f>
        <v>Transform your living space into a captivating visual masterpiece. Experience discreet luxury and a soft, enchanting glow that effortlessly elevates your interior design.</v>
      </c>
      <c r="I9" s="11" t="s">
        <v>95</v>
      </c>
      <c r="J9" s="23"/>
      <c r="K9" s="23"/>
      <c r="L9" s="13" t="s">
        <v>93</v>
      </c>
      <c r="M9" s="13" t="s">
        <v>96</v>
      </c>
      <c r="N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""&amp;M9)"),"Channel Configuration|Dimension|Finish")</f>
        <v>Channel Configuration|Dimension|Finish</v>
      </c>
      <c r="O9" s="15" t="s">
        <v>38</v>
      </c>
      <c r="P9"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""&amp;L9"&amp;")"),"{""Channel Configuration"": ""Single-Sided"", ""Dimension"": ""36.19mm (W) x 14mm (H)"", ""Finish"": ""Silver"", ""SKU"": ""TP3614-SS""}")</f>
        <v>{"Channel Configuration": "Single-Sided", "Dimension": "36.19mm (W) x 14mm (H)", "Finish": "Silver", "SKU": "TP3614-SS"}</v>
      </c>
      <c r="Q9" s="15" t="s">
        <v>97</v>
      </c>
      <c r="R9"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Q9)"),"{""Channel Configuration"": ""Single-Sided"", ""Dimension"": ""36.19mm (W) x 14mm (H)"", ""Finish"": ""Silver"", ""SKU"": ""TP3614-SS""}")</f>
        <v>{"Channel Configuration": "Single-Sided", "Dimension": "36.19mm (W) x 14mm (H)", "Finish": "Silver", "SKU": "TP3614-SS"}</v>
      </c>
      <c r="S9" s="17" t="s">
        <v>97</v>
      </c>
      <c r="T9"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Q9)"),"{""Options"": {""Channel Configuration"": [{""name"": ""Single-Sided"", ""id"": ""101""}], ""Dimension"": [{""name"": ""36.19mm (W) x 14mm (H)"", ""id"": ""102""}], ""Finish"": [{""name"": ""Silver"", ""id"": ""103""}]}, ""Constraints"": {}, ""sku_mapping"&amp;"s"": [{""sku"": ""TP3614-SS"", ""combination"": [""101"", ""102"", ""103""]}]}")</f>
        <v>{"Options": {"Channel Configuration": [{"name": "Single-Sided", "id": "101"}], "Dimension": [{"name": "36.19mm (W) x 14mm (H)", "id": "102"}], "Finish": [{"name": "Silver", "id": "103"}]}, "Constraints": {}, "sku_mappings": [{"sku": "TP3614-SS", "combination": ["101", "102", "103"]}]}</v>
      </c>
      <c r="U9" s="18" t="s">
        <v>98</v>
      </c>
      <c r="V9" s="19" t="str">
        <f>IFERROR(__xludf.DUMMYFUNCTION("AI(""Extract options object from the json"", U9)"),"{""Channel Configuration"": [{""name"": ""Single-Sided"", ""id"": ""101""}], ""Dimension"": [{""name"": ""36.19mm (W) x 14mm (H)"", ""id"": ""102""}], ""Finish"": [{""name"": ""Silver"", ""id"": ""103""}]}")</f>
        <v>{"Channel Configuration": [{"name": "Single-Sided", "id": "101"}], "Dimension": [{"name": "36.19mm (W) x 14mm (H)", "id": "102"}], "Finish": [{"name": "Silver", "id": "103"}]}</v>
      </c>
      <c r="W9" s="19" t="str">
        <f>IFERROR(__xludf.DUMMYFUNCTION("AI(""Extract constraints object from the json"", U9)"),"{}")</f>
        <v>{}</v>
      </c>
      <c r="X9" s="19" t="str">
        <f>IFERROR(__xludf.DUMMYFUNCTION("AI(""Extract sku_mappings object from the json"", U9)"),"[{""sku"": ""TP3614-SS"", ""combination"": [""101"", ""102"", ""103""]}]")</f>
        <v>[{"sku": "TP3614-SS", "combination": ["101", "102", "103"]}]</v>
      </c>
      <c r="Y9" s="17" t="s">
        <v>41</v>
      </c>
      <c r="Z9" s="17" t="s">
        <v>99</v>
      </c>
      <c r="AA9" s="17" t="s">
        <v>43</v>
      </c>
      <c r="AB9" s="20"/>
      <c r="AC9" s="21" t="str">
        <f>IFERROR(__xludf.DUMMYFUNCTION("AI(""Generate 6 powerful unique keywords for the product in this row"")"),"Trimless aluminium profile, Plaster-in LED channel, Single-sided lighting profile, Recessed wall profile, Flush architectural channel, Silver LED extrusion")</f>
        <v>Trimless aluminium profile, Plaster-in LED channel, Single-sided lighting profile, Recessed wall profile, Flush architectural channel, Silver LED extrusion</v>
      </c>
      <c r="AD9" s="20" t="s">
        <v>100</v>
      </c>
    </row>
    <row r="10" ht="37.5" customHeight="1">
      <c r="A10" s="10" t="s">
        <v>101</v>
      </c>
      <c r="B10" s="11" t="s">
        <v>31</v>
      </c>
      <c r="C10" s="11" t="s">
        <v>32</v>
      </c>
      <c r="D10" s="11" t="s">
        <v>33</v>
      </c>
      <c r="E10" s="11" t="s">
        <v>34</v>
      </c>
      <c r="F10" s="12" t="str">
        <f>IFERROR(__xludf.DUMMYFUNCTION("AI(""Give me a paragraph marketing spiel for this product, no tech specs just marketing fluff "")"),"Transform your architectural spaces into a breathtaking visual journey with a perfect blend of elegance and modern design. This premium lighting solution offers seamless trimless integration into your walls and ceilings, casting a warm, sophisticated glow"&amp;" that effortlessly enhances the natural beauty of your environment. Crafted for those who appreciate discreet luxury and refined detail, it adds an unparalleled touch of ambiance, warmth, and captivating style to any setting, making it the ultimate choice"&amp;" for elevated modern illumination.")</f>
        <v>Transform your architectural spaces into a breathtaking visual journey with a perfect blend of elegance and modern design. This premium lighting solution offers seamless trimless integration into your walls and ceilings, casting a warm, sophisticated glow that effortlessly enhances the natural beauty of your environment. Crafted for those who appreciate discreet luxury and refined detail, it adds an unparalleled touch of ambiance, warmth, and captivating style to any setting, making it the ultimate choice for elevated modern illumination.</v>
      </c>
      <c r="G10" s="11" t="s">
        <v>102</v>
      </c>
      <c r="H10" s="12" t="str">
        <f>IFERROR(__xludf.DUMMYFUNCTION("AI(""Give me a paragraph marketing spiel for this product, no tech specs just marketing fluff under 180 characters "")"),"Transform your home into a breathtaking visual journey. Experience discreet luxury and a sophisticated glow that beautifully enhances your space.")</f>
        <v>Transform your home into a breathtaking visual journey. Experience discreet luxury and a sophisticated glow that beautifully enhances your space.</v>
      </c>
      <c r="I10" s="11" t="s">
        <v>103</v>
      </c>
      <c r="J10" s="23"/>
      <c r="K10" s="23"/>
      <c r="L10" s="13" t="s">
        <v>101</v>
      </c>
      <c r="M10" s="13" t="s">
        <v>104</v>
      </c>
      <c r="N1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""&amp;M10)"),"Channel Configuration|Dimension|Finish")</f>
        <v>Channel Configuration|Dimension|Finish</v>
      </c>
      <c r="O10" s="15" t="s">
        <v>38</v>
      </c>
      <c r="P10"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""&amp;"&amp;"L10)"),"{""Channel Configuration"": ""Single-Sided"", ""Dimension"": ""62mm (W) x 13mm (H)"", ""Finish"": ""Silver"", ""SKU"": ""TP6213-SS""}")</f>
        <v>{"Channel Configuration": "Single-Sided", "Dimension": "62mm (W) x 13mm (H)", "Finish": "Silver", "SKU": "TP6213-SS"}</v>
      </c>
      <c r="Q10" s="15" t="s">
        <v>105</v>
      </c>
      <c r="R10"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Q10)"),"{""Channel Configuration"": ""Single-Sided"", ""Dimension"": ""62mm (W) x 13mm (H)"", ""Finish"": ""Silver"", ""SKU"": ""TP6213-SS""}")</f>
        <v>{"Channel Configuration": "Single-Sided", "Dimension": "62mm (W) x 13mm (H)", "Finish": "Silver", "SKU": "TP6213-SS"}</v>
      </c>
      <c r="S10" s="17" t="s">
        <v>105</v>
      </c>
      <c r="T10"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Q10)"),"{""Options"": {""Channel Configuration"": [{""name"": ""Single-Sided"", ""id"": ""101""}], ""Dimension"": [{""name"": ""62mm (W) x 13mm (H)"", ""id"": ""102""}], ""Finish"": [{""name"": ""Silver"", ""id"": ""103""}]}, ""Constraints"": {}, ""sku_mappings"""&amp;": [{""sku"": ""TP6213-SS"", ""combination"": [""101"", ""102"", ""103""]}]}")</f>
        <v>{"Options": {"Channel Configuration": [{"name": "Single-Sided", "id": "101"}], "Dimension": [{"name": "62mm (W) x 13mm (H)", "id": "102"}], "Finish": [{"name": "Silver", "id": "103"}]}, "Constraints": {}, "sku_mappings": [{"sku": "TP6213-SS", "combination": ["101", "102", "103"]}]}</v>
      </c>
      <c r="U10" s="18" t="s">
        <v>106</v>
      </c>
      <c r="V10" s="19" t="str">
        <f>IFERROR(__xludf.DUMMYFUNCTION("AI(""Extract options object from the json"", U10)"),"{""Channel Configuration"": [{""name"": ""Single-Sided"", ""id"": ""101""}], ""Dimension"": [{""name"": ""62mm (W) x 13mm (H)"", ""id"": ""102""}], ""Finish"": [{""name"": ""Silver"", ""id"": ""103""}]}")</f>
        <v>{"Channel Configuration": [{"name": "Single-Sided", "id": "101"}], "Dimension": [{"name": "62mm (W) x 13mm (H)", "id": "102"}], "Finish": [{"name": "Silver", "id": "103"}]}</v>
      </c>
      <c r="W10" s="19" t="str">
        <f>IFERROR(__xludf.DUMMYFUNCTION("AI(""Extract constraints object from the json"", U10)"),"{}")</f>
        <v>{}</v>
      </c>
      <c r="X10" s="19" t="str">
        <f>IFERROR(__xludf.DUMMYFUNCTION("AI(""Extract sku_mappings object from the json"", U10)"),"[{""sku"": ""TP6213-SS"", ""combination"": [""101"", ""102"", ""103""]}]")</f>
        <v>[{"sku": "TP6213-SS", "combination": ["101", "102", "103"]}]</v>
      </c>
      <c r="Y10" s="17" t="s">
        <v>41</v>
      </c>
      <c r="Z10" s="17" t="s">
        <v>107</v>
      </c>
      <c r="AA10" s="17" t="s">
        <v>43</v>
      </c>
      <c r="AB10" s="20"/>
      <c r="AC10" s="21" t="str">
        <f>IFERROR(__xludf.DUMMYFUNCTION("AI(""Generate 6 powerful unique keywords for the product in this row"")"),"Wide trimless profile, Plaster-in aluminum channel, Seamless ceiling channel, Architectural LED profile, Recessed plaster profile, Flush LED extrusion")</f>
        <v>Wide trimless profile, Plaster-in aluminum channel, Seamless ceiling channel, Architectural LED profile, Recessed plaster profile, Flush LED extrusion</v>
      </c>
      <c r="AD10" s="20" t="s">
        <v>108</v>
      </c>
    </row>
    <row r="11" ht="37.5" customHeight="1">
      <c r="A11" s="10" t="s">
        <v>109</v>
      </c>
      <c r="B11" s="11" t="s">
        <v>31</v>
      </c>
      <c r="C11" s="11" t="s">
        <v>32</v>
      </c>
      <c r="D11" s="11" t="s">
        <v>33</v>
      </c>
      <c r="E11" s="11" t="s">
        <v>34</v>
      </c>
      <c r="F11" s="12" t="str">
        <f>IFERROR(__xludf.DUMMYFUNCTION("AI(""Give me a paragraph marketing spiel for this product, no tech specs just marketing fluff "")"),"Elevate your interior design with an exquisite lighting solution that seamlessly merges modern sophistication with subtle luxury. Designed to blend effortlessly into your architecture, this sleek profile casts a captivating, soft radiance that beautifully"&amp;" accentuates clean lines and refined spaces. Perfect for creating an enchanting, warm atmosphere, it transforms any room into a serene sanctuary of light, offering an elevated visual experience for those who appreciate discreet elegance and impeccable sty"&amp;"le.")</f>
        <v>Elevate your interior design with an exquisite lighting solution that seamlessly merges modern sophistication with subtle luxury. Designed to blend effortlessly into your architecture, this sleek profile casts a captivating, soft radiance that beautifully accentuates clean lines and refined spaces. Perfect for creating an enchanting, warm atmosphere, it transforms any room into a serene sanctuary of light, offering an elevated visual experience for those who appreciate discreet elegance and impeccable style.</v>
      </c>
      <c r="G11" s="11" t="s">
        <v>110</v>
      </c>
      <c r="H11" s="12" t="str">
        <f>IFERROR(__xludf.DUMMYFUNCTION("AI(""Give me a paragraph marketing spiel for this product, no tech specs just marketing fluff under 180 characters "")"),"Elevate your interior design with an exquisite lighting solution that merges modern sophistication with subtle luxury, creating a serene, warm sanctuary in your home.")</f>
        <v>Elevate your interior design with an exquisite lighting solution that merges modern sophistication with subtle luxury, creating a serene, warm sanctuary in your home.</v>
      </c>
      <c r="I11" s="11" t="s">
        <v>111</v>
      </c>
      <c r="J11" s="23"/>
      <c r="K11" s="23"/>
      <c r="L11" s="13" t="s">
        <v>109</v>
      </c>
      <c r="M11" s="13" t="s">
        <v>112</v>
      </c>
      <c r="N1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""&amp;M11)"),"Dimension|Finish")</f>
        <v>Dimension|Finish</v>
      </c>
      <c r="O11" s="15" t="s">
        <v>113</v>
      </c>
      <c r="P11"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""&amp;"&amp;"L11)"),"{""Dimension"": ""53mm (W) x 16mm (H)"", ""Finish"": ""Silver"", ""SKU"": ""TP5815-SS""}")</f>
        <v>{"Dimension": "53mm (W) x 16mm (H)", "Finish": "Silver", "SKU": "TP5815-SS"}</v>
      </c>
      <c r="Q11" s="15" t="s">
        <v>114</v>
      </c>
      <c r="R11"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Q11)"),"{""Dimension"": ""53mm (W) x 16mm (H)"", ""Finish"": ""Silver"", ""SKU"": ""TP5815-SS""}")</f>
        <v>{"Dimension": "53mm (W) x 16mm (H)", "Finish": "Silver", "SKU": "TP5815-SS"}</v>
      </c>
      <c r="S11" s="17" t="s">
        <v>114</v>
      </c>
      <c r="T11"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Q11)"),"{""Options"": {""Dimension"": [{""name"": ""53mm (W) x 16mm (H)"", ""id"": ""101""}], ""Finish"": [{""name"": ""Silver"", ""id"": ""102""}]}, ""Constraints"": {}, ""sku_mappings"": [{""sku"": ""TP5815-SS"", ""combination"": [""101"", ""102""]}]}")</f>
        <v>{"Options": {"Dimension": [{"name": "53mm (W) x 16mm (H)", "id": "101"}], "Finish": [{"name": "Silver", "id": "102"}]}, "Constraints": {}, "sku_mappings": [{"sku": "TP5815-SS", "combination": ["101", "102"]}]}</v>
      </c>
      <c r="U11" s="18" t="s">
        <v>115</v>
      </c>
      <c r="V11" s="19" t="str">
        <f>IFERROR(__xludf.DUMMYFUNCTION("AI(""Extract options object from the json"", U11)"),"{""Dimension"": [{""name"": ""53mm (W) x 16mm (H)"", ""id"": ""101""}], ""Finish"": [{""name"": ""Silver"", ""id"": ""102""}]}")</f>
        <v>{"Dimension": [{"name": "53mm (W) x 16mm (H)", "id": "101"}], "Finish": [{"name": "Silver", "id": "102"}]}</v>
      </c>
      <c r="W11" s="19" t="str">
        <f>IFERROR(__xludf.DUMMYFUNCTION("AI(""Extract constraints object from the json"", U11)"),"{}")</f>
        <v>{}</v>
      </c>
      <c r="X11" s="19" t="str">
        <f>IFERROR(__xludf.DUMMYFUNCTION("AI(""Extract sku_mappings object from the json"", U11)"),"[{""sku"": ""TP5815-SS"", ""combination"": [""101"", ""102""]}]")</f>
        <v>[{"sku": "TP5815-SS", "combination": ["101", "102"]}]</v>
      </c>
      <c r="Y11" s="17" t="s">
        <v>41</v>
      </c>
      <c r="Z11" s="17" t="s">
        <v>116</v>
      </c>
      <c r="AA11" s="17" t="s">
        <v>43</v>
      </c>
      <c r="AB11" s="20"/>
      <c r="AC11" s="21" t="str">
        <f>IFERROR(__xludf.DUMMYFUNCTION("AI(""Generate 6 powerful unique keywords for the product in this row"")"),"Plaster-in LED extrusion, Trimless aluminum profile, Flush wall channel, Recessed lighting profile, Modern plaster channel, Silver LED profile")</f>
        <v>Plaster-in LED extrusion, Trimless aluminum profile, Flush wall channel, Recessed lighting profile, Modern plaster channel, Silver LED profile</v>
      </c>
      <c r="AD11" s="20" t="s">
        <v>117</v>
      </c>
    </row>
    <row r="12" ht="37.5" customHeight="1">
      <c r="A12" s="10" t="s">
        <v>118</v>
      </c>
      <c r="B12" s="11" t="s">
        <v>31</v>
      </c>
      <c r="C12" s="11" t="s">
        <v>32</v>
      </c>
      <c r="D12" s="11" t="s">
        <v>33</v>
      </c>
      <c r="E12" s="11" t="s">
        <v>34</v>
      </c>
      <c r="F12" s="12" t="str">
        <f>IFERROR(__xludf.DUMMYFUNCTION("AI(""Give me a paragraph marketing spiel for this product, no tech specs just marketing fluff "")"),"Elevate your interior design with an extraordinary lighting solution that seamlessly merges modern sophistication with subtle luxury. Engineered for a sleek, flush integration into your walls or ceilings, this premium plaster-in profile casts a soft, capt"&amp;"ivating radiance that brings warmth and depth to any architectural space. Perfect for creating ambient atmosphere and highlighting elegant contours, it offers a discreet yet impactful touch of refinement, transforming ordinary rooms into stunning, light-f"&amp;"illed sanctuaries of style.")</f>
        <v>Elevate your interior design with an extraordinary lighting solution that seamlessly merges modern sophistication with subtle luxury. Engineered for a sleek, flush integration into your walls or ceilings, this premium plaster-in profile casts a soft, captivating radiance that brings warmth and depth to any architectural space. Perfect for creating ambient atmosphere and highlighting elegant contours, it offers a discreet yet impactful touch of refinement, transforming ordinary rooms into stunning, light-filled sanctuaries of style.</v>
      </c>
      <c r="G12" s="11" t="s">
        <v>119</v>
      </c>
      <c r="H12" s="12" t="str">
        <f>IFERROR(__xludf.DUMMYFUNCTION("AI(""Give me a paragraph marketing spiel for this product, no tech specs just marketing fluff under 180 characters "")"),"Elevate your home into a glowing sanctuary of modern luxury and discreet elegance with seamless, captivating radiance.")</f>
        <v>Elevate your home into a glowing sanctuary of modern luxury and discreet elegance with seamless, captivating radiance.</v>
      </c>
      <c r="I12" s="11" t="s">
        <v>120</v>
      </c>
      <c r="J12" s="23"/>
      <c r="K12" s="23"/>
      <c r="L12" s="13" t="s">
        <v>118</v>
      </c>
      <c r="M12" s="13" t="s">
        <v>121</v>
      </c>
      <c r="N1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""&amp;M12)"),"Channel Configuration|Dimension|Finish")</f>
        <v>Channel Configuration|Dimension|Finish</v>
      </c>
      <c r="O12" s="15" t="s">
        <v>38</v>
      </c>
      <c r="P12"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""&amp;"&amp;"L12)"),"{""Channel Configuration"": ""Single-Side &amp; Dual LED"", ""Dimension"": ""116.1mm (W) x 36.5mm (H)"", ""Finish"": ""Silver"", ""SKU"": ""TP11636-SS-DL""}")</f>
        <v>{"Channel Configuration": "Single-Side &amp; Dual LED", "Dimension": "116.1mm (W) x 36.5mm (H)", "Finish": "Silver", "SKU": "TP11636-SS-DL"}</v>
      </c>
      <c r="Q12" s="15" t="s">
        <v>122</v>
      </c>
      <c r="R1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Q12)"),"{""Channel Configuration"": ""Single-Side &amp; Dual LED"", ""Dimension"": ""116.1mm (W) x 36.5mm (H)"", ""Finish"": ""Silver"", ""SKU"": ""TP11636-SS-DL""}")</f>
        <v>{"Channel Configuration": "Single-Side &amp; Dual LED", "Dimension": "116.1mm (W) x 36.5mm (H)", "Finish": "Silver", "SKU": "TP11636-SS-DL"}</v>
      </c>
      <c r="S12" s="17" t="s">
        <v>122</v>
      </c>
      <c r="T1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Q12)"),"{""Options"": {""Channel Configuration"": [{""name"": ""Single-Side &amp; Dual LED"", ""id"": ""101""}], ""Dimension"": [{""name"": ""116.1mm (W) x 36.5mm (H)"", ""id"": ""102""}], ""Finish"": [{""name"": ""Silver"", ""id"": ""103""}]}, ""Constraints"": {}, "&amp;"""sku_mappings"": [{""sku"": ""TP11636-SS-DL"", ""combination"": [""101"", ""102"", ""103""]}]}")</f>
        <v>{"Options": {"Channel Configuration": [{"name": "Single-Side &amp; Dual LED", "id": "101"}], "Dimension": [{"name": "116.1mm (W) x 36.5mm (H)", "id": "102"}], "Finish": [{"name": "Silver", "id": "103"}]}, "Constraints": {}, "sku_mappings": [{"sku": "TP11636-SS-DL", "combination": ["101", "102", "103"]}]}</v>
      </c>
      <c r="U12" s="18" t="s">
        <v>123</v>
      </c>
      <c r="V12" s="19" t="str">
        <f>IFERROR(__xludf.DUMMYFUNCTION("AI(""Extract options object from the json"", U12)"),"{""Channel Configuration"": [{""name"": ""Single-Side &amp; Dual LED"", ""id"": ""101""}], ""Dimension"": [{""name"": ""116.1mm (W) x 36.5mm (H)"", ""id"": ""102""}], ""Finish"": [{""name"": ""Silver"", ""id"": ""103""}]}")</f>
        <v>{"Channel Configuration": [{"name": "Single-Side &amp; Dual LED", "id": "101"}], "Dimension": [{"name": "116.1mm (W) x 36.5mm (H)", "id": "102"}], "Finish": [{"name": "Silver", "id": "103"}]}</v>
      </c>
      <c r="W12" s="19" t="str">
        <f>IFERROR(__xludf.DUMMYFUNCTION("AI(""Extract constraints object from the json"", U12)"),"{}")</f>
        <v>{}</v>
      </c>
      <c r="X12" s="19" t="str">
        <f>IFERROR(__xludf.DUMMYFUNCTION("AI(""Extract sku_mappings object from the json"", U12)"),"[{""sku"": ""TP11636-SS-DL"", ""combination"": [""101"", ""102"", ""103""]}]")</f>
        <v>[{"sku": "TP11636-SS-DL", "combination": ["101", "102", "103"]}]</v>
      </c>
      <c r="Y12" s="17" t="s">
        <v>41</v>
      </c>
      <c r="Z12" s="17" t="s">
        <v>124</v>
      </c>
      <c r="AA12" s="17" t="s">
        <v>43</v>
      </c>
      <c r="AB12" s="20"/>
      <c r="AC12" s="21" t="str">
        <f>IFERROR(__xludf.DUMMYFUNCTION("AI(""Generate 6 powerful unique keywords for the product in this row"")"),"Dual LED plaster profile, Wide trimless channel, Plaster-in architectural profile, Single-side dual strip profile, Recessed LED channel, Silver extrusion")</f>
        <v>Dual LED plaster profile, Wide trimless channel, Plaster-in architectural profile, Single-side dual strip profile, Recessed LED channel, Silver extrusion</v>
      </c>
      <c r="AD12" s="20" t="s">
        <v>125</v>
      </c>
    </row>
    <row r="13" ht="37.5" customHeight="1">
      <c r="A13" s="10" t="s">
        <v>126</v>
      </c>
      <c r="B13" s="11" t="s">
        <v>31</v>
      </c>
      <c r="C13" s="11" t="s">
        <v>32</v>
      </c>
      <c r="D13" s="11" t="s">
        <v>33</v>
      </c>
      <c r="E13" s="11" t="s">
        <v>34</v>
      </c>
      <c r="F13" s="12" t="str">
        <f>IFERROR(__xludf.DUMMYFUNCTION("AI(""Give me a paragraph marketing spiel for this product, no tech specs just marketing fluff "")"),"Transform your living spaces into a breathtaking sanctuary of light with this premium architectural lighting solution. Designed for those who cherish discreet luxury and sophisticated elegance, it seamlessly integrates into your environment to create an e"&amp;"nchanting play of light and shadow. Bathe your home in a warm, inviting glow that effortlessly highlights your unique decor and elevates the ambiance of any room, making every moment spent at home feel like a tranquil, high-end retreat.")</f>
        <v>Transform your living spaces into a breathtaking sanctuary of light with this premium architectural lighting solution. Designed for those who cherish discreet luxury and sophisticated elegance, it seamlessly integrates into your environment to create an enchanting play of light and shadow. Bathe your home in a warm, inviting glow that effortlessly highlights your unique decor and elevates the ambiance of any room, making every moment spent at home feel like a tranquil, high-end retreat.</v>
      </c>
      <c r="G13" s="11" t="s">
        <v>127</v>
      </c>
      <c r="H13" s="12" t="str">
        <f>IFERROR(__xludf.DUMMYFUNCTION("AI(""Give me a paragraph marketing spiel for this product, no tech specs just marketing fluff under 180 characters "")"),"Transform your home into a breathtaking sanctuary of light. Enjoy discreet luxury and an enchanting glow that effortlessly elevates the ambiance of any room.")</f>
        <v>Transform your home into a breathtaking sanctuary of light. Enjoy discreet luxury and an enchanting glow that effortlessly elevates the ambiance of any room.</v>
      </c>
      <c r="I13" s="11" t="s">
        <v>128</v>
      </c>
      <c r="J13" s="23"/>
      <c r="K13" s="23"/>
      <c r="L13" s="13" t="s">
        <v>126</v>
      </c>
      <c r="M13" s="13" t="s">
        <v>129</v>
      </c>
      <c r="N1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""&amp;M13)"),"Channel Configuration|Dimension|Finish")</f>
        <v>Channel Configuration|Dimension|Finish</v>
      </c>
      <c r="O13" s="15" t="s">
        <v>38</v>
      </c>
      <c r="P13"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""&amp;"&amp;"L13)"),"{""Channel Configuration"": ""Bendable Double-Sided"", ""Dimension"": ""60mm (W) x 14.7mm (H)"", ""Finish"": ""Silver"", ""SKU"": ""TP6014-DS-BEND""}")</f>
        <v>{"Channel Configuration": "Bendable Double-Sided", "Dimension": "60mm (W) x 14.7mm (H)", "Finish": "Silver", "SKU": "TP6014-DS-BEND"}</v>
      </c>
      <c r="Q13" s="15" t="s">
        <v>130</v>
      </c>
      <c r="R13"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Q13)"),"{""Channel Configuration"": ""Bendable Double-Sided"", ""Dimension"": ""60mm (W) x 14.7mm (H)"", ""Finish"": ""Silver"", ""SKU"": ""TP6014-DS-BEND""}")</f>
        <v>{"Channel Configuration": "Bendable Double-Sided", "Dimension": "60mm (W) x 14.7mm (H)", "Finish": "Silver", "SKU": "TP6014-DS-BEND"}</v>
      </c>
      <c r="S13" s="17" t="s">
        <v>130</v>
      </c>
      <c r="T13"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Q13)"),"{""Options"": {""Channel Configuration"": [{""name"": ""Bendable Double-Sided"", ""id"": ""101""}], ""Dimension"": [{""name"": ""60mm (W) x 14.7mm (H)"", ""id"": ""102""}], ""Finish"": [{""name"": ""Silver"", ""id"": ""103""}]}, ""Constraints"": {}, ""sku"&amp;"_mappings"": [{""sku"": ""TP6014-DS-BEND"", ""combination"": [""101"", ""102"", ""103""]}]}")</f>
        <v>{"Options": {"Channel Configuration": [{"name": "Bendable Double-Sided", "id": "101"}], "Dimension": [{"name": "60mm (W) x 14.7mm (H)", "id": "102"}], "Finish": [{"name": "Silver", "id": "103"}]}, "Constraints": {}, "sku_mappings": [{"sku": "TP6014-DS-BEND", "combination": ["101", "102", "103"]}]}</v>
      </c>
      <c r="U13" s="18" t="s">
        <v>131</v>
      </c>
      <c r="V13" s="19" t="str">
        <f>IFERROR(__xludf.DUMMYFUNCTION("AI(""Extract options object from the json"", U13)"),"{""Channel Configuration"": [{""name"": ""Bendable Double-Sided"", ""id"": ""101""}], ""Dimension"": [{""name"": ""60mm (W) x 14.7mm (H)"", ""id"": ""102""}], ""Finish"": [{""name"": ""Silver"", ""id"": ""103""}]}")</f>
        <v>{"Channel Configuration": [{"name": "Bendable Double-Sided", "id": "101"}], "Dimension": [{"name": "60mm (W) x 14.7mm (H)", "id": "102"}], "Finish": [{"name": "Silver", "id": "103"}]}</v>
      </c>
      <c r="W13" s="19" t="str">
        <f>IFERROR(__xludf.DUMMYFUNCTION("AI(""Extract constraints object from the json"", U13)"),"{}")</f>
        <v>{}</v>
      </c>
      <c r="X13" s="19" t="str">
        <f>IFERROR(__xludf.DUMMYFUNCTION("AI(""Extract sku_mappings object from the json"", U13)"),"[{""sku"": ""TP6014-DS-BEND"", ""combination"": [""101"", ""102"", ""103""]}]")</f>
        <v>[{"sku": "TP6014-DS-BEND", "combination": ["101", "102", "103"]}]</v>
      </c>
      <c r="Y13" s="17" t="s">
        <v>41</v>
      </c>
      <c r="Z13" s="17" t="s">
        <v>132</v>
      </c>
      <c r="AA13" s="17" t="s">
        <v>43</v>
      </c>
      <c r="AB13" s="20"/>
      <c r="AC13" s="21" t="str">
        <f>IFERROR(__xludf.DUMMYFUNCTION("AI(""Generate 6 powerful unique keywords for the product in this row"")"),"Bendable LED profile, Flexible plaster channel, Double-sided trimless profile, Curved plaster-in profile, Architectural bendable channel, Recessed flexible channel")</f>
        <v>Bendable LED profile, Flexible plaster channel, Double-sided trimless profile, Curved plaster-in profile, Architectural bendable channel, Recessed flexible channel</v>
      </c>
      <c r="AD13" s="20" t="s">
        <v>133</v>
      </c>
    </row>
    <row r="14" ht="37.5" customHeight="1">
      <c r="A14" s="10" t="s">
        <v>134</v>
      </c>
      <c r="B14" s="11" t="s">
        <v>135</v>
      </c>
      <c r="C14" s="11" t="s">
        <v>32</v>
      </c>
      <c r="D14" s="11" t="s">
        <v>136</v>
      </c>
      <c r="E14" s="11" t="s">
        <v>34</v>
      </c>
      <c r="F14" s="12" t="str">
        <f>IFERROR(__xludf.DUMMYFUNCTION("AI(""Give me a paragraph marketing spiel for this product, no tech specs just marketing fluff "")"),"Dive into an enchanting oasis of light and luxury with our premium illumination solution. Designed to effortlessly elevate your living experience, it bathes your retreat in a warm, sophisticated radiance that creates an unparalleled ambiance. Perfect for "&amp;"those with a discerning eye for discreet elegance, this seamless lighting design adds a breathtaking allure and a serene, captivating glow to every evening, turning any space into a welcoming sanctuary of modern style.")</f>
        <v>Dive into an enchanting oasis of light and luxury with our premium illumination solution. Designed to effortlessly elevate your living experience, it bathes your retreat in a warm, sophisticated radiance that creates an unparalleled ambiance. Perfect for those with a discerning eye for discreet elegance, this seamless lighting design adds a breathtaking allure and a serene, captivating glow to every evening, turning any space into a welcoming sanctuary of modern style.</v>
      </c>
      <c r="G14" s="11" t="s">
        <v>137</v>
      </c>
      <c r="H14" s="12" t="str">
        <f>IFERROR(__xludf.DUMMYFUNCTION("AI(""Give me a paragraph marketing spiel for this product, no tech specs just marketing fluff under 180 characters "")"),"Dive into an enchanting oasis of light and luxury. Elevate your retreat into a sophisticated, glowing sanctuary, adding breathtaking allure and serene ambiance to every evening.")</f>
        <v>Dive into an enchanting oasis of light and luxury. Elevate your retreat into a sophisticated, glowing sanctuary, adding breathtaking allure and serene ambiance to every evening.</v>
      </c>
      <c r="I14" s="11" t="s">
        <v>138</v>
      </c>
      <c r="J14" s="23"/>
      <c r="K14" s="23"/>
      <c r="L14" s="13" t="s">
        <v>134</v>
      </c>
      <c r="M14" s="13" t="s">
        <v>139</v>
      </c>
      <c r="N1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""&amp;M14)"),"Dimension|Finish")</f>
        <v>Dimension|Finish</v>
      </c>
      <c r="O14" s="15" t="s">
        <v>113</v>
      </c>
      <c r="P14"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""&amp;"&amp;"L14)"),"{""Dimension"": ""13.1mm (W) x 70mm (H)"", ""Finish"": ""Silver"", ""SKU"": ""SKR1370""}")</f>
        <v>{"Dimension": "13.1mm (W) x 70mm (H)", "Finish": "Silver", "SKU": "SKR1370"}</v>
      </c>
      <c r="Q14" s="15" t="s">
        <v>140</v>
      </c>
      <c r="R14"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Q14)"),"{""Dimension"": ""13.1mm (W) x 70mm (H)"", ""Finish"": ""Silver"", ""SKU"": ""SKR1370""}")</f>
        <v>{"Dimension": "13.1mm (W) x 70mm (H)", "Finish": "Silver", "SKU": "SKR1370"}</v>
      </c>
      <c r="S14" s="17" t="s">
        <v>140</v>
      </c>
      <c r="T14"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Q14)"),"{""Options"": {""Dimension"": [{""name"": ""13.1mm (W) x 70mm (H)"", ""id"": ""101""}], ""Finish"": [{""name"": ""Silver"", ""id"": ""102""}]}, ""Constraints"": {}, ""sku_mappings"": [{""sku"": ""SKR1370"", ""combination"": [""101"", ""102""]}]}")</f>
        <v>{"Options": {"Dimension": [{"name": "13.1mm (W) x 70mm (H)", "id": "101"}], "Finish": [{"name": "Silver", "id": "102"}]}, "Constraints": {}, "sku_mappings": [{"sku": "SKR1370", "combination": ["101", "102"]}]}</v>
      </c>
      <c r="U14" s="18" t="s">
        <v>141</v>
      </c>
      <c r="V14" s="19" t="str">
        <f>IFERROR(__xludf.DUMMYFUNCTION("AI(""Extract options object from the json"", U14)"),"{""Dimension"": [{""name"": ""13.1mm (W) x 70mm (H)"", ""id"": ""101""}], ""Finish"": [{""name"": ""Silver"", ""id"": ""102""}]}")</f>
        <v>{"Dimension": [{"name": "13.1mm (W) x 70mm (H)", "id": "101"}], "Finish": [{"name": "Silver", "id": "102"}]}</v>
      </c>
      <c r="W14" s="19" t="str">
        <f>IFERROR(__xludf.DUMMYFUNCTION("AI(""Extract constraints object from the json"", U14)"),"{}")</f>
        <v>{}</v>
      </c>
      <c r="X14" s="19" t="str">
        <f>IFERROR(__xludf.DUMMYFUNCTION("AI(""Extract sku_mappings object from the json"", U14)"),"[{""sku"": ""SKR1370"", ""combination"": [""101"", ""102""]}]")</f>
        <v>[{"sku": "SKR1370", "combination": ["101", "102"]}]</v>
      </c>
      <c r="Y14" s="17" t="s">
        <v>41</v>
      </c>
      <c r="Z14" s="17" t="s">
        <v>142</v>
      </c>
      <c r="AA14" s="17" t="s">
        <v>43</v>
      </c>
      <c r="AB14" s="20"/>
      <c r="AC14" s="21" t="str">
        <f>IFERROR(__xludf.DUMMYFUNCTION("AI(""Generate 6 powerful unique keywords for the product in this row"")"),"Skirting LED profile, Plaster-in skirting channel, Aluminium baseboard profile, Trimless skirting light, Floor-level plaster channel, Architectural skirting profile")</f>
        <v>Skirting LED profile, Plaster-in skirting channel, Aluminium baseboard profile, Trimless skirting light, Floor-level plaster channel, Architectural skirting profile</v>
      </c>
      <c r="AD14" s="20" t="s">
        <v>143</v>
      </c>
    </row>
    <row r="15" ht="37.5" customHeight="1">
      <c r="A15" s="10" t="s">
        <v>144</v>
      </c>
      <c r="B15" s="11" t="s">
        <v>135</v>
      </c>
      <c r="C15" s="11" t="s">
        <v>32</v>
      </c>
      <c r="D15" s="11" t="s">
        <v>136</v>
      </c>
      <c r="E15" s="11" t="s">
        <v>34</v>
      </c>
      <c r="F15" s="12" t="str">
        <f>IFERROR(__xludf.DUMMYFUNCTION("AI(""Give me a paragraph marketing spiel for this product, no tech specs just marketing fluff "")"),"Elevate your interior design with an elegant fusion of modern luxury and subtle sophistication. This premium trimless skirting illumination solution seamlessly embeds into your walls, casting a warm, floating glow that gracefully accentuates your space. C"&amp;"rafted for those who appreciate understated elegance and refined architectural detail, it transforms any room into a breathtaking sanctuary of light and style.")</f>
        <v>Elevate your interior design with an elegant fusion of modern luxury and subtle sophistication. This premium trimless skirting illumination solution seamlessly embeds into your walls, casting a warm, floating glow that gracefully accentuates your space. Crafted for those who appreciate understated elegance and refined architectural detail, it transforms any room into a breathtaking sanctuary of light and style.</v>
      </c>
      <c r="G15" s="11" t="s">
        <v>145</v>
      </c>
      <c r="H15" s="12" t="str">
        <f>IFERROR(__xludf.DUMMYFUNCTION("AI(""Give me a paragraph marketing spiel for this product, no tech specs just marketing fluff under 180 characters "")"),"Elevate your space with an elegant fusion of modern luxury and subtle sophistication, creating a breathtaking, floating sanctuary of light.")</f>
        <v>Elevate your space with an elegant fusion of modern luxury and subtle sophistication, creating a breathtaking, floating sanctuary of light.</v>
      </c>
      <c r="I15" s="11" t="s">
        <v>146</v>
      </c>
      <c r="J15" s="23"/>
      <c r="K15" s="23"/>
      <c r="L15" s="13" t="s">
        <v>144</v>
      </c>
      <c r="M15" s="13" t="s">
        <v>147</v>
      </c>
      <c r="N1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 Voltage (Example 20V, 12V/24V)
- Current Type (Example AC/DC)
- IP Rating (Example IP67, IP68)
- Impact Strength (Example IK10)
- Opt"&amp;"ics (Example SYS30°)
- Finish (Example Black finish, Silver)
- Channel Configuration (Example Singel-Sided, Double-Sided, Bendable Single-Sided, Bendable Double-Sided)
- Dimension (Example 53mm (W) x 14mm (H))
### STRICT OUTPUT RULES
1. Output ONLY the c"&amp;"orresponding labels mentioned above separated by pipes ('|'). 
2. Do not include the values in your output.
3. Do not include any conversational text, introductory remarks, or markdown formatting blocks.
4. The number of labels in your output must exactly"&amp;" match the number of values provided in the input.
---
### FEW-SHOT EXAMPLES
#### Example 1 (Standard Neon Strip)
Input: 1.2W | SYM 30° | 3000K | IP67 | IK10
Output: Power|Optics|Color Temperature|IP Rating|Impact Strength
Input: 7W | Warm White | 12V"&amp;"/24V | AC/DC | IP67 | Black
Output: Power | Light Color | Current Type | IP Rating | Finish
---
### YOUR TASK
Generate output for the values text ""&amp;M15)"),"Dimension|Finish")</f>
        <v>Dimension|Finish</v>
      </c>
      <c r="O15" s="15" t="s">
        <v>113</v>
      </c>
      <c r="P15"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""&amp;"&amp;"L15)"),"{""Dimension"": ""15.5mm (W) x 80mm (H)"", ""Finish"": ""Silver"", ""SKU"": ""SKR1580""}")</f>
        <v>{"Dimension": "15.5mm (W) x 80mm (H)", "Finish": "Silver", "SKU": "SKR1580"}</v>
      </c>
      <c r="Q15" s="15" t="s">
        <v>148</v>
      </c>
      <c r="R15"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Q15)"),"{""Dimension"": ""15.5mm (W) x 80mm (H)"", ""Finish"": ""Silver"", ""SKU"": ""SKR1580""}")</f>
        <v>{"Dimension": "15.5mm (W) x 80mm (H)", "Finish": "Silver", "SKU": "SKR1580"}</v>
      </c>
      <c r="S15" s="17" t="s">
        <v>148</v>
      </c>
      <c r="T15"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Color Temperature, IP Rating, Impact Strength).
   - Assign a unique sequential integer string ID to every attribute value, starting from """"101"""" and increme"&amp;"nting by 1 in the order they appear.
   - Format each attribute as an array of objects: `[{""""name"""": """"VALUE"""", """"id"""": """"ID""""}]`.
2. **Determine Constraints (Incompatibilities):**
   - Identify attribute pairs that are impossible or miss"&amp;"ing from the valid combinations.
   - Specifically, map an ID of an Option Value to an array of Option Value IDs that **cannot** be selected with it.
   - Output constraints in the format: `""""OPTION_ID"""": [INCOMPATIBLE_OPTION_ID]`.
   - Only list mean"&amp;"ingful non-empty constraints. Express constraints using the primary driving factor (e.g., optic limitation over CCT).
3. **Determine sku_mappings:**
   - Identify the valid combination and create a array with sku and combination containing array of optio"&amp;"ns ID
4. **Output Format:**
   - Return strictly valid JSON containing two root keys: """"Options"""", """"Constraints"""" and """"sku_mappings"""".
   - Do not wrap the JSON in conversational filler text.
---
### Example Input:
{""""SKU"""":""""HRS00"&amp;"1"""", """"Power"""": """"1.2W"""", """"Optics"""": """"SYM30°"""", """"Color Temperature"""": """"3000K"""", """"IP Rating"""": """"IP67"""", """"Impact Strength"""": """"IK10""""}
{""""SKU"""":""""HRS002"""", """"Power"""": """"1.2W"""", """"Optics"""":"&amp;" """"SYM30°"""", """"Color Temperature"""": """"4000K"""", """"IP Rating"""": """"IP67"""", """"Impact Strength"""": """"IK10""""}
{""""SKU"""":""""HRS003"""", """"Power"""": """"1.2W"""", """"Optics"""": """"SYM60°"""", """"Color Temperature"""": """"300"&amp;"0K"""", """"IP Rating"""": """"IP67"""", """"Impact Strength"""": """"IK10""""}
{""""SKU"""":""""HRS004"""", """"Power"""": """"1.2W"""", """"Optics"""": """"SYM60°"""", """"Color Temperature"""": """"4000K"""", """"IP Rating"""": """"IP67"""", """"Impact"&amp;" Strength"""": """"IK10""""}
{""""SKU"""":""""HRS005"""", """"Power"""": """"1.2W"""", """"Optics"""": """"ASYM50°"""", """"Color Temperature"""": """"3000K"""", """"IP Rating"""": """"IP67"""", """"Impact Strength"""": """"IK10""""}
### Example Output:
"&amp;"{
  """"Options"""": {
    """"Power"""": [
      {""""name"""": """"1.2W"""", """"id"""": """"101""""}
    ],
    """"Optics"""": [
      {""""name"""": """"SYM30°"""", """"id"""": """"102""""},
      {""""name"""": """"SYM60°"""", """"id"""": """"103"""&amp;"""},
      {""""name"""": """"ASYM50°"""", """"id"""": """"104""""}
    ],
    """"Color Temperature"""": [
      {""""name"""": """"3000K"""", """"id"""": """"105""""},
      {""""name"""": """"4000K"""", """"id"""": """"106""""}
    ],
    """"IP Rating"&amp;""""": [
      {""""name"""": """"IP67"""", """"id"""": """"107""""}
    ],
    """"Impact Strength"""": [
      {""""name"""": """"IK10"""", """"id"""": """"108""""}
    ]
  },
  """"Constraints"""": {
    """"104"""": [106]
  },
""""sku_mappings"""": [
 "&amp;"     { """"sku"""": """"HRS001"""", """"combination"""": [""""101"""", """"102"""", """"105"""", """"107"""", """"108""""] },
      { """"sku"""": """"HRS002"""", """"combination"""": [""""101"""", """"102"""", """"106"""", """"107"""", """"108""""] },
  "&amp;"    { """"sku"""": """"HRS003"""", """"combination"""": [""""101"""", """"103"""", """"105"""", """"107"""", """"108""""] },
      { """"sku"""": """"HRS004"""", """"combination"""": [""""101"""", """"103"""", """"106"""", """"107"""", """"108""""] },
   "&amp;"   { """"sku"""": """"HRS005"""", """"combination"""": [""""101"""", """"104"""", """"105"""", """"107"""", """"108""""] },
      { """"sku"""": """"HRS006"""", """"combination"""": [""""101"""", """"104"""", """"106"""", """"107"""", """"108""""] }
    ]"&amp;"
}
Process the following product variant combinations and output the """"Options"""", """"Constraints"""" and """"sku_mappings"""" JSON:"", Q15)"),"{""Options"": {""Dimension"": [{""name"": ""15.5mm (W) x 80mm (H)"", ""id"": ""101""}], ""Finish"": [{""name"": ""Silver"", ""id"": ""102""}]}, ""Constraints"": {}, ""sku_mappings"": [{""sku"": ""SKR1580"", ""combination"": [""101"", ""102""]}]}")</f>
        <v>{"Options": {"Dimension": [{"name": "15.5mm (W) x 80mm (H)", "id": "101"}], "Finish": [{"name": "Silver", "id": "102"}]}, "Constraints": {}, "sku_mappings": [{"sku": "SKR1580", "combination": ["101", "102"]}]}</v>
      </c>
      <c r="U15" s="18" t="s">
        <v>149</v>
      </c>
      <c r="V15" s="19" t="str">
        <f>IFERROR(__xludf.DUMMYFUNCTION("AI(""Extract options object from the json"", U15)"),"{""Dimension"": [{""name"": ""15.5mm (W) x 80mm (H)"", ""id"": ""101""}], ""Finish"": [{""name"": ""Silver"", ""id"": ""102""}]}")</f>
        <v>{"Dimension": [{"name": "15.5mm (W) x 80mm (H)", "id": "101"}], "Finish": [{"name": "Silver", "id": "102"}]}</v>
      </c>
      <c r="W15" s="19" t="str">
        <f>IFERROR(__xludf.DUMMYFUNCTION("AI(""Extract constraints object from the json"", U15)"),"{}")</f>
        <v>{}</v>
      </c>
      <c r="X15" s="19" t="str">
        <f>IFERROR(__xludf.DUMMYFUNCTION("AI(""Extract sku_mappings object from the json"", U15)"),"[{""sku"": ""SKR1580"", ""combination"": [""101"", ""102""]}]")</f>
        <v>[{"sku": "SKR1580", "combination": ["101", "102"]}]</v>
      </c>
      <c r="Y15" s="17" t="s">
        <v>41</v>
      </c>
      <c r="Z15" s="17" t="s">
        <v>150</v>
      </c>
      <c r="AA15" s="17" t="s">
        <v>43</v>
      </c>
      <c r="AB15" s="20"/>
      <c r="AC15" s="21" t="str">
        <f>IFERROR(__xludf.DUMMYFUNCTION("AI(""Generate 6 powerful unique keywords for the product in this row"")"),"Skirting LED profile, Plaster-in skirting channel, Aluminium baseboard profile, Trimless skirting light, Floor-level plaster channel, Recessed baseboard profile")</f>
        <v>Skirting LED profile, Plaster-in skirting channel, Aluminium baseboard profile, Trimless skirting light, Floor-level plaster channel, Recessed baseboard profile</v>
      </c>
      <c r="AD15" s="20" t="s">
        <v>151</v>
      </c>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row>
    <row r="19">
      <c r="A19" s="20"/>
      <c r="B19" s="20"/>
      <c r="C19" s="20"/>
      <c r="D19" s="20"/>
      <c r="E19" s="20"/>
      <c r="F19" s="20"/>
      <c r="G19" s="20"/>
      <c r="H19" s="20"/>
      <c r="I19" s="20"/>
      <c r="J19" s="20"/>
      <c r="K19" s="20"/>
      <c r="L19" s="20"/>
      <c r="M19" s="24"/>
      <c r="N19" s="20"/>
      <c r="O19" s="20"/>
      <c r="P19" s="20"/>
      <c r="Q19" s="20"/>
      <c r="R19" s="20"/>
      <c r="S19" s="20"/>
      <c r="T19" s="20"/>
      <c r="U19" s="20"/>
      <c r="V19" s="20"/>
      <c r="W19" s="20"/>
      <c r="X19" s="20"/>
      <c r="Y19" s="20"/>
      <c r="Z19" s="20"/>
      <c r="AA19" s="20"/>
      <c r="AB19" s="20"/>
      <c r="AC19" s="20"/>
      <c r="AD19" s="20"/>
    </row>
    <row r="20">
      <c r="A20" s="20"/>
      <c r="B20" s="20"/>
      <c r="C20" s="20"/>
      <c r="D20" s="20"/>
      <c r="E20" s="20"/>
      <c r="F20" s="20"/>
      <c r="G20" s="20"/>
      <c r="H20" s="20"/>
      <c r="I20" s="20"/>
      <c r="J20" s="20"/>
      <c r="K20" s="20"/>
      <c r="L20" s="20"/>
      <c r="M20" s="24"/>
      <c r="N20" s="20"/>
      <c r="O20" s="20"/>
      <c r="P20" s="20"/>
      <c r="Q20" s="20"/>
      <c r="R20" s="20"/>
      <c r="S20" s="20"/>
      <c r="T20" s="20"/>
      <c r="U20" s="20"/>
      <c r="V20" s="20"/>
      <c r="W20" s="20"/>
      <c r="X20" s="20"/>
      <c r="Y20" s="20"/>
      <c r="Z20" s="20"/>
      <c r="AA20" s="20"/>
      <c r="AB20" s="20"/>
      <c r="AC20" s="20"/>
      <c r="AD20" s="20"/>
    </row>
    <row r="21">
      <c r="A21" s="20"/>
      <c r="B21" s="20"/>
      <c r="C21" s="20"/>
      <c r="D21" s="20"/>
      <c r="E21" s="20"/>
      <c r="F21" s="20"/>
      <c r="G21" s="20"/>
      <c r="H21" s="20"/>
      <c r="I21" s="20"/>
      <c r="J21" s="20"/>
      <c r="K21" s="20"/>
      <c r="L21" s="20"/>
      <c r="M21" s="24"/>
      <c r="N21" s="20"/>
      <c r="O21" s="20"/>
      <c r="P21" s="20"/>
      <c r="Q21" s="20"/>
      <c r="R21" s="20"/>
      <c r="S21" s="20"/>
      <c r="T21" s="20"/>
      <c r="U21" s="20"/>
      <c r="V21" s="20"/>
      <c r="W21" s="20"/>
      <c r="X21" s="20"/>
      <c r="Y21" s="20"/>
      <c r="Z21" s="20"/>
      <c r="AA21" s="20"/>
      <c r="AB21" s="20"/>
      <c r="AC21" s="20"/>
      <c r="AD21" s="20"/>
    </row>
    <row r="22">
      <c r="A22" s="20"/>
      <c r="B22" s="20"/>
      <c r="C22" s="20"/>
      <c r="D22" s="20"/>
      <c r="E22" s="20"/>
      <c r="F22" s="20"/>
      <c r="G22" s="20"/>
      <c r="H22" s="20"/>
      <c r="I22" s="20"/>
      <c r="J22" s="20"/>
      <c r="K22" s="20"/>
      <c r="L22" s="20"/>
      <c r="M22" s="24"/>
      <c r="N22" s="20"/>
      <c r="O22" s="20"/>
      <c r="P22" s="20"/>
      <c r="Q22" s="20"/>
      <c r="R22" s="20"/>
      <c r="S22" s="20"/>
      <c r="T22" s="20"/>
      <c r="U22" s="20"/>
      <c r="V22" s="20"/>
      <c r="W22" s="20"/>
      <c r="X22" s="20"/>
      <c r="Y22" s="20"/>
      <c r="Z22" s="20"/>
      <c r="AA22" s="20"/>
      <c r="AB22" s="20"/>
      <c r="AC22" s="20"/>
      <c r="AD22" s="20"/>
    </row>
    <row r="23">
      <c r="A23" s="20"/>
      <c r="B23" s="20"/>
      <c r="C23" s="20"/>
      <c r="D23" s="20"/>
      <c r="E23" s="20"/>
      <c r="F23" s="20"/>
      <c r="G23" s="20"/>
      <c r="H23" s="20"/>
      <c r="I23" s="20"/>
      <c r="J23" s="20"/>
      <c r="K23" s="20"/>
      <c r="L23" s="20"/>
      <c r="M23" s="24"/>
      <c r="N23" s="20"/>
      <c r="O23" s="20"/>
      <c r="P23" s="20"/>
      <c r="Q23" s="20"/>
      <c r="R23" s="20"/>
      <c r="S23" s="20"/>
      <c r="T23" s="20"/>
      <c r="U23" s="20"/>
      <c r="V23" s="20"/>
      <c r="W23" s="20"/>
      <c r="X23" s="20"/>
      <c r="Y23" s="20"/>
      <c r="Z23" s="20"/>
      <c r="AA23" s="20"/>
      <c r="AB23" s="20"/>
      <c r="AC23" s="20"/>
      <c r="AD23" s="20"/>
    </row>
    <row r="24">
      <c r="A24" s="20"/>
      <c r="B24" s="20"/>
      <c r="C24" s="20"/>
      <c r="D24" s="20"/>
      <c r="E24" s="20"/>
      <c r="F24" s="20"/>
      <c r="G24" s="20"/>
      <c r="H24" s="20"/>
      <c r="I24" s="20"/>
      <c r="J24" s="20"/>
      <c r="K24" s="20"/>
      <c r="L24" s="20"/>
      <c r="M24" s="24"/>
      <c r="N24" s="20"/>
      <c r="O24" s="20"/>
      <c r="P24" s="20"/>
      <c r="Q24" s="20"/>
      <c r="R24" s="20"/>
      <c r="S24" s="20"/>
      <c r="T24" s="20"/>
      <c r="U24" s="20"/>
      <c r="V24" s="20"/>
      <c r="W24" s="20"/>
      <c r="X24" s="20"/>
      <c r="Y24" s="20"/>
      <c r="Z24" s="20"/>
      <c r="AA24" s="20"/>
      <c r="AB24" s="20"/>
      <c r="AC24" s="20"/>
      <c r="AD24" s="20"/>
    </row>
    <row r="25">
      <c r="A25" s="20"/>
      <c r="B25" s="20"/>
      <c r="C25" s="20"/>
      <c r="D25" s="20"/>
      <c r="E25" s="20"/>
      <c r="F25" s="20"/>
      <c r="G25" s="20"/>
      <c r="H25" s="20"/>
      <c r="I25" s="20"/>
      <c r="J25" s="20"/>
      <c r="K25" s="20"/>
      <c r="L25" s="20"/>
      <c r="M25" s="24"/>
      <c r="N25" s="20"/>
      <c r="O25" s="20"/>
      <c r="P25" s="20"/>
      <c r="Q25" s="20"/>
      <c r="R25" s="20"/>
      <c r="S25" s="20"/>
      <c r="T25" s="20"/>
      <c r="U25" s="20"/>
      <c r="V25" s="20"/>
      <c r="W25" s="20"/>
      <c r="X25" s="20"/>
      <c r="Y25" s="20"/>
      <c r="Z25" s="20"/>
      <c r="AA25" s="20"/>
      <c r="AB25" s="20"/>
      <c r="AC25" s="20"/>
      <c r="AD25" s="20"/>
    </row>
    <row r="26">
      <c r="A26" s="20"/>
      <c r="B26" s="20"/>
      <c r="C26" s="20"/>
      <c r="D26" s="20"/>
      <c r="E26" s="20"/>
      <c r="F26" s="20"/>
      <c r="G26" s="20"/>
      <c r="H26" s="20"/>
      <c r="I26" s="20"/>
      <c r="J26" s="20"/>
      <c r="K26" s="20"/>
      <c r="L26" s="20"/>
      <c r="M26" s="24"/>
      <c r="N26" s="20"/>
      <c r="O26" s="20"/>
      <c r="P26" s="20"/>
      <c r="Q26" s="20"/>
      <c r="R26" s="20"/>
      <c r="S26" s="20"/>
      <c r="T26" s="20"/>
      <c r="U26" s="20"/>
      <c r="V26" s="20"/>
      <c r="W26" s="20"/>
      <c r="X26" s="20"/>
      <c r="Y26" s="20"/>
      <c r="Z26" s="20"/>
      <c r="AA26" s="20"/>
      <c r="AB26" s="20"/>
      <c r="AC26" s="20"/>
      <c r="AD26" s="20"/>
    </row>
    <row r="27">
      <c r="A27" s="20"/>
      <c r="B27" s="20"/>
      <c r="C27" s="20"/>
      <c r="D27" s="20"/>
      <c r="E27" s="20"/>
      <c r="F27" s="20"/>
      <c r="G27" s="20"/>
      <c r="H27" s="20"/>
      <c r="I27" s="20"/>
      <c r="J27" s="20"/>
      <c r="K27" s="20"/>
      <c r="L27" s="20"/>
      <c r="M27" s="24"/>
      <c r="N27" s="20"/>
      <c r="O27" s="20"/>
      <c r="P27" s="20"/>
      <c r="Q27" s="20"/>
      <c r="R27" s="20"/>
      <c r="S27" s="20"/>
      <c r="T27" s="20"/>
      <c r="U27" s="20"/>
      <c r="V27" s="20"/>
      <c r="W27" s="20"/>
      <c r="X27" s="20"/>
      <c r="Y27" s="20"/>
      <c r="Z27" s="20"/>
      <c r="AA27" s="20"/>
      <c r="AB27" s="20"/>
      <c r="AC27" s="20"/>
      <c r="AD27" s="20"/>
    </row>
    <row r="28">
      <c r="A28" s="20"/>
      <c r="B28" s="20"/>
      <c r="C28" s="20"/>
      <c r="D28" s="20"/>
      <c r="E28" s="20"/>
      <c r="F28" s="20"/>
      <c r="G28" s="20"/>
      <c r="H28" s="20"/>
      <c r="I28" s="20"/>
      <c r="J28" s="20"/>
      <c r="K28" s="20"/>
      <c r="L28" s="20"/>
      <c r="M28" s="24"/>
      <c r="N28" s="20"/>
      <c r="O28" s="20"/>
      <c r="P28" s="20"/>
      <c r="Q28" s="20"/>
      <c r="R28" s="20"/>
      <c r="S28" s="20"/>
      <c r="T28" s="20"/>
      <c r="U28" s="20"/>
      <c r="V28" s="20"/>
      <c r="W28" s="20"/>
      <c r="X28" s="20"/>
      <c r="Y28" s="20"/>
      <c r="Z28" s="20"/>
      <c r="AA28" s="20"/>
      <c r="AB28" s="20"/>
      <c r="AC28" s="20"/>
      <c r="AD28" s="20"/>
    </row>
    <row r="29">
      <c r="A29" s="20"/>
      <c r="B29" s="20"/>
      <c r="C29" s="20"/>
      <c r="D29" s="20"/>
      <c r="E29" s="20"/>
      <c r="F29" s="20"/>
      <c r="G29" s="20"/>
      <c r="H29" s="20"/>
      <c r="I29" s="20"/>
      <c r="J29" s="20"/>
      <c r="K29" s="20"/>
      <c r="L29" s="20"/>
      <c r="M29" s="24"/>
      <c r="N29" s="20"/>
      <c r="O29" s="20"/>
      <c r="P29" s="20"/>
      <c r="Q29" s="20"/>
      <c r="R29" s="20"/>
      <c r="S29" s="20"/>
      <c r="T29" s="20"/>
      <c r="U29" s="20"/>
      <c r="V29" s="20"/>
      <c r="W29" s="20"/>
      <c r="X29" s="20"/>
      <c r="Y29" s="20"/>
      <c r="Z29" s="20"/>
      <c r="AA29" s="20"/>
      <c r="AB29" s="20"/>
      <c r="AC29" s="20"/>
      <c r="AD29" s="20"/>
    </row>
    <row r="30">
      <c r="A30" s="20"/>
      <c r="B30" s="20"/>
      <c r="C30" s="20"/>
      <c r="D30" s="20"/>
      <c r="E30" s="20"/>
      <c r="F30" s="20"/>
      <c r="G30" s="20"/>
      <c r="H30" s="20"/>
      <c r="I30" s="20"/>
      <c r="J30" s="20"/>
      <c r="K30" s="20"/>
      <c r="L30" s="20"/>
      <c r="M30" s="24"/>
      <c r="N30" s="20"/>
      <c r="O30" s="20"/>
      <c r="P30" s="20"/>
      <c r="Q30" s="20"/>
      <c r="R30" s="20"/>
      <c r="S30" s="20"/>
      <c r="T30" s="20"/>
      <c r="U30" s="20"/>
      <c r="V30" s="20"/>
      <c r="W30" s="20"/>
      <c r="X30" s="20"/>
      <c r="Y30" s="20"/>
      <c r="Z30" s="20"/>
      <c r="AA30" s="20"/>
      <c r="AB30" s="20"/>
      <c r="AC30" s="20"/>
      <c r="AD30" s="20"/>
    </row>
    <row r="31">
      <c r="A31" s="20"/>
      <c r="B31" s="20"/>
      <c r="C31" s="20"/>
      <c r="D31" s="20"/>
      <c r="E31" s="20"/>
      <c r="F31" s="20"/>
      <c r="G31" s="20"/>
      <c r="H31" s="20"/>
      <c r="I31" s="20"/>
      <c r="J31" s="20"/>
      <c r="K31" s="20"/>
      <c r="L31" s="20"/>
      <c r="M31" s="24"/>
      <c r="N31" s="20"/>
      <c r="O31" s="20"/>
      <c r="P31" s="20"/>
      <c r="Q31" s="20"/>
      <c r="R31" s="20"/>
      <c r="S31" s="20"/>
      <c r="T31" s="20"/>
      <c r="U31" s="20"/>
      <c r="V31" s="20"/>
      <c r="W31" s="20"/>
      <c r="X31" s="20"/>
      <c r="Y31" s="20"/>
      <c r="Z31" s="20"/>
      <c r="AA31" s="20"/>
      <c r="AB31" s="20"/>
      <c r="AC31" s="20"/>
      <c r="AD31" s="20"/>
    </row>
    <row r="32">
      <c r="A32" s="20"/>
      <c r="B32" s="20"/>
      <c r="C32" s="20"/>
      <c r="D32" s="20"/>
      <c r="E32" s="20"/>
      <c r="F32" s="20"/>
      <c r="G32" s="20"/>
      <c r="H32" s="20"/>
      <c r="I32" s="20"/>
      <c r="J32" s="20"/>
      <c r="K32" s="20"/>
      <c r="L32" s="20"/>
      <c r="M32" s="24"/>
      <c r="N32" s="20"/>
      <c r="O32" s="20"/>
      <c r="P32" s="20"/>
      <c r="Q32" s="20"/>
      <c r="R32" s="20"/>
      <c r="S32" s="20"/>
      <c r="T32" s="20"/>
      <c r="U32" s="20"/>
      <c r="V32" s="20"/>
      <c r="W32" s="20"/>
      <c r="X32" s="20"/>
      <c r="Y32" s="20"/>
      <c r="Z32" s="20"/>
      <c r="AA32" s="20"/>
      <c r="AB32" s="20"/>
      <c r="AC32" s="20"/>
      <c r="AD32" s="20"/>
    </row>
    <row r="33">
      <c r="A33" s="20"/>
      <c r="B33" s="20"/>
      <c r="C33" s="20"/>
      <c r="D33" s="20"/>
      <c r="E33" s="20"/>
      <c r="F33" s="20"/>
      <c r="G33" s="20"/>
      <c r="H33" s="20"/>
      <c r="I33" s="20"/>
      <c r="J33" s="20"/>
      <c r="K33" s="20"/>
      <c r="L33" s="20"/>
      <c r="M33" s="25"/>
      <c r="N33" s="20"/>
      <c r="O33" s="20"/>
      <c r="P33" s="20"/>
      <c r="Q33" s="20"/>
      <c r="R33" s="20"/>
      <c r="S33" s="20"/>
      <c r="T33" s="20"/>
      <c r="U33" s="20"/>
      <c r="V33" s="20"/>
      <c r="W33" s="20"/>
      <c r="X33" s="20"/>
      <c r="Y33" s="20"/>
      <c r="Z33" s="20"/>
      <c r="AA33" s="20"/>
      <c r="AB33" s="20"/>
      <c r="AC33" s="20"/>
      <c r="AD33" s="20"/>
    </row>
    <row r="34">
      <c r="A34" s="20"/>
      <c r="B34" s="20"/>
      <c r="C34" s="20"/>
      <c r="D34" s="20"/>
      <c r="E34" s="20"/>
      <c r="F34" s="20"/>
      <c r="G34" s="20"/>
      <c r="H34" s="20"/>
      <c r="I34" s="20"/>
      <c r="J34" s="20"/>
      <c r="K34" s="20"/>
      <c r="L34" s="20"/>
      <c r="M34" s="26"/>
      <c r="N34" s="20"/>
      <c r="O34" s="20"/>
      <c r="P34" s="20"/>
      <c r="Q34" s="20"/>
      <c r="R34" s="20"/>
      <c r="S34" s="20"/>
      <c r="T34" s="20"/>
      <c r="U34" s="20"/>
      <c r="V34" s="20"/>
      <c r="W34" s="20"/>
      <c r="X34" s="20"/>
      <c r="Y34" s="20"/>
      <c r="Z34" s="20"/>
      <c r="AA34" s="20"/>
      <c r="AB34" s="20"/>
      <c r="AC34" s="20"/>
      <c r="AD34" s="20"/>
    </row>
    <row r="35">
      <c r="A35" s="20"/>
      <c r="B35" s="20"/>
      <c r="C35" s="20"/>
      <c r="D35" s="20"/>
      <c r="E35" s="20"/>
      <c r="F35" s="20"/>
      <c r="G35" s="20"/>
      <c r="H35" s="20"/>
      <c r="I35" s="20"/>
      <c r="J35" s="20"/>
      <c r="K35" s="20"/>
      <c r="L35" s="20"/>
      <c r="M35" s="25"/>
      <c r="N35" s="20"/>
      <c r="O35" s="20"/>
      <c r="P35" s="20"/>
      <c r="Q35" s="20"/>
      <c r="R35" s="20"/>
      <c r="S35" s="20"/>
      <c r="T35" s="20"/>
      <c r="U35" s="20"/>
      <c r="V35" s="20"/>
      <c r="W35" s="20"/>
      <c r="X35" s="20"/>
      <c r="Y35" s="20"/>
      <c r="Z35" s="20"/>
      <c r="AA35" s="20"/>
      <c r="AB35" s="20"/>
      <c r="AC35" s="20"/>
      <c r="AD35" s="20"/>
    </row>
    <row r="36">
      <c r="A36" s="20"/>
      <c r="B36" s="20"/>
      <c r="C36" s="20"/>
      <c r="D36" s="20"/>
      <c r="E36" s="20"/>
      <c r="F36" s="20"/>
      <c r="G36" s="20"/>
      <c r="H36" s="20"/>
      <c r="I36" s="20"/>
      <c r="J36" s="20"/>
      <c r="K36" s="20"/>
      <c r="L36" s="20"/>
      <c r="M36" s="26"/>
      <c r="N36" s="20"/>
      <c r="O36" s="20"/>
      <c r="P36" s="20"/>
      <c r="Q36" s="20"/>
      <c r="R36" s="20"/>
      <c r="S36" s="20"/>
      <c r="T36" s="20"/>
      <c r="U36" s="20"/>
      <c r="V36" s="20"/>
      <c r="W36" s="20"/>
      <c r="X36" s="20"/>
      <c r="Y36" s="20"/>
      <c r="Z36" s="20"/>
      <c r="AA36" s="20"/>
      <c r="AB36" s="20"/>
      <c r="AC36" s="20"/>
      <c r="AD36" s="20"/>
    </row>
    <row r="37">
      <c r="A37" s="20"/>
      <c r="B37" s="20"/>
      <c r="C37" s="20"/>
      <c r="D37" s="20"/>
      <c r="E37" s="20"/>
      <c r="F37" s="20"/>
      <c r="G37" s="20"/>
      <c r="H37" s="20"/>
      <c r="I37" s="20"/>
      <c r="J37" s="20"/>
      <c r="K37" s="20"/>
      <c r="L37" s="20"/>
      <c r="M37" s="25"/>
      <c r="N37" s="20"/>
      <c r="O37" s="20"/>
      <c r="P37" s="20"/>
      <c r="Q37" s="20"/>
      <c r="R37" s="20"/>
      <c r="S37" s="20"/>
      <c r="T37" s="20"/>
      <c r="U37" s="20"/>
      <c r="V37" s="20"/>
      <c r="W37" s="20"/>
      <c r="X37" s="20"/>
      <c r="Y37" s="20"/>
      <c r="Z37" s="20"/>
      <c r="AA37" s="20"/>
      <c r="AB37" s="20"/>
      <c r="AC37" s="20"/>
      <c r="AD37" s="20"/>
    </row>
    <row r="38">
      <c r="A38" s="20"/>
      <c r="B38" s="20"/>
      <c r="C38" s="20"/>
      <c r="D38" s="20"/>
      <c r="E38" s="20"/>
      <c r="F38" s="20"/>
      <c r="G38" s="20"/>
      <c r="H38" s="20"/>
      <c r="I38" s="20"/>
      <c r="J38" s="20"/>
      <c r="K38" s="20"/>
      <c r="L38" s="20"/>
      <c r="M38" s="26"/>
      <c r="N38" s="20"/>
      <c r="O38" s="20"/>
      <c r="P38" s="20"/>
      <c r="Q38" s="20"/>
      <c r="R38" s="20"/>
      <c r="S38" s="20"/>
      <c r="T38" s="20"/>
      <c r="U38" s="20"/>
      <c r="V38" s="20"/>
      <c r="W38" s="20"/>
      <c r="X38" s="20"/>
      <c r="Y38" s="20"/>
      <c r="Z38" s="20"/>
      <c r="AA38" s="20"/>
      <c r="AB38" s="20"/>
      <c r="AC38" s="20"/>
      <c r="AD38" s="20"/>
    </row>
    <row r="39">
      <c r="A39" s="20"/>
      <c r="B39" s="20"/>
      <c r="C39" s="20"/>
      <c r="D39" s="20"/>
      <c r="E39" s="20"/>
      <c r="F39" s="20"/>
      <c r="G39" s="20"/>
      <c r="H39" s="20"/>
      <c r="I39" s="20"/>
      <c r="J39" s="20"/>
      <c r="K39" s="20"/>
      <c r="L39" s="20"/>
      <c r="M39" s="25"/>
      <c r="N39" s="20"/>
      <c r="O39" s="20"/>
      <c r="P39" s="20"/>
      <c r="Q39" s="20"/>
      <c r="R39" s="20"/>
      <c r="S39" s="20"/>
      <c r="T39" s="20"/>
      <c r="U39" s="20"/>
      <c r="V39" s="20"/>
      <c r="W39" s="20"/>
      <c r="X39" s="20"/>
      <c r="Y39" s="20"/>
      <c r="Z39" s="20"/>
      <c r="AA39" s="20"/>
      <c r="AB39" s="20"/>
      <c r="AC39" s="20"/>
      <c r="AD39" s="20"/>
    </row>
    <row r="40">
      <c r="A40" s="20"/>
      <c r="B40" s="20"/>
      <c r="C40" s="20"/>
      <c r="D40" s="20"/>
      <c r="E40" s="20"/>
      <c r="F40" s="20"/>
      <c r="G40" s="20"/>
      <c r="H40" s="20"/>
      <c r="I40" s="20"/>
      <c r="J40" s="20"/>
      <c r="K40" s="20"/>
      <c r="L40" s="20"/>
      <c r="M40" s="26"/>
      <c r="N40" s="20"/>
      <c r="O40" s="20"/>
      <c r="P40" s="20"/>
      <c r="Q40" s="20"/>
      <c r="R40" s="20"/>
      <c r="S40" s="20"/>
      <c r="T40" s="20"/>
      <c r="U40" s="20"/>
      <c r="V40" s="20"/>
      <c r="W40" s="20"/>
      <c r="X40" s="20"/>
      <c r="Y40" s="20"/>
      <c r="Z40" s="20"/>
      <c r="AA40" s="20"/>
      <c r="AB40" s="20"/>
      <c r="AC40" s="20"/>
      <c r="AD40" s="20"/>
    </row>
    <row r="41">
      <c r="A41" s="20"/>
      <c r="B41" s="20"/>
      <c r="C41" s="20"/>
      <c r="D41" s="20"/>
      <c r="E41" s="20"/>
      <c r="F41" s="20"/>
      <c r="G41" s="20"/>
      <c r="H41" s="20"/>
      <c r="I41" s="20"/>
      <c r="J41" s="20"/>
      <c r="K41" s="20"/>
      <c r="L41" s="20"/>
      <c r="M41" s="25"/>
      <c r="N41" s="20"/>
      <c r="O41" s="20"/>
      <c r="P41" s="20"/>
      <c r="Q41" s="20"/>
      <c r="R41" s="20"/>
      <c r="S41" s="20"/>
      <c r="T41" s="20"/>
      <c r="U41" s="20"/>
      <c r="V41" s="20"/>
      <c r="W41" s="20"/>
      <c r="X41" s="20"/>
      <c r="Y41" s="20"/>
      <c r="Z41" s="20"/>
      <c r="AA41" s="20"/>
      <c r="AB41" s="20"/>
      <c r="AC41" s="20"/>
      <c r="AD41" s="20"/>
    </row>
    <row r="42">
      <c r="A42" s="20"/>
      <c r="B42" s="20"/>
      <c r="C42" s="20"/>
      <c r="D42" s="20"/>
      <c r="E42" s="20"/>
      <c r="F42" s="20"/>
      <c r="G42" s="20"/>
      <c r="H42" s="20"/>
      <c r="I42" s="20"/>
      <c r="J42" s="20"/>
      <c r="K42" s="20"/>
      <c r="L42" s="20"/>
      <c r="M42" s="26"/>
      <c r="N42" s="20"/>
      <c r="O42" s="20"/>
      <c r="P42" s="20"/>
      <c r="Q42" s="20"/>
      <c r="R42" s="20"/>
      <c r="S42" s="20"/>
      <c r="T42" s="20"/>
      <c r="U42" s="20"/>
      <c r="V42" s="20"/>
      <c r="W42" s="20"/>
      <c r="X42" s="20"/>
      <c r="Y42" s="20"/>
      <c r="Z42" s="20"/>
      <c r="AA42" s="20"/>
      <c r="AB42" s="20"/>
      <c r="AC42" s="20"/>
      <c r="AD42" s="20"/>
    </row>
    <row r="43">
      <c r="A43" s="20"/>
      <c r="B43" s="20"/>
      <c r="C43" s="20"/>
      <c r="D43" s="20"/>
      <c r="E43" s="20"/>
      <c r="F43" s="20"/>
      <c r="G43" s="20"/>
      <c r="H43" s="20"/>
      <c r="I43" s="20"/>
      <c r="J43" s="20"/>
      <c r="K43" s="20"/>
      <c r="L43" s="20"/>
      <c r="M43" s="25"/>
      <c r="N43" s="20"/>
      <c r="O43" s="20"/>
      <c r="P43" s="20"/>
      <c r="Q43" s="20"/>
      <c r="R43" s="20"/>
      <c r="S43" s="20"/>
      <c r="T43" s="20"/>
      <c r="U43" s="20"/>
      <c r="V43" s="20"/>
      <c r="W43" s="20"/>
      <c r="X43" s="20"/>
      <c r="Y43" s="20"/>
      <c r="Z43" s="20"/>
      <c r="AA43" s="20"/>
      <c r="AB43" s="20"/>
      <c r="AC43" s="20"/>
      <c r="AD43" s="20"/>
    </row>
    <row r="44">
      <c r="A44" s="20"/>
      <c r="B44" s="20"/>
      <c r="C44" s="20"/>
      <c r="D44" s="20"/>
      <c r="E44" s="20"/>
      <c r="F44" s="20"/>
      <c r="G44" s="20"/>
      <c r="H44" s="20"/>
      <c r="I44" s="20"/>
      <c r="J44" s="20"/>
      <c r="K44" s="20"/>
      <c r="L44" s="20"/>
      <c r="M44" s="26"/>
      <c r="N44" s="20"/>
      <c r="O44" s="20"/>
      <c r="P44" s="20"/>
      <c r="Q44" s="20"/>
      <c r="R44" s="20"/>
      <c r="S44" s="20"/>
      <c r="T44" s="20"/>
      <c r="U44" s="20"/>
      <c r="V44" s="20"/>
      <c r="W44" s="20"/>
      <c r="X44" s="20"/>
      <c r="Y44" s="20"/>
      <c r="Z44" s="20"/>
      <c r="AA44" s="20"/>
      <c r="AB44" s="20"/>
      <c r="AC44" s="20"/>
      <c r="AD44" s="20"/>
    </row>
    <row r="45">
      <c r="A45" s="20"/>
      <c r="B45" s="20"/>
      <c r="C45" s="20"/>
      <c r="D45" s="20"/>
      <c r="E45" s="20"/>
      <c r="F45" s="20"/>
      <c r="G45" s="20"/>
      <c r="H45" s="20"/>
      <c r="I45" s="20"/>
      <c r="J45" s="20"/>
      <c r="K45" s="20"/>
      <c r="L45" s="20"/>
      <c r="M45" s="25"/>
      <c r="N45" s="20"/>
      <c r="O45" s="20"/>
      <c r="P45" s="20"/>
      <c r="Q45" s="20"/>
      <c r="R45" s="20"/>
      <c r="S45" s="20"/>
      <c r="T45" s="20"/>
      <c r="U45" s="20"/>
      <c r="V45" s="20"/>
      <c r="W45" s="20"/>
      <c r="X45" s="20"/>
      <c r="Y45" s="20"/>
      <c r="Z45" s="20"/>
      <c r="AA45" s="20"/>
      <c r="AB45" s="20"/>
      <c r="AC45" s="20"/>
      <c r="AD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sheetData>
  <drawing r:id="rId1"/>
  <tableParts count="3">
    <tablePart r:id="rId5"/>
    <tablePart r:id="rId6"/>
    <tablePart r:id="rId7"/>
  </tableParts>
</worksheet>
</file>