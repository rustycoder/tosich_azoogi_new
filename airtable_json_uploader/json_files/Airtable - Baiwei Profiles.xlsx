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sharedStrings.xml><?xml version="1.0" encoding="utf-8"?>
<sst xmlns="http://schemas.openxmlformats.org/spreadsheetml/2006/main" count="131" uniqueCount="90">
  <si>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</si>
  <si>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</si>
  <si>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</si>
  <si>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</si>
  <si>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</si>
  <si>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</si>
  <si>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</si>
  <si>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</si>
  <si>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</si>
  <si>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</si>
  <si>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</si>
  <si>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</si>
  <si>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</si>
  <si>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</si>
  <si>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</si>
  <si>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</si>
  <si>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</si>
  <si>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</si>
  <si>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</si>
  <si>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</si>
  <si>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</si>
  <si>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</si>
  <si>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</si>
  <si>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</si>
  <si>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</si>
  <si>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TP5314-DS</t>
  </si>
  <si>
    <t>Aluminium Trimless Plaster Profile</t>
  </si>
  <si>
    <t>simple</t>
  </si>
  <si>
    <t>Profiles</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</si>
  <si>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</si>
  <si>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</si>
  <si>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Transform your home into a breathtaking visual journey. Experience discreet luxury and a sophisticated, seamless glow that beautifully enhances your elegant spaces.</t>
  </si>
  <si>
    <t>Double-Sided | 53mm (W) x 14mm (H) | Silver</t>
  </si>
  <si>
    <t>Channel Configuration|Dimension|Finish</t>
  </si>
  <si>
    <t>{"Channel Configuration": "Double-Sided", "Dimension": "53mm (W) x 14mm (H)", "Finish": "Silver"}</t>
  </si>
  <si>
    <t>{"Channel Configuration": ["Double-Sided", "Bendable Single-Sided", "Bendable Double-Sided", "Single-Sided", "Single-Side &amp; Dual LED"], "Dimension": ["53mm (W) x 14mm (H)", "34.4mm (W) x 14mm (H)", "51mm (W) x 13.1mm (H)", "52.6mm (W) x 13.7mm (H)", "60mm (W) x 12.9mm (H)", "69mm (W) x 13.5mm (H)", "53mm (W) x 14.5mm (H)", "36.19mm (W) x 14mm (H)", "62mm (W) x 13mm (H)", "53mm (W) x 16mm (H)", "116.1mm (W) x 36.5mm (H)", "60mm (W) x 14.7mm (H)"], "Finish": "Silver"}</t>
  </si>
  <si>
    <t>{ "Options": { "Channel Configuration": [ {"name": "Double-Sided", "id": "101"}, {"name": "Bendable Single-Sided", "id": "102"}, {"name": "Bendable Double-Sided", "id": "103"}, {"name": "Single-Sided", "id": "104"}, {"name": "Single-Side &amp; Dual LED", "id": "105"} ], "Dimension": [ {"name": "53mm (W) x 14mm (H)", "id": "106"}, {"name": "34.4mm (W) x 14mm (H)", "id": "107"}, {"name": "51mm (W) x 13.1mm (H)", "id": "108"}, {"name": "52.6mm (W) x 13.7mm (H)", "id": "109"}, {"name": "60mm (W) x 12.9mm (H)", "id": "110"}, {"name": "69mm (W) x 13.5mm (H)", "id": "111"}, {"name": "53mm (W) x 14.5mm (H)", "id": "112"}, {"name": "36.19mm (W) x 14mm (H)", "id": "113"}, {"name": "62mm (W) x 13mm (H)", "id": "114"}, {"name": "53mm (W) x 16mm (H)", "id": "115"}, {"name": "116.1mm (W) x 36.5mm (H)", "id": "116"}, {"name": "60mm (W) x 14.7mm (H)", "id": "117"} ], "Finish": [ {"name": "Silver", "id": "118"} ] }, "Constraints": { "101": ["107", "108", "109", "110", "111", "112", "113", "114", "115", "116", "117"], "102": ["106", "108", "109", "110", "111", "112", "113", "114", "115", "116", "117"], "103": ["106", "107", "112", "113", "114", "115", "116"], "104": ["106", "107", "108", "109", "110", "111", "115", "116", "117"], "105": ["106", "107", "108", "109", "110", "111", "112", "113", "114", "115", "117"] } }</t>
  </si>
  <si>
    <t>{ "Channel Configuration": [ {"name": "Double-Sided", "id": "101"}, {"name": "Bendable Single-Sided", "id": "102"}, {"name": "Bendable Double-Sided", "id": "103"}, {"name": "Single-Sided", "id": "104"}, {"name": "Single-Side &amp; Dual LED", "id": "105"} ], "Dimension": [ {"name": "53mm (W) x 14mm (H)", "id": "106"}, {"name": "34.4mm (W) x 14mm (H)", "id": "107"}, {"name": "51mm (W) x 13.1mm (H)", "id": "108"}, {"name": "52.6mm (W) x 13.7mm (H)", "id": "109"}, {"name": "60mm (W) x 12.9mm (H)", "id": "110"}, {"name": "69mm (W) x 13.5mm (H)", "id": "111"}, {"name": "53mm (W) x 14.5mm (H)", "id": "112"}, {"name": "36.19mm (W) x 14mm (H)", "id": "113"}, {"name": "62mm (W) x 13mm (H)", "id": "114"}, {"name": "53mm (W) x 16mm (H)", "id": "115"}, {"name": "116.1mm (W) x 36.5mm (H)", "id": "116"}, {"name": "60mm (W) x 14.7mm (H)", "id": "117"} ], "Finish": [ {"name": "Silver", "id": "118"} ] }</t>
  </si>
  <si>
    <t>{ "101": ["107", "108", "109", "110", "111", "112", "113", "114", "115", "116", "117"], "102": ["106", "108", "109", "110", "111", "112", "113", "114", "115", "116", "117"], "103": ["106", "107", "112", "113", "114", "115", "116"], "104": ["106", "107", "108", "109", "110", "111", "115", "116", "117"], "105": ["106", "107", "108", "109", "110", "111", "112", "113", "114", "115", "117"] }</t>
  </si>
  <si>
    <t>BAIWEI</t>
  </si>
  <si>
    <t>L200</t>
  </si>
  <si>
    <t>No</t>
  </si>
  <si>
    <t>Bendable Single-Sided | 34.4mm (W) x 14mm (H) | Silver</t>
  </si>
  <si>
    <t>{"Channel Configuration": "Bendable Single-Sided", "Dimension": "34.4mm (W) x 14mm (H)", "Finish": "Silver"}</t>
  </si>
  <si>
    <t>L872</t>
  </si>
  <si>
    <t>Bendable Double-Sided | 51mm (W) x 13.1mm (H) | Silver</t>
  </si>
  <si>
    <t>{"Channel Configuration": "Bendable Double-Sided", "Dimension": "51mm (W) x 13.1mm (H)", "Finish": "Silver"}</t>
  </si>
  <si>
    <t>L870</t>
  </si>
  <si>
    <t>Bendable Double-Sided | 52.6mm (W) x 13.7mm (H) | Silver</t>
  </si>
  <si>
    <t>{"Channel Configuration": "Bendable Double-Sided", "Dimension": "52.6mm (W) x 13.7mm (H)", "Finish": "Silver"}</t>
  </si>
  <si>
    <t>L874</t>
  </si>
  <si>
    <t>Bendable Double-Sided | 60mm (W) x 12.9mm (H) | Silver</t>
  </si>
  <si>
    <t>{"Channel Configuration": "Bendable Double-Sided", "Dimension": "60mm (W) x 12.9mm (H)", "Finish": "Silver"}</t>
  </si>
  <si>
    <t>L878</t>
  </si>
  <si>
    <t>Bendable Double-Sided | 69mm (W) x 13.5mm (H) | Silver</t>
  </si>
  <si>
    <t>{"Channel Configuration": "Bendable Double-Sided", "Dimension": "69mm (W) x 13.5mm (H)", "Finish": "Silver"}</t>
  </si>
  <si>
    <t>L880</t>
  </si>
  <si>
    <t>Single-Sided | 53mm (W) x 14.5mm (H) | Silver</t>
  </si>
  <si>
    <t>{"Channel Configuration": "Single-Sided", "Dimension": "53mm (W) x 14.5mm (H)", "Finish": "Silver"}</t>
  </si>
  <si>
    <t>L275</t>
  </si>
  <si>
    <t>Single-Sided | 36.19mm (W) x 14mm (H) | Silver</t>
  </si>
  <si>
    <t>{"Channel Configuration": "Single-Sided", "Dimension": "36.19mm (W) x 14mm (H)", "Finish": "Silver"}</t>
  </si>
  <si>
    <t>L606</t>
  </si>
  <si>
    <t>Single-Sided | 62mm (W) x 13mm (H) | Silver</t>
  </si>
  <si>
    <t>{"Channel Configuration": "Single-Sided", "Dimension": "62mm (W) x 13mm (H)", "Finish": "Silver"}</t>
  </si>
  <si>
    <t>L548</t>
  </si>
  <si>
    <t>53mm (W) x 16mm (H) | Silver</t>
  </si>
  <si>
    <t>Dimension|Finish</t>
  </si>
  <si>
    <t>{"Dimension": "53mm (W) x 16mm (H)", "Finish": "Silver"}</t>
  </si>
  <si>
    <t>L866</t>
  </si>
  <si>
    <t>Single-Side &amp; Dual LED | 116.1mm (W) x 36.5mm (H) | Silver</t>
  </si>
  <si>
    <t>{"Channel Configuration": "Single-Side &amp; Dual LED", "Dimension": "116.1mm (W) x 36.5mm (H)", "Finish": "Silver"}</t>
  </si>
  <si>
    <t>L730</t>
  </si>
  <si>
    <t>Bendable Double-Sided | 60mm (W) x 14.7mm (H) | Silver</t>
  </si>
  <si>
    <t>{"Channel Configuration": "Bendable Double-Sided", "Dimension": "60mm (W) x 14.7mm (H)", "Finish": "Silver"}</t>
  </si>
  <si>
    <t>L886</t>
  </si>
  <si>
    <t>SKR1370</t>
  </si>
  <si>
    <t>Aluminium Skirting Trimless Plaster Profile</t>
  </si>
  <si>
    <t>Dive into an enchanting oasis of light and luxury with our premium illumination solution. Designed to effortlessly elevate your living experience, it bathes your retreat in a warm, sophisticated radiance that creates an unparalleled ambiance. Perfect for those with a discerning eye for discreet elegance, this seamless lighting design adds a breathtaking allure and a serene, captivating glow to every evening, turning any space into a welcoming sanctuary of modern style.</t>
  </si>
  <si>
    <t>Dive into an enchanting oasis of light and luxury. Elevate your retreat into a sophisticated, glowing sanctuary, adding breathtaking allure and serene ambiance to every evening.</t>
  </si>
  <si>
    <t>13.1mm (W) x 70mm (H) | Silver</t>
  </si>
  <si>
    <t>{"Dimension": "13.1mm (W) x 70mm (H)", "Finish": "Silver"}</t>
  </si>
  <si>
    <t>{"Dimension": ["13.1mm (W) x 70mm (H)", "15.5mm (W) x 80mm (H)"], "Finish": "Silver"}</t>
  </si>
  <si>
    <t>{ "Options": { "Dimension": [ {"name": "13.1mm (W) x 70mm (H)", "id": "101"}, {"name": "15.5mm (W) x 80mm (H)", "id": "102"} ], "Finish": [ {"name": "Silver", "id": "103"} ] }, "Constraints": {} }</t>
  </si>
  <si>
    <t>{ "Dimension": [ {"name": "13.1mm (W) x 70mm (H)", "id": "101"}, {"name": "15.5mm (W) x 80mm (H)", "id": "102"} ], "Finish": [ {"name": "Silver", "id": "103"} ] }</t>
  </si>
  <si>
    <t>[]</t>
  </si>
  <si>
    <t>L835</t>
  </si>
  <si>
    <t>15.5mm (W) x 80mm (H) | Silver</t>
  </si>
  <si>
    <t>{"Dimension": "15.5mm (W) x 80mm (H)", "Finish": "Silver"}</t>
  </si>
  <si>
    <t>L512</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</si>
</sst>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xf borderId="1" fillId="6" fontId="5" numFmtId="0" xfId="0" applyAlignment="1" applyBorder="1" applyFont="1">
      <alignment shrinkToFit="0" vertical="center" wrapText="1"/>
    </xf>
    <xf borderId="1" fillId="8" fontId="5" numFmtId="0" xfId="0" applyAlignment="1" applyBorder="1" applyFont="1">
      <alignment shrinkToFit="0" vertical="center" wrapText="1"/>
    </xf>
    <xf borderId="1" fillId="0" fontId="3" numFmtId="0" xfId="0" applyAlignment="1" applyBorder="1" applyFont="1">
      <alignment readingOrder="0" shrinkToFit="0" vertical="center" wrapText="1"/>
    </xf>
    <xf borderId="1" fillId="6" fontId="3"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Y15"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14.13"/>
    <col customWidth="1" min="3" max="3" width="11.75"/>
    <col customWidth="1" min="4" max="4" width="9.88"/>
    <col customWidth="1" min="5" max="5" width="6.38"/>
    <col customWidth="1" min="6" max="9" width="50.13"/>
    <col customWidth="1" min="10" max="11" width="28.75"/>
    <col customWidth="1" min="12" max="12" width="43.25"/>
    <col customWidth="1" min="13" max="14" width="34.75"/>
    <col customWidth="1" min="15" max="22" width="50.13"/>
    <col customWidth="1" min="23" max="25" width="12.6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6"/>
    </row>
    <row r="2" ht="37.5" customHeight="1">
      <c r="A2" s="7" t="s">
        <v>25</v>
      </c>
      <c r="B2" s="7" t="s">
        <v>26</v>
      </c>
      <c r="C2" s="8" t="s">
        <v>27</v>
      </c>
      <c r="D2" s="8" t="s">
        <v>28</v>
      </c>
      <c r="E2" s="8" t="s">
        <v>29</v>
      </c>
      <c r="F2"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8" t="s">
        <v>30</v>
      </c>
      <c r="H2" s="9" t="str">
        <f>IFERROR(__xludf.DUMMYFUNCTION("AI(""Give me a paragraph marketing spiel for this product, no tech specs just marketing fluff under 180 characters "")"),"Transform your home into a breathtaking visual journey. Experience discreet luxury and a sophisticated, seamless glow that beautifully enhances your elegant spaces.")</f>
        <v>Transform your home into a breathtaking visual journey. Experience discreet luxury and a sophisticated, seamless glow that beautifully enhances your elegant spaces.</v>
      </c>
      <c r="I2" s="8" t="s">
        <v>31</v>
      </c>
      <c r="J2" s="8"/>
      <c r="K2" s="8"/>
      <c r="L2" s="10" t="s">
        <v>32</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""&amp;L2)"),"Channel Configuration|Dimension|Finish")</f>
        <v>Channel Configuration|Dimension|Finish</v>
      </c>
      <c r="N2" s="12" t="s">
        <v>33</v>
      </c>
      <c r="O2" s="11" t="str">
        <f>IFERROR(__xludf.DUMMYFUNCTION("AI(""Using the labels""&amp;M2&amp;"" and values ""&amp;L2&amp;"" separated by character '|', Create a JSON object"")"),"{""Channel Configuration"": ""Double-Sided"", ""Dimension"": ""53mm (W) x 14mm (H)"", ""Finish"": ""Silver""}")</f>
        <v>{"Channel Configuration": "Double-Sided", "Dimension": "53mm (W) x 14mm (H)", "Finish": "Silver"}</v>
      </c>
      <c r="P2" s="12" t="s">
        <v>34</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P2:P13)"),"{""Channel Configuration"": [""Double-Sided"", ""Bendable Single-Sided"", ""Bendable Double-Sided"", ""Single-Sided"", ""Single-Side &amp; Dual LED""], ""Dimension"": [""53mm (W) x 14mm (H)"", ""34.4mm (W) x 14mm (H)"", ""51mm (W) x 13.1mm (H)"", ""52.6mm (W)"&amp;" x 13.7mm (H)"", ""60mm (W) x 12.9mm (H)"", ""69mm (W) x 13.5mm (H)"", ""53mm (W) x 14.5mm (H)"", ""36.19mm (W) x 14mm (H)"", ""62mm (W) x 13mm (H)"", ""53mm (W) x 16mm (H)"", ""116.1mm (W) x 36.5mm (H)"", ""60mm (W) x 14.7mm (H)""], ""Finish"": ""Silver"&amp;"""}")</f>
        <v>{"Channel Configuration": ["Double-Sided", "Bendable Single-Sided", "Bendable Double-Sided", "Single-Sided", "Single-Side &amp; Dual LED"], "Dimension": ["53mm (W) x 14mm (H)", "34.4mm (W) x 14mm (H)", "51mm (W) x 13.1mm (H)", "52.6mm (W) x 13.7mm (H)", "60mm (W) x 12.9mm (H)", "69mm (W) x 13.5mm (H)", "53mm (W) x 14.5mm (H)", "36.19mm (W) x 14mm (H)", "62mm (W) x 13mm (H)", "53mm (W) x 16mm (H)", "116.1mm (W) x 36.5mm (H)", "60mm (W) x 14.7mm (H)"], "Finish": "Silver"}</v>
      </c>
      <c r="R2" s="14" t="s">
        <v>35</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P2:P13)"),"{ ""Options"": { ""Channel Configuration"": [ {""name"": ""Double-Sided"", ""id"": ""101""}, {""name"": ""Bendable Single-Sided"", ""id"": ""102""}, {""name"": ""Bendable Double-Sided"", ""id"": ""103""}, {""name"": ""Single-Sided"", ""id"": ""104""}, {"""&amp;"name"": ""Single-Side &amp; Dual LED"", ""id"": ""105""} ], ""Dimension"": [ {""name"": ""53mm (W) x 14mm (H)"", ""id"": ""106""}, {""name"": ""34.4mm (W) x 14mm (H)"", ""id"": ""107""}, {""name"": ""51mm (W) x 13.1mm (H)"", ""id"": ""108""}, {""name"": ""52."&amp;"6mm (W) x 13.7mm (H)"", ""id"": ""109""}, {""name"": ""60mm (W) x 12.9mm (H)"", ""id"": ""110""}, {""name"": ""69mm (W) x 13.5mm (H)"", ""id"": ""111""}, {""name"": ""53mm (W) x 14.5mm (H)"", ""id"": ""112""}, {""name"": ""36.19mm (W) x 14mm (H)"", ""id"""&amp;": ""113""}, {""name"": ""62mm (W) x 13mm (H)"", ""id"": ""114""}, {""name"": ""53mm (W) x 16mm (H)"", ""id"": ""115""}, {""name"": ""116.1mm (W) x 36.5mm (H)"", ""id"": ""116""}, {""name"": ""60mm (W) x 14.7mm (H)"", ""id"": ""117""} ], ""Finish"": [ {""n"&amp;"ame"": ""Silver"", ""id"": ""118""} ] }, ""Constraints"": { ""101"": [""107"", ""108"", ""109"", ""110"", ""111"", ""112"", ""113"", ""114"", ""115"", ""116"", ""117""], ""102"": [""106"", ""108"", ""109"", ""110"", ""111"", ""112"", ""113"", ""114"", ""1"&amp;"15"", ""116"", ""117""], ""103"": [""106"", ""107"", ""112"", ""113"", ""114"", ""115"", ""116""], ""104"": [""106"", ""107"", ""108"", ""109"", ""110"", ""111"", ""115"", ""116"", ""117""], ""105"": [""106"", ""107"", ""108"", ""109"", ""110"", ""111"", "&amp;"""112"", ""113"", ""114"", ""115"", ""117""] } }")</f>
        <v>{ "Options": { "Channel Configuration": [ {"name": "Double-Sided", "id": "101"}, {"name": "Bendable Single-Sided", "id": "102"}, {"name": "Bendable Double-Sided", "id": "103"}, {"name": "Single-Sided", "id": "104"}, {"name": "Single-Side &amp; Dual LED", "id": "105"} ], "Dimension": [ {"name": "53mm (W) x 14mm (H)", "id": "106"}, {"name": "34.4mm (W) x 14mm (H)", "id": "107"}, {"name": "51mm (W) x 13.1mm (H)", "id": "108"}, {"name": "52.6mm (W) x 13.7mm (H)", "id": "109"}, {"name": "60mm (W) x 12.9mm (H)", "id": "110"}, {"name": "69mm (W) x 13.5mm (H)", "id": "111"}, {"name": "53mm (W) x 14.5mm (H)", "id": "112"}, {"name": "36.19mm (W) x 14mm (H)", "id": "113"}, {"name": "62mm (W) x 13mm (H)", "id": "114"}, {"name": "53mm (W) x 16mm (H)", "id": "115"}, {"name": "116.1mm (W) x 36.5mm (H)", "id": "116"}, {"name": "60mm (W) x 14.7mm (H)", "id": "117"} ], "Finish": [ {"name": "Silver", "id": "118"} ] }, "Constraints": { "101": ["107", "108", "109", "110", "111", "112", "113", "114", "115", "116", "117"], "102": ["106", "108", "109", "110", "111", "112", "113", "114", "115", "116", "117"], "103": ["106", "107", "112", "113", "114", "115", "116"], "104": ["106", "107", "108", "109", "110", "111", "115", "116", "117"], "105": ["106", "107", "108", "109", "110", "111", "112", "113", "114", "115", "117"] } }</v>
      </c>
      <c r="T2" s="15" t="s">
        <v>36</v>
      </c>
      <c r="U2" s="14" t="s">
        <v>37</v>
      </c>
      <c r="V2" s="14" t="s">
        <v>38</v>
      </c>
      <c r="W2" s="14" t="s">
        <v>39</v>
      </c>
      <c r="X2" s="14" t="s">
        <v>40</v>
      </c>
      <c r="Y2" s="14" t="s">
        <v>41</v>
      </c>
      <c r="Z2" s="6"/>
    </row>
    <row r="3" ht="37.5" customHeight="1">
      <c r="A3" s="7"/>
      <c r="B3" s="7"/>
      <c r="C3" s="8"/>
      <c r="D3" s="8"/>
      <c r="E3" s="8"/>
      <c r="F3" s="9"/>
      <c r="G3" s="8"/>
      <c r="H3" s="9"/>
      <c r="I3" s="8"/>
      <c r="J3" s="8"/>
      <c r="K3" s="8"/>
      <c r="L3" s="10" t="s">
        <v>42</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""&amp;L3)"),"Channel Configuration|Dimension|Finish")</f>
        <v>Channel Configuration|Dimension|Finish</v>
      </c>
      <c r="N3" s="12" t="s">
        <v>33</v>
      </c>
      <c r="O3" s="11" t="str">
        <f>IFERROR(__xludf.DUMMYFUNCTION("AI(""Using the labels""&amp;M3&amp;"" and values ""&amp;L3&amp;"" separated by character '|', Create a JSON object"")"),"{""Channel Configuration"": ""Bendable Single-Sided"", ""Dimension"": ""34.4mm (W) x 14mm (H)"", ""Finish"": ""Silver""}")</f>
        <v>{"Channel Configuration": "Bendable Single-Sided", "Dimension": "34.4mm (W) x 14mm (H)", "Finish": "Silver"}</v>
      </c>
      <c r="P3" s="12" t="s">
        <v>43</v>
      </c>
      <c r="Q3" s="13"/>
      <c r="R3" s="14"/>
      <c r="S3" s="16"/>
      <c r="T3" s="17"/>
      <c r="U3" s="14"/>
      <c r="V3" s="14"/>
      <c r="W3" s="14" t="s">
        <v>39</v>
      </c>
      <c r="X3" s="14" t="s">
        <v>44</v>
      </c>
      <c r="Y3" s="14" t="s">
        <v>41</v>
      </c>
      <c r="Z3" s="6"/>
    </row>
    <row r="4" ht="37.5" customHeight="1">
      <c r="A4" s="7"/>
      <c r="B4" s="7"/>
      <c r="C4" s="8"/>
      <c r="D4" s="8"/>
      <c r="E4" s="8"/>
      <c r="F4" s="9"/>
      <c r="G4" s="8"/>
      <c r="H4" s="9"/>
      <c r="I4" s="8"/>
      <c r="J4" s="8"/>
      <c r="K4" s="8"/>
      <c r="L4" s="10" t="s">
        <v>45</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""&amp;L4)"),"Channel Configuration|Dimension|Finish")</f>
        <v>Channel Configuration|Dimension|Finish</v>
      </c>
      <c r="N4" s="12" t="s">
        <v>33</v>
      </c>
      <c r="O4" s="11" t="str">
        <f>IFERROR(__xludf.DUMMYFUNCTION("AI(""Using the labels""&amp;M4&amp;"" and values ""&amp;L4&amp;"" separated by character '|', Create a JSON object"")"),"{""Channel Configuration"": ""Bendable Double-Sided"", ""Dimension"": ""51mm (W) x 13.1mm (H)"", ""Finish"": ""Silver""}")</f>
        <v>{"Channel Configuration": "Bendable Double-Sided", "Dimension": "51mm (W) x 13.1mm (H)", "Finish": "Silver"}</v>
      </c>
      <c r="P4" s="12" t="s">
        <v>46</v>
      </c>
      <c r="Q4" s="13"/>
      <c r="R4" s="14"/>
      <c r="S4" s="13"/>
      <c r="T4" s="15"/>
      <c r="U4" s="14"/>
      <c r="V4" s="14"/>
      <c r="W4" s="14" t="s">
        <v>39</v>
      </c>
      <c r="X4" s="14" t="s">
        <v>47</v>
      </c>
      <c r="Y4" s="14" t="s">
        <v>41</v>
      </c>
      <c r="Z4" s="6"/>
    </row>
    <row r="5" ht="37.5" customHeight="1">
      <c r="A5" s="7"/>
      <c r="B5" s="7"/>
      <c r="C5" s="8"/>
      <c r="D5" s="8"/>
      <c r="E5" s="8"/>
      <c r="F5" s="9"/>
      <c r="G5" s="8"/>
      <c r="H5" s="9"/>
      <c r="I5" s="8"/>
      <c r="J5" s="8"/>
      <c r="K5" s="8"/>
      <c r="L5" s="10" t="s">
        <v>48</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""&amp;L5)"),"Channel Configuration|Dimension|Finish")</f>
        <v>Channel Configuration|Dimension|Finish</v>
      </c>
      <c r="N5" s="12" t="s">
        <v>33</v>
      </c>
      <c r="O5" s="11" t="str">
        <f>IFERROR(__xludf.DUMMYFUNCTION("AI(""Using the labels""&amp;M5&amp;"" and values ""&amp;L5&amp;"" separated by character '|', Create a JSON object"")"),"{""Channel Configuration"": ""Bendable Double-Sided"", ""Dimension"": ""52.6mm (W) x 13.7mm (H)"", ""Finish"": ""Silver""}")</f>
        <v>{"Channel Configuration": "Bendable Double-Sided", "Dimension": "52.6mm (W) x 13.7mm (H)", "Finish": "Silver"}</v>
      </c>
      <c r="P5" s="12" t="s">
        <v>49</v>
      </c>
      <c r="Q5" s="13"/>
      <c r="R5" s="14"/>
      <c r="S5" s="13"/>
      <c r="T5" s="15"/>
      <c r="U5" s="14"/>
      <c r="V5" s="14"/>
      <c r="W5" s="14" t="s">
        <v>39</v>
      </c>
      <c r="X5" s="14" t="s">
        <v>50</v>
      </c>
      <c r="Y5" s="14" t="s">
        <v>41</v>
      </c>
      <c r="Z5" s="6"/>
    </row>
    <row r="6" ht="37.5" customHeight="1">
      <c r="A6" s="7"/>
      <c r="B6" s="7"/>
      <c r="C6" s="8"/>
      <c r="D6" s="8"/>
      <c r="E6" s="8"/>
      <c r="F6" s="9"/>
      <c r="G6" s="8"/>
      <c r="H6" s="9"/>
      <c r="I6" s="8"/>
      <c r="J6" s="8"/>
      <c r="K6" s="8"/>
      <c r="L6" s="10" t="s">
        <v>51</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""&amp;L6)"),"Channel Configuration|Dimension|Finish")</f>
        <v>Channel Configuration|Dimension|Finish</v>
      </c>
      <c r="N6" s="12" t="s">
        <v>33</v>
      </c>
      <c r="O6" s="11" t="str">
        <f>IFERROR(__xludf.DUMMYFUNCTION("AI(""Using the labels""&amp;M6&amp;"" and values ""&amp;L6&amp;"" separated by character '|', Create a JSON object"")"),"{""Channel Configuration"": ""Bendable Double-Sided"", ""Dimension"": ""60mm (W) x 12.9mm (H)"", ""Finish"": ""Silver""}")</f>
        <v>{"Channel Configuration": "Bendable Double-Sided", "Dimension": "60mm (W) x 12.9mm (H)", "Finish": "Silver"}</v>
      </c>
      <c r="P6" s="12" t="s">
        <v>52</v>
      </c>
      <c r="Q6" s="13"/>
      <c r="R6" s="14"/>
      <c r="S6" s="13"/>
      <c r="T6" s="15"/>
      <c r="U6" s="14"/>
      <c r="V6" s="14"/>
      <c r="W6" s="14" t="s">
        <v>39</v>
      </c>
      <c r="X6" s="14" t="s">
        <v>53</v>
      </c>
      <c r="Y6" s="14" t="s">
        <v>41</v>
      </c>
      <c r="Z6" s="6"/>
    </row>
    <row r="7" ht="37.5" customHeight="1">
      <c r="A7" s="7"/>
      <c r="B7" s="18"/>
      <c r="C7" s="18"/>
      <c r="D7" s="18"/>
      <c r="E7" s="18"/>
      <c r="F7" s="19"/>
      <c r="G7" s="18"/>
      <c r="H7" s="9"/>
      <c r="I7" s="8"/>
      <c r="J7" s="18"/>
      <c r="K7" s="18"/>
      <c r="L7" s="10" t="s">
        <v>54</v>
      </c>
      <c r="M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""&amp;L7)"),"Channel Configuration|Dimension|Finish")</f>
        <v>Channel Configuration|Dimension|Finish</v>
      </c>
      <c r="N7" s="12" t="s">
        <v>33</v>
      </c>
      <c r="O7" s="11" t="str">
        <f>IFERROR(__xludf.DUMMYFUNCTION("AI(""Using the labels""&amp;M7&amp;"" and values ""&amp;L7&amp;"" separated by character '|', Create a JSON object"")"),"{""Channel Configuration"": ""Bendable Double-Sided"", ""Dimension"": ""69mm (W) x 13.5mm (H)"", ""Finish"": ""Silver""}")</f>
        <v>{"Channel Configuration": "Bendable Double-Sided", "Dimension": "69mm (W) x 13.5mm (H)", "Finish": "Silver"}</v>
      </c>
      <c r="P7" s="12" t="s">
        <v>55</v>
      </c>
      <c r="Q7" s="20"/>
      <c r="R7" s="21"/>
      <c r="S7" s="20"/>
      <c r="T7" s="22"/>
      <c r="U7" s="21"/>
      <c r="V7" s="21"/>
      <c r="W7" s="14" t="s">
        <v>39</v>
      </c>
      <c r="X7" s="14" t="s">
        <v>56</v>
      </c>
      <c r="Y7" s="14" t="s">
        <v>41</v>
      </c>
      <c r="Z7" s="6"/>
    </row>
    <row r="8" ht="37.5" customHeight="1">
      <c r="A8" s="7"/>
      <c r="B8" s="18"/>
      <c r="C8" s="18"/>
      <c r="D8" s="18"/>
      <c r="E8" s="18"/>
      <c r="F8" s="19"/>
      <c r="G8" s="18"/>
      <c r="H8" s="9"/>
      <c r="I8" s="8"/>
      <c r="J8" s="18"/>
      <c r="K8" s="18"/>
      <c r="L8" s="10" t="s">
        <v>57</v>
      </c>
      <c r="M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""&amp;L8)"),"Channel Configuration|Dimension|Finish")</f>
        <v>Channel Configuration|Dimension|Finish</v>
      </c>
      <c r="N8" s="12" t="s">
        <v>33</v>
      </c>
      <c r="O8" s="11" t="str">
        <f>IFERROR(__xludf.DUMMYFUNCTION("AI(""Using the labels""&amp;M8&amp;"" and values ""&amp;L8&amp;"" separated by character '|', Create a JSON object"")"),"{""Channel Configuration"": ""Single-Sided"", ""Dimension"": ""53mm (W) x 14.5mm (H)"", ""Finish"": ""Silver""}")</f>
        <v>{"Channel Configuration": "Single-Sided", "Dimension": "53mm (W) x 14.5mm (H)", "Finish": "Silver"}</v>
      </c>
      <c r="P8" s="12" t="s">
        <v>58</v>
      </c>
      <c r="Q8" s="20"/>
      <c r="R8" s="21"/>
      <c r="S8" s="20"/>
      <c r="T8" s="22"/>
      <c r="U8" s="21"/>
      <c r="V8" s="21"/>
      <c r="W8" s="14" t="s">
        <v>39</v>
      </c>
      <c r="X8" s="14" t="s">
        <v>59</v>
      </c>
      <c r="Y8" s="14" t="s">
        <v>41</v>
      </c>
      <c r="Z8" s="6"/>
    </row>
    <row r="9" ht="37.5" customHeight="1">
      <c r="A9" s="7"/>
      <c r="B9" s="18"/>
      <c r="C9" s="18"/>
      <c r="D9" s="18"/>
      <c r="E9" s="18"/>
      <c r="F9" s="19"/>
      <c r="G9" s="18"/>
      <c r="H9" s="9"/>
      <c r="I9" s="8"/>
      <c r="J9" s="18"/>
      <c r="K9" s="18"/>
      <c r="L9" s="10" t="s">
        <v>60</v>
      </c>
      <c r="M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""&amp;L9)"),"Channel Configuration|Dimension|Finish")</f>
        <v>Channel Configuration|Dimension|Finish</v>
      </c>
      <c r="N9" s="12" t="s">
        <v>33</v>
      </c>
      <c r="O9" s="11" t="str">
        <f>IFERROR(__xludf.DUMMYFUNCTION("AI(""Using the labels""&amp;M9&amp;"" and values ""&amp;L9&amp;"" separated by character '|', Create a JSON object"")"),"{""Channel Configuration"": ""Single-Sided"", ""Dimension"": ""36.19mm (W) x 14mm (H)"", ""Finish"": ""Silver""}")</f>
        <v>{"Channel Configuration": "Single-Sided", "Dimension": "36.19mm (W) x 14mm (H)", "Finish": "Silver"}</v>
      </c>
      <c r="P9" s="12" t="s">
        <v>61</v>
      </c>
      <c r="Q9" s="20"/>
      <c r="R9" s="21"/>
      <c r="S9" s="20"/>
      <c r="T9" s="22"/>
      <c r="U9" s="21"/>
      <c r="V9" s="21"/>
      <c r="W9" s="14" t="s">
        <v>39</v>
      </c>
      <c r="X9" s="14" t="s">
        <v>62</v>
      </c>
      <c r="Y9" s="14" t="s">
        <v>41</v>
      </c>
      <c r="Z9" s="6"/>
    </row>
    <row r="10" ht="37.5" customHeight="1">
      <c r="A10" s="7"/>
      <c r="B10" s="18"/>
      <c r="C10" s="18"/>
      <c r="D10" s="18"/>
      <c r="E10" s="18"/>
      <c r="F10" s="19"/>
      <c r="G10" s="18"/>
      <c r="H10" s="9"/>
      <c r="I10" s="8"/>
      <c r="J10" s="18"/>
      <c r="K10" s="18"/>
      <c r="L10" s="10" t="s">
        <v>63</v>
      </c>
      <c r="M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""&amp;L10)"),"Channel Configuration|Dimension|Finish")</f>
        <v>Channel Configuration|Dimension|Finish</v>
      </c>
      <c r="N10" s="12" t="s">
        <v>33</v>
      </c>
      <c r="O10" s="11" t="str">
        <f>IFERROR(__xludf.DUMMYFUNCTION("AI(""Using the labels""&amp;M10&amp;"" and values ""&amp;L10&amp;"" separated by character '|', Create a JSON object"")"),"{""Channel Configuration"": ""Single-Sided"", ""Dimension"": ""62mm (W) x 13mm (H)"", ""Finish"": ""Silver""}")</f>
        <v>{"Channel Configuration": "Single-Sided", "Dimension": "62mm (W) x 13mm (H)", "Finish": "Silver"}</v>
      </c>
      <c r="P10" s="12" t="s">
        <v>64</v>
      </c>
      <c r="Q10" s="20"/>
      <c r="R10" s="21"/>
      <c r="S10" s="20"/>
      <c r="T10" s="22"/>
      <c r="U10" s="21"/>
      <c r="V10" s="21"/>
      <c r="W10" s="14" t="s">
        <v>39</v>
      </c>
      <c r="X10" s="14" t="s">
        <v>65</v>
      </c>
      <c r="Y10" s="14" t="s">
        <v>41</v>
      </c>
      <c r="Z10" s="6"/>
    </row>
    <row r="11" ht="37.5" customHeight="1">
      <c r="A11" s="7"/>
      <c r="B11" s="18"/>
      <c r="C11" s="18"/>
      <c r="D11" s="18"/>
      <c r="E11" s="18"/>
      <c r="F11" s="19"/>
      <c r="G11" s="18"/>
      <c r="H11" s="9"/>
      <c r="I11" s="8"/>
      <c r="J11" s="18"/>
      <c r="K11" s="18"/>
      <c r="L11" s="10" t="s">
        <v>66</v>
      </c>
      <c r="M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""&amp;L11)"),"Dimension|Finish")</f>
        <v>Dimension|Finish</v>
      </c>
      <c r="N11" s="12" t="s">
        <v>67</v>
      </c>
      <c r="O11" s="11" t="str">
        <f>IFERROR(__xludf.DUMMYFUNCTION("AI(""Using the labels""&amp;M11&amp;"" and values ""&amp;L11&amp;"" separated by character '|', Create a JSON object"")"),"{""Dimension"": ""53mm (W) x 16mm (H)"", ""Finish"": ""Silver""}")</f>
        <v>{"Dimension": "53mm (W) x 16mm (H)", "Finish": "Silver"}</v>
      </c>
      <c r="P11" s="12" t="s">
        <v>68</v>
      </c>
      <c r="Q11" s="20"/>
      <c r="R11" s="21"/>
      <c r="S11" s="20"/>
      <c r="T11" s="22"/>
      <c r="U11" s="21"/>
      <c r="V11" s="21"/>
      <c r="W11" s="14" t="s">
        <v>39</v>
      </c>
      <c r="X11" s="14" t="s">
        <v>69</v>
      </c>
      <c r="Y11" s="14" t="s">
        <v>41</v>
      </c>
      <c r="Z11" s="6"/>
    </row>
    <row r="12" ht="37.5" customHeight="1">
      <c r="A12" s="7"/>
      <c r="B12" s="18"/>
      <c r="C12" s="18"/>
      <c r="D12" s="18"/>
      <c r="E12" s="18"/>
      <c r="F12" s="19"/>
      <c r="G12" s="18"/>
      <c r="H12" s="9"/>
      <c r="I12" s="8"/>
      <c r="J12" s="18"/>
      <c r="K12" s="18"/>
      <c r="L12" s="10" t="s">
        <v>70</v>
      </c>
      <c r="M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""&amp;L12)"),"Channel Configuration|Dimension|Finish")</f>
        <v>Channel Configuration|Dimension|Finish</v>
      </c>
      <c r="N12" s="12" t="s">
        <v>33</v>
      </c>
      <c r="O12" s="11" t="str">
        <f>IFERROR(__xludf.DUMMYFUNCTION("AI(""Using the labels""&amp;M12&amp;"" and values ""&amp;L12&amp;"" separated by character '|', Create a JSON object"")"),"{""Channel Configuration"": ""Single-Side &amp; Dual LED"", ""Dimension"": ""116.1mm (W) x 36.5mm (H)"", ""Finish"": ""Silver""}")</f>
        <v>{"Channel Configuration": "Single-Side &amp; Dual LED", "Dimension": "116.1mm (W) x 36.5mm (H)", "Finish": "Silver"}</v>
      </c>
      <c r="P12" s="12" t="s">
        <v>71</v>
      </c>
      <c r="Q12" s="20"/>
      <c r="R12" s="21"/>
      <c r="S12" s="20"/>
      <c r="T12" s="22"/>
      <c r="U12" s="21"/>
      <c r="V12" s="21"/>
      <c r="W12" s="14" t="s">
        <v>39</v>
      </c>
      <c r="X12" s="14" t="s">
        <v>72</v>
      </c>
      <c r="Y12" s="14" t="s">
        <v>41</v>
      </c>
      <c r="Z12" s="6"/>
    </row>
    <row r="13" ht="37.5" customHeight="1">
      <c r="A13" s="7"/>
      <c r="B13" s="18"/>
      <c r="C13" s="18"/>
      <c r="D13" s="18"/>
      <c r="E13" s="18"/>
      <c r="F13" s="19"/>
      <c r="G13" s="18"/>
      <c r="H13" s="9"/>
      <c r="I13" s="8"/>
      <c r="J13" s="18"/>
      <c r="K13" s="18"/>
      <c r="L13" s="10" t="s">
        <v>73</v>
      </c>
      <c r="M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""&amp;L13)"),"Channel Configuration|Dimension|Finish")</f>
        <v>Channel Configuration|Dimension|Finish</v>
      </c>
      <c r="N13" s="12" t="s">
        <v>33</v>
      </c>
      <c r="O13" s="11" t="str">
        <f>IFERROR(__xludf.DUMMYFUNCTION("AI(""Using the labels""&amp;M13&amp;"" and values ""&amp;L13&amp;"" separated by character '|', Create a JSON object"")"),"{""Channel Configuration"": ""Bendable Double-Sided"", ""Dimension"": ""60mm (W) x 14.7mm (H)"", ""Finish"": ""Silver""}")</f>
        <v>{"Channel Configuration": "Bendable Double-Sided", "Dimension": "60mm (W) x 14.7mm (H)", "Finish": "Silver"}</v>
      </c>
      <c r="P13" s="12" t="s">
        <v>74</v>
      </c>
      <c r="Q13" s="20"/>
      <c r="R13" s="21"/>
      <c r="S13" s="20"/>
      <c r="T13" s="22"/>
      <c r="U13" s="21"/>
      <c r="V13" s="21"/>
      <c r="W13" s="14" t="s">
        <v>39</v>
      </c>
      <c r="X13" s="14" t="s">
        <v>75</v>
      </c>
      <c r="Y13" s="14" t="s">
        <v>41</v>
      </c>
      <c r="Z13" s="6"/>
    </row>
    <row r="14" ht="37.5" customHeight="1">
      <c r="A14" s="7" t="s">
        <v>76</v>
      </c>
      <c r="B14" s="8" t="s">
        <v>77</v>
      </c>
      <c r="C14" s="8" t="s">
        <v>27</v>
      </c>
      <c r="D14" s="8" t="s">
        <v>28</v>
      </c>
      <c r="E14" s="8" t="s">
        <v>29</v>
      </c>
      <c r="F14" s="9" t="str">
        <f>IFERROR(__xludf.DUMMYFUNCTION("AI(""Give me a paragraph marketing spiel for this product, no tech specs just marketing fluff "")"),"Dive into an enchanting oasis of light and luxury with our premium illumination solution. Designed to effortlessly elevate your living experience, it bathes your retreat in a warm, sophisticated radiance that creates an unparalleled ambiance. Perfect for "&amp;"those with a discerning eye for discreet elegance, this seamless lighting design adds a breathtaking allure and a serene, captivating glow to every evening, turning any space into a welcoming sanctuary of modern style.")</f>
        <v>Dive into an enchanting oasis of light and luxury with our premium illumination solution. Designed to effortlessly elevate your living experience, it bathes your retreat in a warm, sophisticated radiance that creates an unparalleled ambiance. Perfect for those with a discerning eye for discreet elegance, this seamless lighting design adds a breathtaking allure and a serene, captivating glow to every evening, turning any space into a welcoming sanctuary of modern style.</v>
      </c>
      <c r="G14" s="8" t="s">
        <v>78</v>
      </c>
      <c r="H14" s="9" t="str">
        <f>IFERROR(__xludf.DUMMYFUNCTION("AI(""Give me a paragraph marketing spiel for this product, no tech specs just marketing fluff under 180 characters "")"),"Dive into an enchanting oasis of light and luxury. Elevate your retreat into a sophisticated, glowing sanctuary, adding breathtaking allure and serene ambiance to every evening.")</f>
        <v>Dive into an enchanting oasis of light and luxury. Elevate your retreat into a sophisticated, glowing sanctuary, adding breathtaking allure and serene ambiance to every evening.</v>
      </c>
      <c r="I14" s="8" t="s">
        <v>79</v>
      </c>
      <c r="J14" s="18"/>
      <c r="K14" s="18"/>
      <c r="L14" s="10" t="s">
        <v>80</v>
      </c>
      <c r="M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""&amp;L14)"),"Dimension|Finish")</f>
        <v>Dimension|Finish</v>
      </c>
      <c r="N14" s="12" t="s">
        <v>67</v>
      </c>
      <c r="O14" s="11" t="str">
        <f>IFERROR(__xludf.DUMMYFUNCTION("AI(""Using the labels""&amp;M14&amp;"" and values ""&amp;L14&amp;"" separated by character '|', Create a JSON object"")"),"{""Dimension"": ""13.1mm (W) x 70mm (H)"", ""Finish"": ""Silver""}")</f>
        <v>{"Dimension": "13.1mm (W) x 70mm (H)", "Finish": "Silver"}</v>
      </c>
      <c r="P14" s="12" t="s">
        <v>81</v>
      </c>
      <c r="Q1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P14:P15)"),"{""Dimension"": [""13.1mm (W) x 70mm (H)"", ""15.5mm (W) x 80mm (H)""], ""Finish"": ""Silver""}")</f>
        <v>{"Dimension": ["13.1mm (W) x 70mm (H)", "15.5mm (W) x 80mm (H)"], "Finish": "Silver"}</v>
      </c>
      <c r="R14" s="14" t="s">
        <v>82</v>
      </c>
      <c r="S1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P14:P15)"),"{ ""Options"": { ""Dimension"": [ {""name"": ""13.1mm (W) x 70mm (H)"", ""id"": ""101""}, {""name"": ""15.5mm (W) x 80mm (H)"", ""id"": ""102""} ], ""Finish"": [ {""name"": ""Silver"", ""id"": ""103""} ] }, ""Constraints"": {} }")</f>
        <v>{ "Options": { "Dimension": [ {"name": "13.1mm (W) x 70mm (H)", "id": "101"}, {"name": "15.5mm (W) x 80mm (H)", "id": "102"} ], "Finish": [ {"name": "Silver", "id": "103"} ] }, "Constraints": {} }</v>
      </c>
      <c r="T14" s="15" t="s">
        <v>83</v>
      </c>
      <c r="U14" s="14" t="s">
        <v>84</v>
      </c>
      <c r="V14" s="14" t="s">
        <v>85</v>
      </c>
      <c r="W14" s="14" t="s">
        <v>39</v>
      </c>
      <c r="X14" s="14" t="s">
        <v>86</v>
      </c>
      <c r="Y14" s="14" t="s">
        <v>41</v>
      </c>
      <c r="Z14" s="6"/>
    </row>
    <row r="15" ht="37.5" customHeight="1">
      <c r="A15" s="7"/>
      <c r="B15" s="18"/>
      <c r="C15" s="18"/>
      <c r="D15" s="18"/>
      <c r="E15" s="18"/>
      <c r="F15" s="19"/>
      <c r="G15" s="18"/>
      <c r="H15" s="9"/>
      <c r="I15" s="8"/>
      <c r="J15" s="18"/>
      <c r="K15" s="18"/>
      <c r="L15" s="10" t="s">
        <v>87</v>
      </c>
      <c r="M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""&amp;L15)"),"Dimension|Finish")</f>
        <v>Dimension|Finish</v>
      </c>
      <c r="N15" s="12" t="s">
        <v>67</v>
      </c>
      <c r="O15" s="11" t="str">
        <f>IFERROR(__xludf.DUMMYFUNCTION("AI(""Using the labels""&amp;M15&amp;"" and values ""&amp;L15&amp;"" separated by character '|', Create a JSON object"")"),"{""Dimension"": ""15.5mm (W) x 80mm (H)"", ""Finish"": ""Silver""}")</f>
        <v>{"Dimension": "15.5mm (W) x 80mm (H)", "Finish": "Silver"}</v>
      </c>
      <c r="P15" s="12" t="s">
        <v>88</v>
      </c>
      <c r="Q15" s="20"/>
      <c r="R15" s="21"/>
      <c r="S15" s="20"/>
      <c r="T15" s="22"/>
      <c r="U15" s="21"/>
      <c r="V15" s="21"/>
      <c r="W15" s="14" t="s">
        <v>39</v>
      </c>
      <c r="X15" s="14" t="s">
        <v>89</v>
      </c>
      <c r="Y15" s="14" t="s">
        <v>41</v>
      </c>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sheetData>
  <drawing r:id="rId1"/>
  <tableParts count="1">
    <tablePart r:id="rId3"/>
  </tableParts>
</worksheet>
</file>