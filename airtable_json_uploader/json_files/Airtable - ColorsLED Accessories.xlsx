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orLED Accessories" sheetId="1" r:id="rId5"/>
  </sheets>
  <definedNames/>
  <calcPr/>
</workbook>
</file>

<file path=xl/sharedStrings.xml><?xml version="1.0" encoding="utf-8"?>
<sst xmlns="http://schemas.openxmlformats.org/spreadsheetml/2006/main" count="116" uniqueCount="82">
  <si>
    <t>Product Code</t>
  </si>
  <si>
    <t>Name</t>
  </si>
  <si>
    <t>Product type</t>
  </si>
  <si>
    <t>Categories</t>
  </si>
  <si>
    <t>Status</t>
  </si>
  <si>
    <t>AI Product description</t>
  </si>
  <si>
    <t>Product description</t>
  </si>
  <si>
    <t>AI Product short description</t>
  </si>
  <si>
    <t>Product short description</t>
  </si>
  <si>
    <t>Product image</t>
  </si>
  <si>
    <t>Product gallery</t>
  </si>
  <si>
    <t>Specification</t>
  </si>
  <si>
    <t>AI Labels</t>
  </si>
  <si>
    <t>Labels</t>
  </si>
  <si>
    <t>AI Features</t>
  </si>
  <si>
    <t>Features</t>
  </si>
  <si>
    <t>AI Attributes</t>
  </si>
  <si>
    <t>Attributes</t>
  </si>
  <si>
    <t xml:space="preserve">AI Options and Constraints </t>
  </si>
  <si>
    <t>Options and Constraints</t>
  </si>
  <si>
    <t>Options</t>
  </si>
  <si>
    <t>Constraints</t>
  </si>
  <si>
    <t>Supplier Name</t>
  </si>
  <si>
    <t>Supplier Code</t>
  </si>
  <si>
    <t>Datasheet</t>
  </si>
  <si>
    <t>Stocked Item</t>
  </si>
  <si>
    <t>AI Meta Keywords</t>
  </si>
  <si>
    <t>Meta Keywords</t>
  </si>
  <si>
    <t>Neon-AluProfile-1616</t>
  </si>
  <si>
    <t>Neon Aluminium Profile</t>
  </si>
  <si>
    <t>simple</t>
  </si>
  <si>
    <t>Accessories</t>
  </si>
  <si>
    <t>draft</t>
  </si>
  <si>
    <t>Transform your space with the sleek elegance of our premium aluminum profile, designed to bring a modern, sophisticated edge to any room. Crafted for those who appreciate refined aesthetics, this versatile channel seamlessly integrates into your interior design, casting smooth, stunning illumination that elevates your overall decor. Whether creating subtle ambient accents or striking visual statements, it provides the perfect architectural framing to let your custom lighting visions shine with effortless style.</t>
  </si>
  <si>
    <t>Transform your space with our premium aluminium profile, designed to bring a sleek, modern edge and seamless ambient lighting to any interior.</t>
  </si>
  <si>
    <t>Side/Top Bend (16mm x 16mm)</t>
  </si>
  <si>
    <t>CHINA - Colorsled</t>
  </si>
  <si>
    <t>AS-GMS/T1616A-1000</t>
  </si>
  <si>
    <t>aluminum profile, neon channel, LED extrusions, architectural lighting, ambient illumination, linear lighting</t>
  </si>
  <si>
    <t>Neon-EndCap-1616-Side</t>
  </si>
  <si>
    <t>Neon End Cap</t>
  </si>
  <si>
    <t>Achieve a flawless, professional presentation for your lighting installations with our sleek side-entry end caps. Designed to deliver a clean, continuous aesthetic, these essential accessories seamlessly seal your linear lighting for a polished, modern finish. Protect your setup while enhancing its overall visual appeal, ensuring every detail of your lighting display looks impeccably refined and complete.</t>
  </si>
  <si>
    <t>Achieve a clean, flawless finish for your lighting installation with our premium end caps designed for effortless elegance and seamless style.</t>
  </si>
  <si>
    <t>Side Entry (16mm x 16mm)</t>
  </si>
  <si>
    <t>AS-GMS1616GS0-EC</t>
  </si>
  <si>
    <t>neon end cap, side entry end cap, 16x16 end cap, LED channel cap, linear lighting accessory, end cap seal</t>
  </si>
  <si>
    <t>Neon-EndCap-1616-Top</t>
  </si>
  <si>
    <t>Complete your lighting installation with the ultimate finishing touch using our top-entry end caps. Offering a seamless integration into your space, they ensure your lighting features maintain a clean, high-end appearance from every angle. Perfect for modern interiors, they provide a smooth, elegant closure that secures your setup while upholding a minimalist, luxury aesthetic.</t>
  </si>
  <si>
    <t>Complete your modern lighting design with elegant top entry end caps, ensuring a polished look and continuous, trimless aesthetic in every room.</t>
  </si>
  <si>
    <t>Top Entry (16mm x 16mm)</t>
  </si>
  <si>
    <t>AS-GMS1616GH0-EC</t>
  </si>
  <si>
    <t>neon end cap, top entry end cap, 16x16 end cap, LED channel cap, trimless end cap, linear lighting accessory</t>
  </si>
  <si>
    <t>Neon-MetalClips-1616</t>
  </si>
  <si>
    <t>Neon Metal Mounting Clips</t>
  </si>
  <si>
    <t>Ensure your custom lighting display is held in perfect alignment with our high-grade metal mounting clips. Built to deliver reliable stability with a subtle footprint, these clips keep your installation looking sleek, modern, and perfectly organized. Effortlessly maintain clean lines of light throughout your space while enjoying complete peace of mind and enduring design elegance.</t>
  </si>
  <si>
    <t>Effortlessly secure your custom neon LED lighting with sleek mounting clips that deliver reliable support while keeping your aesthetic clean and hidden.</t>
  </si>
  <si>
    <t>AS-GMS/T1616A1-25</t>
  </si>
  <si>
    <t>neon mounting clips, metal mounting clips, 16x16 LED clips, neon strip brackets, mounting accessories, linear light clips</t>
  </si>
  <si>
    <t>Neon-MetalClips-1616-Side</t>
  </si>
  <si>
    <t>Side Opening Metal Mounting Clips</t>
  </si>
  <si>
    <t>Elevate your lighting design with side-opening metal mounting clips that combine functional excellence with effortless installation. Designed to securely support your lighting fixtures while remaining discreetly out of sight, these clips help create smooth, continuous runs of light. Experience the perfect harmony of stability and minimalist aesthetics for a truly elevated interior look.</t>
  </si>
  <si>
    <t>Upgrade your lighting setup with side-opening mounting clips designed to provide seamless architectural integration and a pristine, modern finish.</t>
  </si>
  <si>
    <t>AS-AFS(T)1616A4-35</t>
  </si>
  <si>
    <t>side opening clips, metal mounting clips, neon LED clips, 16x16 mounting clips, architectural lighting clips, mounting brackets</t>
  </si>
  <si>
    <t>Neon-AluProfile-1616-Side</t>
  </si>
  <si>
    <t>Side Opening Neon Aluminium Profile</t>
  </si>
  <si>
    <t>Sculpt mesmerizing curves and dramatic linear highlights with our side-opening aluminum profile. Engineered to blend seamlessly into sophisticated contemporary environments, this profile offers flexible architectural framing for pure, effortless illumination. Bring your creative lighting concepts to life and infuse your space with luxury, warmth, and artistic ambiance.</t>
  </si>
  <si>
    <t>Fluidly sculpt glowing ambient light with flexible aluminium profiles that seamlessly blend into your walls for a captivating, high-end look.</t>
  </si>
  <si>
    <t>AS-AFS(T)1616A4-1000</t>
  </si>
  <si>
    <t>aluminium profile, side opening profile, neon channel, flexible LED extrusion, linear lighting channel, architectural profile</t>
  </si>
  <si>
    <t>Neon-FlexiPlasterAluProfile-1616</t>
  </si>
  <si>
    <t>Plaster Aluminium Profile</t>
  </si>
  <si>
    <t>Bring your lighting vision to life with our flexible plaster aluminum profile, designed to shape around any detail for a sleek, seamless glow. Perfectly integrating into walls and ceilings for a flush, architectural finish, it transforms any room into a modern sanctuary of light. Elevate your interior aesthetics with soft, flowing illumination that contours effortlessly around your unique architectural features.</t>
  </si>
  <si>
    <t>Neon Side/Top Bend (16mm x 16mm)</t>
  </si>
  <si>
    <t>AS-AFS(T)1616A5-1000</t>
  </si>
  <si>
    <t>plaster aluminium profile, flexible plaster channel, recessed LED profile, trimless channel, flush lighting profile, architectural LED channel</t>
  </si>
  <si>
    <t>Neon-FlexiAluProfile-1616</t>
  </si>
  <si>
    <t>Bendable Aluminium Profile</t>
  </si>
  <si>
    <t>Effortlessly shape stunning light throughout your home or commercial space with this versatile flexible aluminum profile. Designed to bring a smooth, sophisticated glow to any environment, it allows you to create custom curves and striking lighting accents with ease. Add a luxurious, modern touch to your decor with soft, continuous light that highlights the finest details of your interior design.</t>
  </si>
  <si>
    <t>Elevate your lighting design with a flexible profile that effortlessly diffuses light into smooth, captivating curves for a modern aesthetic.</t>
  </si>
  <si>
    <t>AS-AFS(T)1616M-1000</t>
  </si>
  <si>
    <t>bendable aluminum profile, flexible neon channel, curved LED extrusion, custom lighting channel, flexible architectural lighting, ambient curve lighting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</si>
</sst>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DM Sans"/>
    </font>
    <font>
      <b/>
      <sz val="10.0"/>
      <color rgb="FFFFFFFF"/>
      <name val="DM Sans"/>
    </font>
    <font>
      <b/>
      <color theme="1"/>
      <name val="DM Sans"/>
    </font>
    <font>
      <sz val="10.0"/>
      <color theme="1"/>
      <name val="DM Sans"/>
    </font>
    <font>
      <color theme="1"/>
      <name val="DM Sans"/>
    </font>
  </fonts>
  <fills count="7">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1" fillId="4"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bottom" wrapText="1"/>
    </xf>
    <xf borderId="1" fillId="2" fontId="3" numFmtId="0" xfId="0" applyAlignment="1" applyBorder="1" applyFill="1" applyFont="1">
      <alignment horizontal="center" shrinkToFit="0" vertical="bottom" wrapText="1"/>
    </xf>
    <xf borderId="1" fillId="0" fontId="4" numFmtId="0" xfId="0" applyAlignment="1" applyBorder="1" applyFont="1">
      <alignment readingOrder="0" shrinkToFit="0" vertical="center" wrapText="1"/>
    </xf>
    <xf borderId="1" fillId="6" fontId="5" numFmtId="0" xfId="0" applyAlignment="1" applyBorder="1" applyFill="1" applyFont="1">
      <alignment shrinkToFit="0" wrapText="1"/>
    </xf>
    <xf borderId="1" fillId="0" fontId="5" numFmtId="0" xfId="0" applyAlignment="1" applyBorder="1" applyFont="1">
      <alignment shrinkToFit="0"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4.5"/>
    <col customWidth="1" min="2" max="2" width="36.38"/>
    <col customWidth="1" min="3" max="3" width="11.75"/>
    <col customWidth="1" min="4" max="4" width="12.0"/>
    <col customWidth="1" min="5" max="5" width="6.38"/>
    <col customWidth="1" min="6" max="6" width="72.75"/>
    <col customWidth="1" min="7" max="7" width="72.13"/>
    <col customWidth="1" min="8" max="8" width="62.63"/>
    <col customWidth="1" min="9" max="9" width="60.5"/>
    <col customWidth="1" min="10" max="11" width="28.75"/>
    <col customWidth="1" min="12" max="12" width="61.5"/>
    <col customWidth="1" min="13" max="14" width="34.75"/>
    <col customWidth="1" min="15" max="22" width="50.13"/>
    <col customWidth="1" min="23" max="23" width="29.38"/>
    <col customWidth="1" min="24" max="25" width="12.63"/>
  </cols>
  <sheetData>
    <row r="1">
      <c r="A1" s="1" t="s">
        <v>0</v>
      </c>
      <c r="B1" s="1" t="s">
        <v>1</v>
      </c>
      <c r="C1" s="1" t="s">
        <v>2</v>
      </c>
      <c r="D1" s="1" t="s">
        <v>3</v>
      </c>
      <c r="E1" s="1" t="s">
        <v>4</v>
      </c>
      <c r="F1" s="2" t="s">
        <v>5</v>
      </c>
      <c r="G1" s="3" t="s">
        <v>6</v>
      </c>
      <c r="H1" s="2" t="s">
        <v>7</v>
      </c>
      <c r="I1" s="3" t="s">
        <v>8</v>
      </c>
      <c r="J1" s="1" t="s">
        <v>9</v>
      </c>
      <c r="K1" s="1" t="s">
        <v>10</v>
      </c>
      <c r="L1" s="4" t="s">
        <v>11</v>
      </c>
      <c r="M1" s="5" t="s">
        <v>12</v>
      </c>
      <c r="N1" s="6" t="s">
        <v>13</v>
      </c>
      <c r="O1" s="5" t="s">
        <v>14</v>
      </c>
      <c r="P1" s="7" t="s">
        <v>15</v>
      </c>
      <c r="Q1" s="5" t="s">
        <v>16</v>
      </c>
      <c r="R1" s="1" t="s">
        <v>17</v>
      </c>
      <c r="S1" s="5" t="s">
        <v>18</v>
      </c>
      <c r="T1" s="7" t="s">
        <v>19</v>
      </c>
      <c r="U1" s="1" t="s">
        <v>20</v>
      </c>
      <c r="V1" s="1" t="s">
        <v>21</v>
      </c>
      <c r="W1" s="1" t="s">
        <v>22</v>
      </c>
      <c r="X1" s="1" t="s">
        <v>23</v>
      </c>
      <c r="Y1" s="1" t="s">
        <v>24</v>
      </c>
      <c r="Z1" s="1" t="s">
        <v>25</v>
      </c>
      <c r="AA1" s="8" t="s">
        <v>26</v>
      </c>
      <c r="AB1" s="9" t="s">
        <v>27</v>
      </c>
    </row>
    <row r="2">
      <c r="A2" s="10" t="s">
        <v>28</v>
      </c>
      <c r="B2" s="10" t="s">
        <v>29</v>
      </c>
      <c r="C2" s="10" t="s">
        <v>30</v>
      </c>
      <c r="D2" s="10" t="s">
        <v>31</v>
      </c>
      <c r="E2" s="10" t="s">
        <v>32</v>
      </c>
      <c r="F2" s="11" t="str">
        <f>IFERROR(__xludf.DUMMYFUNCTION("AI(""Give me a paragraph marketing spiel for product in this row, no tech specs just marketing fluff "")"),"Transform your space with the sleek elegance of our premium aluminum profile, designed to bring a modern, sophisticated edge to any room. Crafted for those who appreciate refined aesthetics, this versatile channel seamlessly integrates into your interior "&amp;"design, casting smooth, stunning illumination that elevates your overall decor. Whether creating subtle ambient accents or striking visual statements, it provides the perfect architectural framing to let your custom lighting visions shine with effortless "&amp;"style.")</f>
        <v>Transform your space with the sleek elegance of our premium aluminum profile, designed to bring a modern, sophisticated edge to any room. Crafted for those who appreciate refined aesthetics, this versatile channel seamlessly integrates into your interior design, casting smooth, stunning illumination that elevates your overall decor. Whether creating subtle ambient accents or striking visual statements, it provides the perfect architectural framing to let your custom lighting visions shine with effortless style.</v>
      </c>
      <c r="G2" s="12" t="s">
        <v>33</v>
      </c>
      <c r="H2" s="11" t="str">
        <f>IFERROR(__xludf.DUMMYFUNCTION("AI(""Give me a paragraph marketing spiel for product in this row, no tech specs just marketing fluff under 180 characters "")"),"Transform your space with our premium aluminium profile, designed to bring a sleek, modern edge and seamless ambient lighting to any interior.")</f>
        <v>Transform your space with our premium aluminium profile, designed to bring a sleek, modern edge and seamless ambient lighting to any interior.</v>
      </c>
      <c r="I2" s="12" t="s">
        <v>34</v>
      </c>
      <c r="J2" s="13"/>
      <c r="K2" s="13"/>
      <c r="L2" s="10" t="s">
        <v>35</v>
      </c>
      <c r="M2" s="13"/>
      <c r="N2" s="13"/>
      <c r="O2" s="13"/>
      <c r="P2" s="13"/>
      <c r="Q2" s="13"/>
      <c r="R2" s="13"/>
      <c r="S2" s="13"/>
      <c r="T2" s="13"/>
      <c r="U2" s="13"/>
      <c r="V2" s="13"/>
      <c r="W2" s="10" t="s">
        <v>36</v>
      </c>
      <c r="X2" s="10" t="s">
        <v>37</v>
      </c>
      <c r="Y2" s="10"/>
      <c r="Z2" s="13"/>
      <c r="AA2" s="13" t="str">
        <f>IFERROR(__xludf.DUMMYFUNCTION("AI(""Generate 6 powerful unique keywords for the product in this row"")"),"aluminum profile, neon channel, LED extrusions, architectural lighting, ambient illumination, linear lighting")</f>
        <v>aluminum profile, neon channel, LED extrusions, architectural lighting, ambient illumination, linear lighting</v>
      </c>
      <c r="AB2" s="13" t="s">
        <v>38</v>
      </c>
    </row>
    <row r="3">
      <c r="A3" s="10" t="s">
        <v>39</v>
      </c>
      <c r="B3" s="10" t="s">
        <v>40</v>
      </c>
      <c r="C3" s="10" t="s">
        <v>30</v>
      </c>
      <c r="D3" s="10" t="s">
        <v>31</v>
      </c>
      <c r="E3" s="10" t="s">
        <v>32</v>
      </c>
      <c r="F3" s="11" t="str">
        <f>IFERROR(__xludf.DUMMYFUNCTION("AI(""Give me a paragraph marketing spiel for product in this row, no tech specs just marketing fluff "")"),"Achieve a flawless, professional presentation for your lighting installations with our sleek side-entry end caps. Designed to deliver a clean, continuous aesthetic, these essential accessories seamlessly seal your linear lighting for a polished, modern fi"&amp;"nish. Protect your setup while enhancing its overall visual appeal, ensuring every detail of your lighting display looks impeccably refined and complete.")</f>
        <v>Achieve a flawless, professional presentation for your lighting installations with our sleek side-entry end caps. Designed to deliver a clean, continuous aesthetic, these essential accessories seamlessly seal your linear lighting for a polished, modern finish. Protect your setup while enhancing its overall visual appeal, ensuring every detail of your lighting display looks impeccably refined and complete.</v>
      </c>
      <c r="G3" s="13" t="s">
        <v>41</v>
      </c>
      <c r="H3" s="11" t="str">
        <f>IFERROR(__xludf.DUMMYFUNCTION("AI(""Give me a paragraph marketing spiel for product in this row, no tech specs just marketing fluff under 180 characters "")"),"Achieve a clean, flawless finish for your lighting installation with our premium end caps designed for effortless elegance and seamless style.")</f>
        <v>Achieve a clean, flawless finish for your lighting installation with our premium end caps designed for effortless elegance and seamless style.</v>
      </c>
      <c r="I3" s="13" t="s">
        <v>42</v>
      </c>
      <c r="J3" s="13"/>
      <c r="K3" s="13"/>
      <c r="L3" s="10" t="s">
        <v>43</v>
      </c>
      <c r="M3" s="13"/>
      <c r="N3" s="13"/>
      <c r="O3" s="13"/>
      <c r="P3" s="13"/>
      <c r="Q3" s="13"/>
      <c r="R3" s="13"/>
      <c r="S3" s="13"/>
      <c r="T3" s="13"/>
      <c r="U3" s="13"/>
      <c r="V3" s="13"/>
      <c r="W3" s="10" t="s">
        <v>36</v>
      </c>
      <c r="X3" s="10" t="s">
        <v>44</v>
      </c>
      <c r="Y3" s="10"/>
      <c r="Z3" s="13"/>
      <c r="AA3" s="13" t="str">
        <f>IFERROR(__xludf.DUMMYFUNCTION("AI(""Generate 6 powerful unique keywords for the product in this row"")"),"neon end cap, side entry end cap, 16x16 end cap, LED channel cap, linear lighting accessory, end cap seal")</f>
        <v>neon end cap, side entry end cap, 16x16 end cap, LED channel cap, linear lighting accessory, end cap seal</v>
      </c>
      <c r="AB3" s="13" t="s">
        <v>45</v>
      </c>
    </row>
    <row r="4">
      <c r="A4" s="10" t="s">
        <v>46</v>
      </c>
      <c r="B4" s="10" t="s">
        <v>40</v>
      </c>
      <c r="C4" s="10" t="s">
        <v>30</v>
      </c>
      <c r="D4" s="10" t="s">
        <v>31</v>
      </c>
      <c r="E4" s="10" t="s">
        <v>32</v>
      </c>
      <c r="F4" s="11" t="str">
        <f>IFERROR(__xludf.DUMMYFUNCTION("AI(""Give me a paragraph marketing spiel for product in this row, no tech specs just marketing fluff "")"),"Complete your lighting installation with the ultimate finishing touch using our top-entry end caps. Offering a seamless integration into your space, they ensure your lighting features maintain a clean, high-end appearance from every angle. Perfect for mod"&amp;"ern interiors, they provide a smooth, elegant closure that secures your setup while upholding a minimalist, luxury aesthetic.")</f>
        <v>Complete your lighting installation with the ultimate finishing touch using our top-entry end caps. Offering a seamless integration into your space, they ensure your lighting features maintain a clean, high-end appearance from every angle. Perfect for modern interiors, they provide a smooth, elegant closure that secures your setup while upholding a minimalist, luxury aesthetic.</v>
      </c>
      <c r="G4" s="13" t="s">
        <v>47</v>
      </c>
      <c r="H4" s="11" t="str">
        <f>IFERROR(__xludf.DUMMYFUNCTION("AI(""Give me a paragraph marketing spiel for product in this row, no tech specs just marketing fluff under 180 characters "")"),"Complete your modern lighting design with elegant top entry end caps, ensuring a polished look and continuous, trimless aesthetic in every room.")</f>
        <v>Complete your modern lighting design with elegant top entry end caps, ensuring a polished look and continuous, trimless aesthetic in every room.</v>
      </c>
      <c r="I4" s="13" t="s">
        <v>48</v>
      </c>
      <c r="J4" s="13"/>
      <c r="K4" s="13"/>
      <c r="L4" s="10" t="s">
        <v>49</v>
      </c>
      <c r="M4" s="13"/>
      <c r="N4" s="13"/>
      <c r="O4" s="13"/>
      <c r="P4" s="13"/>
      <c r="Q4" s="13"/>
      <c r="R4" s="13"/>
      <c r="S4" s="13"/>
      <c r="T4" s="13"/>
      <c r="U4" s="13"/>
      <c r="V4" s="13"/>
      <c r="W4" s="10" t="s">
        <v>36</v>
      </c>
      <c r="X4" s="10" t="s">
        <v>50</v>
      </c>
      <c r="Y4" s="10"/>
      <c r="Z4" s="13"/>
      <c r="AA4" s="13" t="str">
        <f>IFERROR(__xludf.DUMMYFUNCTION("AI(""Generate 6 powerful unique keywords for the product in this row"")"),"neon end cap, top entry end cap, 16x16 end cap, LED channel cap, trimless end cap, linear lighting accessory")</f>
        <v>neon end cap, top entry end cap, 16x16 end cap, LED channel cap, trimless end cap, linear lighting accessory</v>
      </c>
      <c r="AB4" s="13" t="s">
        <v>51</v>
      </c>
    </row>
    <row r="5">
      <c r="A5" s="10" t="s">
        <v>52</v>
      </c>
      <c r="B5" s="10" t="s">
        <v>53</v>
      </c>
      <c r="C5" s="10" t="s">
        <v>30</v>
      </c>
      <c r="D5" s="10" t="s">
        <v>31</v>
      </c>
      <c r="E5" s="10" t="s">
        <v>32</v>
      </c>
      <c r="F5" s="11" t="str">
        <f>IFERROR(__xludf.DUMMYFUNCTION("AI(""Give me a paragraph marketing spiel for product in this row, no tech specs just marketing fluff "")"),"Ensure your custom lighting display is held in perfect alignment with our high-grade metal mounting clips. Built to deliver reliable stability with a subtle footprint, these clips keep your installation looking sleek, modern, and perfectly organized. Effo"&amp;"rtlessly maintain clean lines of light throughout your space while enjoying complete peace of mind and enduring design elegance.")</f>
        <v>Ensure your custom lighting display is held in perfect alignment with our high-grade metal mounting clips. Built to deliver reliable stability with a subtle footprint, these clips keep your installation looking sleek, modern, and perfectly organized. Effortlessly maintain clean lines of light throughout your space while enjoying complete peace of mind and enduring design elegance.</v>
      </c>
      <c r="G5" s="13" t="s">
        <v>54</v>
      </c>
      <c r="H5" s="11" t="str">
        <f>IFERROR(__xludf.DUMMYFUNCTION("AI(""Give me a paragraph marketing spiel for product in this row, no tech specs just marketing fluff under 180 characters "")"),"Effortlessly secure your custom neon LED lighting with sleek mounting clips that deliver reliable support while keeping your aesthetic clean and hidden.")</f>
        <v>Effortlessly secure your custom neon LED lighting with sleek mounting clips that deliver reliable support while keeping your aesthetic clean and hidden.</v>
      </c>
      <c r="I5" s="13" t="s">
        <v>55</v>
      </c>
      <c r="J5" s="13"/>
      <c r="K5" s="13"/>
      <c r="L5" s="10" t="s">
        <v>35</v>
      </c>
      <c r="M5" s="13"/>
      <c r="N5" s="13"/>
      <c r="O5" s="13"/>
      <c r="P5" s="13"/>
      <c r="Q5" s="13"/>
      <c r="R5" s="13"/>
      <c r="S5" s="13"/>
      <c r="T5" s="13"/>
      <c r="U5" s="13"/>
      <c r="V5" s="13"/>
      <c r="W5" s="10" t="s">
        <v>36</v>
      </c>
      <c r="X5" s="10" t="s">
        <v>56</v>
      </c>
      <c r="Y5" s="10"/>
      <c r="Z5" s="13"/>
      <c r="AA5" s="13" t="str">
        <f>IFERROR(__xludf.DUMMYFUNCTION("AI(""Generate 6 powerful unique keywords for the product in this row"")"),"neon mounting clips, metal mounting clips, 16x16 LED clips, neon strip brackets, mounting accessories, linear light clips")</f>
        <v>neon mounting clips, metal mounting clips, 16x16 LED clips, neon strip brackets, mounting accessories, linear light clips</v>
      </c>
      <c r="AB5" s="13" t="s">
        <v>57</v>
      </c>
    </row>
    <row r="6">
      <c r="A6" s="10" t="s">
        <v>58</v>
      </c>
      <c r="B6" s="10" t="s">
        <v>59</v>
      </c>
      <c r="C6" s="10" t="s">
        <v>30</v>
      </c>
      <c r="D6" s="10" t="s">
        <v>31</v>
      </c>
      <c r="E6" s="10" t="s">
        <v>32</v>
      </c>
      <c r="F6" s="11" t="str">
        <f>IFERROR(__xludf.DUMMYFUNCTION("AI(""Give me a paragraph marketing spiel for product in this row, no tech specs just marketing fluff "")"),"Elevate your lighting design with side-opening metal mounting clips that combine functional excellence with effortless installation. Designed to securely support your lighting fixtures while remaining discreetly out of sight, these clips help create smoot"&amp;"h, continuous runs of light. Experience the perfect harmony of stability and minimalist aesthetics for a truly elevated interior look.")</f>
        <v>Elevate your lighting design with side-opening metal mounting clips that combine functional excellence with effortless installation. Designed to securely support your lighting fixtures while remaining discreetly out of sight, these clips help create smooth, continuous runs of light. Experience the perfect harmony of stability and minimalist aesthetics for a truly elevated interior look.</v>
      </c>
      <c r="G6" s="13" t="s">
        <v>60</v>
      </c>
      <c r="H6" s="11" t="str">
        <f>IFERROR(__xludf.DUMMYFUNCTION("AI(""Give me a paragraph marketing spiel for product in this row, no tech specs just marketing fluff under 180 characters "")"),"Upgrade your lighting setup with side-opening mounting clips designed to provide seamless architectural integration and a pristine, modern finish.")</f>
        <v>Upgrade your lighting setup with side-opening mounting clips designed to provide seamless architectural integration and a pristine, modern finish.</v>
      </c>
      <c r="I6" s="13" t="s">
        <v>61</v>
      </c>
      <c r="J6" s="13"/>
      <c r="K6" s="13"/>
      <c r="L6" s="10" t="s">
        <v>35</v>
      </c>
      <c r="M6" s="13"/>
      <c r="N6" s="13"/>
      <c r="O6" s="13"/>
      <c r="P6" s="13"/>
      <c r="Q6" s="13"/>
      <c r="R6" s="13"/>
      <c r="S6" s="13"/>
      <c r="T6" s="13"/>
      <c r="U6" s="13"/>
      <c r="V6" s="13"/>
      <c r="W6" s="10" t="s">
        <v>36</v>
      </c>
      <c r="X6" s="10" t="s">
        <v>62</v>
      </c>
      <c r="Y6" s="10"/>
      <c r="Z6" s="13"/>
      <c r="AA6" s="13" t="str">
        <f>IFERROR(__xludf.DUMMYFUNCTION("AI(""Generate 6 powerful unique keywords for the product in this row"")"),"side opening clips, metal mounting clips, neon LED clips, 16x16 mounting clips, architectural lighting clips, mounting brackets")</f>
        <v>side opening clips, metal mounting clips, neon LED clips, 16x16 mounting clips, architectural lighting clips, mounting brackets</v>
      </c>
      <c r="AB6" s="13" t="s">
        <v>63</v>
      </c>
    </row>
    <row r="7">
      <c r="A7" s="10" t="s">
        <v>64</v>
      </c>
      <c r="B7" s="10" t="s">
        <v>65</v>
      </c>
      <c r="C7" s="10" t="s">
        <v>30</v>
      </c>
      <c r="D7" s="10" t="s">
        <v>31</v>
      </c>
      <c r="E7" s="10" t="s">
        <v>32</v>
      </c>
      <c r="F7" s="11" t="str">
        <f>IFERROR(__xludf.DUMMYFUNCTION("AI(""Give me a paragraph marketing spiel for product in this row, no tech specs just marketing fluff "")"),"Sculpt mesmerizing curves and dramatic linear highlights with our side-opening aluminum profile. Engineered to blend seamlessly into sophisticated contemporary environments, this profile offers flexible architectural framing for pure, effortless illuminat"&amp;"ion. Bring your creative lighting concepts to life and infuse your space with luxury, warmth, and artistic ambiance.")</f>
        <v>Sculpt mesmerizing curves and dramatic linear highlights with our side-opening aluminum profile. Engineered to blend seamlessly into sophisticated contemporary environments, this profile offers flexible architectural framing for pure, effortless illumination. Bring your creative lighting concepts to life and infuse your space with luxury, warmth, and artistic ambiance.</v>
      </c>
      <c r="G7" s="13" t="s">
        <v>66</v>
      </c>
      <c r="H7" s="11" t="str">
        <f>IFERROR(__xludf.DUMMYFUNCTION("AI(""Give me a paragraph marketing spiel for product in this row, no tech specs just marketing fluff under 180 characters "")"),"Fluidly sculpt glowing ambient light with flexible aluminium profiles that seamlessly blend into your walls for a captivating, high-end look.")</f>
        <v>Fluidly sculpt glowing ambient light with flexible aluminium profiles that seamlessly blend into your walls for a captivating, high-end look.</v>
      </c>
      <c r="I7" s="13" t="s">
        <v>67</v>
      </c>
      <c r="J7" s="13"/>
      <c r="K7" s="13"/>
      <c r="L7" s="10" t="s">
        <v>35</v>
      </c>
      <c r="M7" s="13"/>
      <c r="N7" s="13"/>
      <c r="O7" s="13"/>
      <c r="P7" s="13"/>
      <c r="Q7" s="13"/>
      <c r="R7" s="13"/>
      <c r="S7" s="13"/>
      <c r="T7" s="13"/>
      <c r="U7" s="13"/>
      <c r="V7" s="13"/>
      <c r="W7" s="10" t="s">
        <v>36</v>
      </c>
      <c r="X7" s="10" t="s">
        <v>68</v>
      </c>
      <c r="Y7" s="10"/>
      <c r="Z7" s="13"/>
      <c r="AA7" s="13" t="str">
        <f>IFERROR(__xludf.DUMMYFUNCTION("AI(""Generate 6 powerful unique keywords for the product in this row"")"),"aluminium profile, side opening profile, neon channel, flexible LED extrusion, linear lighting channel, architectural profile")</f>
        <v>aluminium profile, side opening profile, neon channel, flexible LED extrusion, linear lighting channel, architectural profile</v>
      </c>
      <c r="AB7" s="13" t="s">
        <v>69</v>
      </c>
    </row>
    <row r="8">
      <c r="A8" s="10" t="s">
        <v>70</v>
      </c>
      <c r="B8" s="10" t="s">
        <v>71</v>
      </c>
      <c r="C8" s="10" t="s">
        <v>30</v>
      </c>
      <c r="D8" s="10" t="s">
        <v>31</v>
      </c>
      <c r="E8" s="10" t="s">
        <v>32</v>
      </c>
      <c r="F8" s="11" t="str">
        <f>IFERROR(__xludf.DUMMYFUNCTION("AI(""Give me a paragraph marketing spiel for product in this row, no tech specs just marketing fluff "")"),"Bring your lighting vision to life with our flexible plaster aluminum profile, designed to shape around any detail for a sleek, seamless glow. Perfectly integrating into walls and ceilings for a flush, architectural finish, it transforms any room into a m"&amp;"odern sanctuary of light. Elevate your interior aesthetics with soft, flowing illumination that contours effortlessly around your unique architectural features.")</f>
        <v>Bring your lighting vision to life with our flexible plaster aluminum profile, designed to shape around any detail for a sleek, seamless glow. Perfectly integrating into walls and ceilings for a flush, architectural finish, it transforms any room into a modern sanctuary of light. Elevate your interior aesthetics with soft, flowing illumination that contours effortlessly around your unique architectural features.</v>
      </c>
      <c r="G8" s="13" t="s">
        <v>72</v>
      </c>
      <c r="H8" s="11" t="str">
        <f>IFERROR(__xludf.DUMMYFUNCTION("AI(""Give me a paragraph marketing spiel for product in this row, no tech specs just marketing fluff under 180 characters "")"),"Fluidly sculpt glowing ambient light with flexible aluminium profiles that seamlessly blend into your walls for a captivating, high-end look.")</f>
        <v>Fluidly sculpt glowing ambient light with flexible aluminium profiles that seamlessly blend into your walls for a captivating, high-end look.</v>
      </c>
      <c r="I8" s="13" t="s">
        <v>67</v>
      </c>
      <c r="J8" s="13"/>
      <c r="K8" s="13"/>
      <c r="L8" s="10" t="s">
        <v>73</v>
      </c>
      <c r="M8" s="13"/>
      <c r="N8" s="13"/>
      <c r="O8" s="13"/>
      <c r="P8" s="13"/>
      <c r="Q8" s="13"/>
      <c r="R8" s="13"/>
      <c r="S8" s="13"/>
      <c r="T8" s="13"/>
      <c r="U8" s="13"/>
      <c r="V8" s="13"/>
      <c r="W8" s="10" t="s">
        <v>36</v>
      </c>
      <c r="X8" s="10" t="s">
        <v>74</v>
      </c>
      <c r="Y8" s="10"/>
      <c r="Z8" s="13"/>
      <c r="AA8" s="13" t="str">
        <f>IFERROR(__xludf.DUMMYFUNCTION("AI(""Generate 6 powerful unique keywords for the product in this row"")"),"plaster aluminium profile, flexible plaster channel, recessed LED profile, trimless channel, flush lighting profile, architectural LED channel")</f>
        <v>plaster aluminium profile, flexible plaster channel, recessed LED profile, trimless channel, flush lighting profile, architectural LED channel</v>
      </c>
      <c r="AB8" s="13" t="s">
        <v>75</v>
      </c>
    </row>
    <row r="9">
      <c r="A9" s="10" t="s">
        <v>76</v>
      </c>
      <c r="B9" s="10" t="s">
        <v>77</v>
      </c>
      <c r="C9" s="10" t="s">
        <v>30</v>
      </c>
      <c r="D9" s="10" t="s">
        <v>31</v>
      </c>
      <c r="E9" s="10" t="s">
        <v>32</v>
      </c>
      <c r="F9" s="11" t="str">
        <f>IFERROR(__xludf.DUMMYFUNCTION("AI(""Give me a paragraph marketing spiel for product in this row, no tech specs just marketing fluff "")"),"Effortlessly shape stunning light throughout your home or commercial space with this versatile flexible aluminum profile. Designed to bring a smooth, sophisticated glow to any environment, it allows you to create custom curves and striking lighting accent"&amp;"s with ease. Add a luxurious, modern touch to your decor with soft, continuous light that highlights the finest details of your interior design.")</f>
        <v>Effortlessly shape stunning light throughout your home or commercial space with this versatile flexible aluminum profile. Designed to bring a smooth, sophisticated glow to any environment, it allows you to create custom curves and striking lighting accents with ease. Add a luxurious, modern touch to your decor with soft, continuous light that highlights the finest details of your interior design.</v>
      </c>
      <c r="G9" s="13" t="s">
        <v>78</v>
      </c>
      <c r="H9" s="11" t="str">
        <f>IFERROR(__xludf.DUMMYFUNCTION("AI(""Give me a paragraph marketing spiel for product in this row, no tech specs just marketing fluff under 180 characters "")"),"Elevate your lighting design with a flexible profile that effortlessly diffuses light into smooth, captivating curves for a modern aesthetic.")</f>
        <v>Elevate your lighting design with a flexible profile that effortlessly diffuses light into smooth, captivating curves for a modern aesthetic.</v>
      </c>
      <c r="I9" s="13" t="s">
        <v>79</v>
      </c>
      <c r="J9" s="13"/>
      <c r="K9" s="13"/>
      <c r="L9" s="10" t="s">
        <v>73</v>
      </c>
      <c r="M9" s="13"/>
      <c r="N9" s="13"/>
      <c r="O9" s="13"/>
      <c r="P9" s="13"/>
      <c r="Q9" s="13"/>
      <c r="R9" s="13"/>
      <c r="S9" s="13"/>
      <c r="T9" s="13"/>
      <c r="U9" s="13"/>
      <c r="V9" s="13"/>
      <c r="W9" s="10" t="s">
        <v>36</v>
      </c>
      <c r="X9" s="10" t="s">
        <v>80</v>
      </c>
      <c r="Y9" s="10"/>
      <c r="Z9" s="13"/>
      <c r="AA9" s="13" t="str">
        <f>IFERROR(__xludf.DUMMYFUNCTION("AI(""Generate 6 powerful unique keywords for the product in this row"")"),"bendable aluminum profile, flexible neon channel, curved LED extrusion, custom lighting channel, flexible architectural lighting, ambient curve lighting")</f>
        <v>bendable aluminum profile, flexible neon channel, curved LED extrusion, custom lighting channel, flexible architectural lighting, ambient curve lighting</v>
      </c>
      <c r="AB9" s="13" t="s">
        <v>81</v>
      </c>
    </row>
    <row r="10">
      <c r="A10" s="13"/>
      <c r="B10" s="13"/>
      <c r="C10" s="13"/>
      <c r="D10" s="13"/>
      <c r="E10" s="13"/>
      <c r="F10" s="14"/>
      <c r="G10" s="14"/>
      <c r="H10" s="14"/>
      <c r="I10" s="14"/>
      <c r="J10" s="13"/>
      <c r="K10" s="13"/>
      <c r="L10" s="13"/>
      <c r="M10" s="13"/>
      <c r="N10" s="13"/>
      <c r="O10" s="13"/>
      <c r="P10" s="13"/>
      <c r="Q10" s="13"/>
      <c r="R10" s="13"/>
      <c r="S10" s="13"/>
      <c r="T10" s="13"/>
      <c r="U10" s="13"/>
      <c r="V10" s="13"/>
      <c r="W10" s="13"/>
      <c r="X10" s="13"/>
      <c r="Y10" s="13"/>
      <c r="Z10" s="13"/>
      <c r="AA10" s="13"/>
      <c r="AB10" s="13"/>
    </row>
    <row r="11">
      <c r="A11" s="13"/>
      <c r="B11" s="13"/>
      <c r="C11" s="13"/>
      <c r="D11" s="13"/>
      <c r="E11" s="13"/>
      <c r="F11" s="14"/>
      <c r="G11" s="14"/>
      <c r="H11" s="14"/>
      <c r="I11" s="14"/>
      <c r="J11" s="13"/>
      <c r="K11" s="13"/>
      <c r="L11" s="13"/>
      <c r="M11" s="13"/>
      <c r="N11" s="13"/>
      <c r="O11" s="13"/>
      <c r="P11" s="13"/>
      <c r="Q11" s="13"/>
      <c r="R11" s="13"/>
      <c r="S11" s="13"/>
      <c r="T11" s="13"/>
      <c r="U11" s="13"/>
      <c r="V11" s="13"/>
      <c r="W11" s="13"/>
      <c r="X11" s="13"/>
      <c r="Y11" s="13"/>
      <c r="Z11" s="13"/>
      <c r="AA11" s="13"/>
      <c r="AB11" s="13"/>
    </row>
    <row r="12">
      <c r="A12" s="13"/>
      <c r="B12" s="13"/>
      <c r="C12" s="13"/>
      <c r="D12" s="13"/>
      <c r="E12" s="13"/>
      <c r="F12" s="14"/>
      <c r="G12" s="14"/>
      <c r="H12" s="14"/>
      <c r="I12" s="14"/>
      <c r="J12" s="13"/>
      <c r="K12" s="13"/>
      <c r="L12" s="13"/>
      <c r="M12" s="13"/>
      <c r="N12" s="13"/>
      <c r="O12" s="13"/>
      <c r="P12" s="13"/>
      <c r="Q12" s="13"/>
      <c r="R12" s="13"/>
      <c r="S12" s="13"/>
      <c r="T12" s="13"/>
      <c r="U12" s="13"/>
      <c r="V12" s="13"/>
      <c r="W12" s="13"/>
      <c r="X12" s="13"/>
      <c r="Y12" s="13"/>
      <c r="Z12" s="13"/>
      <c r="AA12" s="13"/>
      <c r="AB12" s="13"/>
    </row>
    <row r="13">
      <c r="A13" s="13"/>
      <c r="B13" s="13"/>
      <c r="C13" s="13"/>
      <c r="D13" s="13"/>
      <c r="E13" s="13"/>
      <c r="F13" s="14"/>
      <c r="G13" s="14"/>
      <c r="H13" s="14"/>
      <c r="I13" s="14"/>
      <c r="J13" s="13"/>
      <c r="K13" s="13"/>
      <c r="L13" s="13"/>
      <c r="M13" s="13"/>
      <c r="N13" s="13"/>
      <c r="O13" s="13"/>
      <c r="P13" s="13"/>
      <c r="Q13" s="13"/>
      <c r="R13" s="13"/>
      <c r="S13" s="13"/>
      <c r="T13" s="13"/>
      <c r="U13" s="13"/>
      <c r="V13" s="13"/>
      <c r="W13" s="13"/>
      <c r="X13" s="13"/>
      <c r="Y13" s="13"/>
      <c r="Z13" s="13"/>
      <c r="AA13" s="13"/>
      <c r="AB13" s="13"/>
    </row>
    <row r="14">
      <c r="A14" s="13"/>
      <c r="B14" s="13"/>
      <c r="C14" s="13"/>
      <c r="D14" s="13"/>
      <c r="E14" s="13"/>
      <c r="F14" s="14"/>
      <c r="G14" s="14"/>
      <c r="H14" s="14"/>
      <c r="I14" s="14"/>
      <c r="J14" s="13"/>
      <c r="K14" s="13"/>
      <c r="L14" s="13"/>
      <c r="M14" s="13"/>
      <c r="N14" s="13"/>
      <c r="O14" s="13"/>
      <c r="P14" s="13"/>
      <c r="Q14" s="13"/>
      <c r="R14" s="13"/>
      <c r="S14" s="13"/>
      <c r="T14" s="13"/>
      <c r="U14" s="13"/>
      <c r="V14" s="13"/>
      <c r="W14" s="13"/>
      <c r="X14" s="13"/>
      <c r="Y14" s="13"/>
      <c r="Z14" s="13"/>
      <c r="AA14" s="13"/>
      <c r="AB14" s="13"/>
    </row>
    <row r="15">
      <c r="A15" s="13"/>
      <c r="B15" s="13"/>
      <c r="C15" s="13"/>
      <c r="D15" s="13"/>
      <c r="E15" s="13"/>
      <c r="F15" s="14"/>
      <c r="G15" s="14"/>
      <c r="H15" s="14"/>
      <c r="I15" s="14"/>
      <c r="J15" s="13"/>
      <c r="K15" s="13"/>
      <c r="L15" s="13"/>
      <c r="M15" s="13"/>
      <c r="N15" s="13"/>
      <c r="O15" s="13"/>
      <c r="P15" s="13"/>
      <c r="Q15" s="13"/>
      <c r="R15" s="13"/>
      <c r="S15" s="13"/>
      <c r="T15" s="13"/>
      <c r="U15" s="13"/>
      <c r="V15" s="13"/>
      <c r="W15" s="13"/>
      <c r="X15" s="13"/>
      <c r="Y15" s="13"/>
      <c r="Z15" s="13"/>
      <c r="AA15" s="13"/>
      <c r="AB15" s="13"/>
    </row>
    <row r="16">
      <c r="A16" s="13"/>
      <c r="B16" s="13"/>
      <c r="C16" s="13"/>
      <c r="D16" s="13"/>
      <c r="E16" s="13"/>
      <c r="F16" s="14"/>
      <c r="G16" s="14"/>
      <c r="H16" s="14"/>
      <c r="I16" s="14"/>
      <c r="J16" s="13"/>
      <c r="K16" s="13"/>
      <c r="L16" s="13"/>
      <c r="M16" s="13"/>
      <c r="N16" s="13"/>
      <c r="O16" s="13"/>
      <c r="P16" s="13"/>
      <c r="Q16" s="13"/>
      <c r="R16" s="13"/>
      <c r="S16" s="13"/>
      <c r="T16" s="13"/>
      <c r="U16" s="13"/>
      <c r="V16" s="13"/>
      <c r="W16" s="13"/>
      <c r="X16" s="13"/>
      <c r="Y16" s="13"/>
      <c r="Z16" s="13"/>
      <c r="AA16" s="13"/>
      <c r="AB16" s="13"/>
    </row>
    <row r="17">
      <c r="A17" s="13"/>
      <c r="B17" s="13"/>
      <c r="C17" s="13"/>
      <c r="D17" s="13"/>
      <c r="E17" s="13"/>
      <c r="F17" s="14"/>
      <c r="G17" s="14"/>
      <c r="H17" s="14"/>
      <c r="I17" s="14"/>
      <c r="J17" s="13"/>
      <c r="K17" s="13"/>
      <c r="L17" s="13"/>
      <c r="M17" s="13"/>
      <c r="N17" s="13"/>
      <c r="O17" s="13"/>
      <c r="P17" s="13"/>
      <c r="Q17" s="13"/>
      <c r="R17" s="13"/>
      <c r="S17" s="13"/>
      <c r="T17" s="13"/>
      <c r="U17" s="13"/>
      <c r="V17" s="13"/>
      <c r="W17" s="13"/>
      <c r="X17" s="13"/>
      <c r="Y17" s="13"/>
      <c r="Z17" s="13"/>
      <c r="AA17" s="13"/>
      <c r="AB17" s="13"/>
    </row>
    <row r="18">
      <c r="A18" s="13"/>
      <c r="B18" s="13"/>
      <c r="C18" s="13"/>
      <c r="D18" s="13"/>
      <c r="E18" s="13"/>
      <c r="F18" s="14"/>
      <c r="G18" s="14"/>
      <c r="H18" s="14"/>
      <c r="I18" s="14"/>
      <c r="J18" s="13"/>
      <c r="K18" s="13"/>
      <c r="L18" s="13"/>
      <c r="M18" s="13"/>
      <c r="N18" s="13"/>
      <c r="O18" s="13"/>
      <c r="P18" s="13"/>
      <c r="Q18" s="13"/>
      <c r="R18" s="13"/>
      <c r="S18" s="13"/>
      <c r="T18" s="13"/>
      <c r="U18" s="13"/>
      <c r="V18" s="13"/>
      <c r="W18" s="13"/>
      <c r="X18" s="13"/>
      <c r="Y18" s="13"/>
      <c r="Z18" s="13"/>
      <c r="AA18" s="13"/>
      <c r="AB18" s="13"/>
    </row>
    <row r="19">
      <c r="A19" s="13"/>
      <c r="B19" s="13"/>
      <c r="C19" s="13"/>
      <c r="D19" s="13"/>
      <c r="E19" s="13"/>
      <c r="F19" s="14"/>
      <c r="G19" s="14"/>
      <c r="H19" s="14"/>
      <c r="I19" s="14"/>
      <c r="J19" s="13"/>
      <c r="K19" s="13"/>
      <c r="L19" s="13"/>
      <c r="M19" s="13"/>
      <c r="N19" s="13"/>
      <c r="O19" s="13"/>
      <c r="P19" s="13"/>
      <c r="Q19" s="13"/>
      <c r="R19" s="13"/>
      <c r="S19" s="13"/>
      <c r="T19" s="13"/>
      <c r="U19" s="13"/>
      <c r="V19" s="13"/>
      <c r="W19" s="13"/>
      <c r="X19" s="13"/>
      <c r="Y19" s="13"/>
      <c r="Z19" s="13"/>
      <c r="AA19" s="13"/>
      <c r="AB19" s="13"/>
    </row>
    <row r="20">
      <c r="A20" s="13"/>
      <c r="B20" s="13"/>
      <c r="C20" s="13"/>
      <c r="D20" s="13"/>
      <c r="E20" s="13"/>
      <c r="F20" s="14"/>
      <c r="G20" s="14"/>
      <c r="H20" s="14"/>
      <c r="I20" s="14"/>
      <c r="J20" s="13"/>
      <c r="K20" s="13"/>
      <c r="L20" s="13"/>
      <c r="M20" s="13"/>
      <c r="N20" s="13"/>
      <c r="O20" s="13"/>
      <c r="P20" s="13"/>
      <c r="Q20" s="13"/>
      <c r="R20" s="13"/>
      <c r="S20" s="13"/>
      <c r="T20" s="13"/>
      <c r="U20" s="13"/>
      <c r="V20" s="13"/>
      <c r="W20" s="13"/>
      <c r="X20" s="13"/>
      <c r="Y20" s="13"/>
      <c r="Z20" s="13"/>
      <c r="AA20" s="13"/>
      <c r="AB20" s="13"/>
    </row>
    <row r="21">
      <c r="A21" s="13"/>
      <c r="B21" s="13"/>
      <c r="C21" s="13"/>
      <c r="D21" s="13"/>
      <c r="E21" s="13"/>
      <c r="F21" s="14"/>
      <c r="G21" s="14"/>
      <c r="H21" s="14"/>
      <c r="I21" s="14"/>
      <c r="J21" s="13"/>
      <c r="K21" s="13"/>
      <c r="L21" s="13"/>
      <c r="M21" s="13"/>
      <c r="N21" s="13"/>
      <c r="O21" s="13"/>
      <c r="P21" s="13"/>
      <c r="Q21" s="13"/>
      <c r="R21" s="13"/>
      <c r="S21" s="13"/>
      <c r="T21" s="13"/>
      <c r="U21" s="13"/>
      <c r="V21" s="13"/>
      <c r="W21" s="13"/>
      <c r="X21" s="13"/>
      <c r="Y21" s="13"/>
      <c r="Z21" s="13"/>
      <c r="AA21" s="13"/>
      <c r="AB21" s="13"/>
    </row>
    <row r="22">
      <c r="A22" s="13"/>
      <c r="B22" s="13"/>
      <c r="C22" s="13"/>
      <c r="D22" s="13"/>
      <c r="E22" s="13"/>
      <c r="F22" s="14"/>
      <c r="G22" s="14"/>
      <c r="H22" s="14"/>
      <c r="I22" s="14"/>
      <c r="J22" s="13"/>
      <c r="K22" s="13"/>
      <c r="L22" s="13"/>
      <c r="M22" s="13"/>
      <c r="N22" s="13"/>
      <c r="O22" s="13"/>
      <c r="P22" s="13"/>
      <c r="Q22" s="13"/>
      <c r="R22" s="13"/>
      <c r="S22" s="13"/>
      <c r="T22" s="13"/>
      <c r="U22" s="13"/>
      <c r="V22" s="13"/>
      <c r="W22" s="13"/>
      <c r="X22" s="13"/>
      <c r="Y22" s="13"/>
      <c r="Z22" s="13"/>
      <c r="AA22" s="13"/>
      <c r="AB22" s="13"/>
    </row>
    <row r="23">
      <c r="A23" s="13"/>
      <c r="B23" s="13"/>
      <c r="C23" s="13"/>
      <c r="D23" s="13"/>
      <c r="E23" s="13"/>
      <c r="F23" s="14"/>
      <c r="G23" s="14"/>
      <c r="H23" s="14"/>
      <c r="I23" s="14"/>
      <c r="J23" s="13"/>
      <c r="K23" s="13"/>
      <c r="L23" s="13"/>
      <c r="M23" s="13"/>
      <c r="N23" s="13"/>
      <c r="O23" s="13"/>
      <c r="P23" s="13"/>
      <c r="Q23" s="13"/>
      <c r="R23" s="13"/>
      <c r="S23" s="13"/>
      <c r="T23" s="13"/>
      <c r="U23" s="13"/>
      <c r="V23" s="13"/>
      <c r="W23" s="13"/>
      <c r="X23" s="13"/>
      <c r="Y23" s="13"/>
      <c r="Z23" s="13"/>
      <c r="AA23" s="13"/>
      <c r="AB23" s="13"/>
    </row>
    <row r="24">
      <c r="A24" s="13"/>
      <c r="B24" s="13"/>
      <c r="C24" s="13"/>
      <c r="D24" s="13"/>
      <c r="E24" s="13"/>
      <c r="F24" s="14"/>
      <c r="G24" s="14"/>
      <c r="H24" s="14"/>
      <c r="I24" s="14"/>
      <c r="J24" s="13"/>
      <c r="K24" s="13"/>
      <c r="L24" s="13"/>
      <c r="M24" s="13"/>
      <c r="N24" s="13"/>
      <c r="O24" s="13"/>
      <c r="P24" s="13"/>
      <c r="Q24" s="13"/>
      <c r="R24" s="13"/>
      <c r="S24" s="13"/>
      <c r="T24" s="13"/>
      <c r="U24" s="13"/>
      <c r="V24" s="13"/>
      <c r="W24" s="13"/>
      <c r="X24" s="13"/>
      <c r="Y24" s="13"/>
      <c r="Z24" s="13"/>
      <c r="AA24" s="13"/>
      <c r="AB24" s="13"/>
    </row>
    <row r="25">
      <c r="A25" s="13"/>
      <c r="B25" s="13"/>
      <c r="C25" s="13"/>
      <c r="D25" s="13"/>
      <c r="E25" s="13"/>
      <c r="F25" s="14"/>
      <c r="G25" s="14"/>
      <c r="H25" s="14"/>
      <c r="I25" s="14"/>
      <c r="J25" s="13"/>
      <c r="K25" s="13"/>
      <c r="L25" s="13"/>
      <c r="M25" s="13"/>
      <c r="N25" s="13"/>
      <c r="O25" s="13"/>
      <c r="P25" s="13"/>
      <c r="Q25" s="13"/>
      <c r="R25" s="13"/>
      <c r="S25" s="13"/>
      <c r="T25" s="13"/>
      <c r="U25" s="13"/>
      <c r="V25" s="13"/>
      <c r="W25" s="13"/>
      <c r="X25" s="13"/>
      <c r="Y25" s="13"/>
      <c r="Z25" s="13"/>
      <c r="AA25" s="13"/>
      <c r="AB25" s="13"/>
    </row>
    <row r="26">
      <c r="A26" s="13"/>
      <c r="B26" s="13"/>
      <c r="C26" s="13"/>
      <c r="D26" s="13"/>
      <c r="E26" s="13"/>
      <c r="F26" s="14"/>
      <c r="G26" s="14"/>
      <c r="H26" s="14"/>
      <c r="I26" s="14"/>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4"/>
      <c r="G27" s="14"/>
      <c r="H27" s="14"/>
      <c r="I27" s="14"/>
      <c r="J27" s="13"/>
      <c r="K27" s="13"/>
      <c r="L27" s="13"/>
      <c r="M27" s="13"/>
      <c r="N27" s="13"/>
      <c r="O27" s="13"/>
      <c r="P27" s="13"/>
      <c r="Q27" s="13"/>
      <c r="R27" s="13"/>
      <c r="S27" s="13"/>
      <c r="T27" s="13"/>
      <c r="U27" s="13"/>
      <c r="V27" s="13"/>
      <c r="W27" s="13"/>
      <c r="X27" s="13"/>
      <c r="Y27" s="13"/>
      <c r="Z27" s="13"/>
      <c r="AA27" s="13"/>
      <c r="AB27" s="13"/>
    </row>
    <row r="28">
      <c r="A28" s="13"/>
      <c r="B28" s="13"/>
      <c r="C28" s="13"/>
      <c r="D28" s="13"/>
      <c r="E28" s="13"/>
      <c r="F28" s="14"/>
      <c r="G28" s="14"/>
      <c r="H28" s="14"/>
      <c r="I28" s="14"/>
      <c r="J28" s="13"/>
      <c r="K28" s="13"/>
      <c r="L28" s="13"/>
      <c r="M28" s="13"/>
      <c r="N28" s="13"/>
      <c r="O28" s="13"/>
      <c r="P28" s="13"/>
      <c r="Q28" s="13"/>
      <c r="R28" s="13"/>
      <c r="S28" s="13"/>
      <c r="T28" s="13"/>
      <c r="U28" s="13"/>
      <c r="V28" s="13"/>
      <c r="W28" s="13"/>
      <c r="X28" s="13"/>
      <c r="Y28" s="13"/>
      <c r="Z28" s="13"/>
      <c r="AA28" s="13"/>
      <c r="AB28" s="13"/>
    </row>
    <row r="29">
      <c r="A29" s="13"/>
      <c r="B29" s="13"/>
      <c r="C29" s="13"/>
      <c r="D29" s="13"/>
      <c r="E29" s="13"/>
      <c r="F29" s="14"/>
      <c r="G29" s="14"/>
      <c r="H29" s="14"/>
      <c r="I29" s="14"/>
      <c r="J29" s="13"/>
      <c r="K29" s="13"/>
      <c r="L29" s="13"/>
      <c r="M29" s="13"/>
      <c r="N29" s="13"/>
      <c r="O29" s="13"/>
      <c r="P29" s="13"/>
      <c r="Q29" s="13"/>
      <c r="R29" s="13"/>
      <c r="S29" s="13"/>
      <c r="T29" s="13"/>
      <c r="U29" s="13"/>
      <c r="V29" s="13"/>
      <c r="W29" s="13"/>
      <c r="X29" s="13"/>
      <c r="Y29" s="13"/>
      <c r="Z29" s="13"/>
      <c r="AA29" s="13"/>
      <c r="AB29" s="13"/>
    </row>
    <row r="30">
      <c r="A30" s="13"/>
      <c r="B30" s="13"/>
      <c r="C30" s="13"/>
      <c r="D30" s="13"/>
      <c r="E30" s="13"/>
      <c r="F30" s="14"/>
      <c r="G30" s="14"/>
      <c r="H30" s="14"/>
      <c r="I30" s="14"/>
      <c r="J30" s="13"/>
      <c r="K30" s="13"/>
      <c r="L30" s="13"/>
      <c r="M30" s="13"/>
      <c r="N30" s="13"/>
      <c r="O30" s="13"/>
      <c r="P30" s="13"/>
      <c r="Q30" s="13"/>
      <c r="R30" s="13"/>
      <c r="S30" s="13"/>
      <c r="T30" s="13"/>
      <c r="U30" s="13"/>
      <c r="V30" s="13"/>
      <c r="W30" s="13"/>
      <c r="X30" s="13"/>
      <c r="Y30" s="13"/>
      <c r="Z30" s="13"/>
      <c r="AA30" s="13"/>
      <c r="AB30" s="13"/>
    </row>
    <row r="31">
      <c r="A31" s="13"/>
      <c r="B31" s="13"/>
      <c r="C31" s="13"/>
      <c r="D31" s="13"/>
      <c r="E31" s="13"/>
      <c r="F31" s="14"/>
      <c r="G31" s="14"/>
      <c r="H31" s="14"/>
      <c r="I31" s="14"/>
      <c r="J31" s="13"/>
      <c r="K31" s="13"/>
      <c r="L31" s="13"/>
      <c r="M31" s="13"/>
      <c r="N31" s="13"/>
      <c r="O31" s="13"/>
      <c r="P31" s="13"/>
      <c r="Q31" s="13"/>
      <c r="R31" s="13"/>
      <c r="S31" s="13"/>
      <c r="T31" s="13"/>
      <c r="U31" s="13"/>
      <c r="V31" s="13"/>
      <c r="W31" s="13"/>
      <c r="X31" s="13"/>
      <c r="Y31" s="13"/>
      <c r="Z31" s="13"/>
      <c r="AA31" s="13"/>
      <c r="AB31" s="13"/>
    </row>
    <row r="32">
      <c r="A32" s="13"/>
      <c r="B32" s="13"/>
      <c r="C32" s="13"/>
      <c r="D32" s="13"/>
      <c r="E32" s="13"/>
      <c r="F32" s="14"/>
      <c r="G32" s="14"/>
      <c r="H32" s="14"/>
      <c r="I32" s="14"/>
      <c r="J32" s="13"/>
      <c r="K32" s="13"/>
      <c r="L32" s="13"/>
      <c r="M32" s="13"/>
      <c r="N32" s="13"/>
      <c r="O32" s="13"/>
      <c r="P32" s="13"/>
      <c r="Q32" s="13"/>
      <c r="R32" s="13"/>
      <c r="S32" s="13"/>
      <c r="T32" s="13"/>
      <c r="U32" s="13"/>
      <c r="V32" s="13"/>
      <c r="W32" s="13"/>
      <c r="X32" s="13"/>
      <c r="Y32" s="13"/>
      <c r="Z32" s="13"/>
      <c r="AA32" s="13"/>
      <c r="AB32" s="13"/>
    </row>
    <row r="33">
      <c r="A33" s="13"/>
      <c r="B33" s="13"/>
      <c r="C33" s="13"/>
      <c r="D33" s="13"/>
      <c r="E33" s="13"/>
      <c r="F33" s="14"/>
      <c r="G33" s="14"/>
      <c r="H33" s="14"/>
      <c r="I33" s="14"/>
      <c r="J33" s="13"/>
      <c r="K33" s="13"/>
      <c r="L33" s="13"/>
      <c r="M33" s="13"/>
      <c r="N33" s="13"/>
      <c r="O33" s="13"/>
      <c r="P33" s="13"/>
      <c r="Q33" s="13"/>
      <c r="R33" s="13"/>
      <c r="S33" s="13"/>
      <c r="T33" s="13"/>
      <c r="U33" s="13"/>
      <c r="V33" s="13"/>
      <c r="W33" s="13"/>
      <c r="X33" s="13"/>
      <c r="Y33" s="13"/>
      <c r="Z33" s="13"/>
      <c r="AA33" s="13"/>
      <c r="AB33" s="13"/>
    </row>
    <row r="34">
      <c r="A34" s="13"/>
      <c r="B34" s="13"/>
      <c r="C34" s="13"/>
      <c r="D34" s="13"/>
      <c r="E34" s="13"/>
      <c r="F34" s="14"/>
      <c r="G34" s="14"/>
      <c r="H34" s="14"/>
      <c r="I34" s="14"/>
      <c r="J34" s="13"/>
      <c r="K34" s="13"/>
      <c r="L34" s="13"/>
      <c r="M34" s="13"/>
      <c r="N34" s="13"/>
      <c r="O34" s="13"/>
      <c r="P34" s="13"/>
      <c r="Q34" s="13"/>
      <c r="R34" s="13"/>
      <c r="S34" s="13"/>
      <c r="T34" s="13"/>
      <c r="U34" s="13"/>
      <c r="V34" s="13"/>
      <c r="W34" s="13"/>
      <c r="X34" s="13"/>
      <c r="Y34" s="13"/>
      <c r="Z34" s="13"/>
      <c r="AA34" s="13"/>
      <c r="AB34" s="13"/>
    </row>
    <row r="35">
      <c r="A35" s="13"/>
      <c r="B35" s="13"/>
      <c r="C35" s="13"/>
      <c r="D35" s="13"/>
      <c r="E35" s="13"/>
      <c r="F35" s="14"/>
      <c r="G35" s="14"/>
      <c r="H35" s="14"/>
      <c r="I35" s="14"/>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4"/>
      <c r="G36" s="14"/>
      <c r="H36" s="14"/>
      <c r="I36" s="14"/>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4"/>
      <c r="G37" s="14"/>
      <c r="H37" s="14"/>
      <c r="I37" s="14"/>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4"/>
      <c r="G38" s="14"/>
      <c r="H38" s="14"/>
      <c r="I38" s="14"/>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4"/>
      <c r="G39" s="14"/>
      <c r="H39" s="14"/>
      <c r="I39" s="14"/>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4"/>
      <c r="G40" s="14"/>
      <c r="H40" s="14"/>
      <c r="I40" s="14"/>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4"/>
      <c r="G41" s="14"/>
      <c r="H41" s="14"/>
      <c r="I41" s="14"/>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4"/>
      <c r="G42" s="14"/>
      <c r="H42" s="14"/>
      <c r="I42" s="14"/>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4"/>
      <c r="G43" s="14"/>
      <c r="H43" s="14"/>
      <c r="I43" s="14"/>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4"/>
      <c r="G44" s="14"/>
      <c r="H44" s="14"/>
      <c r="I44" s="14"/>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4"/>
      <c r="G45" s="14"/>
      <c r="H45" s="14"/>
      <c r="I45" s="14"/>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4"/>
      <c r="G46" s="14"/>
      <c r="H46" s="14"/>
      <c r="I46" s="14"/>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4"/>
      <c r="G47" s="14"/>
      <c r="H47" s="14"/>
      <c r="I47" s="14"/>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4"/>
      <c r="G48" s="14"/>
      <c r="H48" s="14"/>
      <c r="I48" s="14"/>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4"/>
      <c r="G49" s="14"/>
      <c r="H49" s="14"/>
      <c r="I49" s="14"/>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4"/>
      <c r="G50" s="14"/>
      <c r="H50" s="14"/>
      <c r="I50" s="14"/>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4"/>
      <c r="G51" s="14"/>
      <c r="H51" s="14"/>
      <c r="I51" s="14"/>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4"/>
      <c r="G52" s="14"/>
      <c r="H52" s="14"/>
      <c r="I52" s="14"/>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4"/>
      <c r="G53" s="14"/>
      <c r="H53" s="14"/>
      <c r="I53" s="14"/>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4"/>
      <c r="G54" s="14"/>
      <c r="H54" s="14"/>
      <c r="I54" s="14"/>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4"/>
      <c r="G55" s="14"/>
      <c r="H55" s="14"/>
      <c r="I55" s="14"/>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4"/>
      <c r="G56" s="14"/>
      <c r="H56" s="14"/>
      <c r="I56" s="14"/>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4"/>
      <c r="G57" s="14"/>
      <c r="H57" s="14"/>
      <c r="I57" s="14"/>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4"/>
      <c r="G58" s="14"/>
      <c r="H58" s="14"/>
      <c r="I58" s="14"/>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4"/>
      <c r="G59" s="14"/>
      <c r="H59" s="14"/>
      <c r="I59" s="14"/>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4"/>
      <c r="G60" s="14"/>
      <c r="H60" s="14"/>
      <c r="I60" s="14"/>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4"/>
      <c r="G61" s="14"/>
      <c r="H61" s="14"/>
      <c r="I61" s="14"/>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4"/>
      <c r="G62" s="14"/>
      <c r="H62" s="14"/>
      <c r="I62" s="14"/>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4"/>
      <c r="G63" s="14"/>
      <c r="H63" s="14"/>
      <c r="I63" s="14"/>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4"/>
      <c r="G64" s="14"/>
      <c r="H64" s="14"/>
      <c r="I64" s="14"/>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4"/>
      <c r="G65" s="14"/>
      <c r="H65" s="14"/>
      <c r="I65" s="14"/>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4"/>
      <c r="G66" s="14"/>
      <c r="H66" s="14"/>
      <c r="I66" s="14"/>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4"/>
      <c r="G67" s="14"/>
      <c r="H67" s="14"/>
      <c r="I67" s="14"/>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4"/>
      <c r="G68" s="14"/>
      <c r="H68" s="14"/>
      <c r="I68" s="14"/>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4"/>
      <c r="G69" s="14"/>
      <c r="H69" s="14"/>
      <c r="I69" s="14"/>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4"/>
      <c r="G70" s="14"/>
      <c r="H70" s="14"/>
      <c r="I70" s="14"/>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4"/>
      <c r="G71" s="14"/>
      <c r="H71" s="14"/>
      <c r="I71" s="14"/>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4"/>
      <c r="G72" s="14"/>
      <c r="H72" s="14"/>
      <c r="I72" s="14"/>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4"/>
      <c r="G73" s="14"/>
      <c r="H73" s="14"/>
      <c r="I73" s="14"/>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4"/>
      <c r="G74" s="14"/>
      <c r="H74" s="14"/>
      <c r="I74" s="14"/>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4"/>
      <c r="G75" s="14"/>
      <c r="H75" s="14"/>
      <c r="I75" s="14"/>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4"/>
      <c r="G76" s="14"/>
      <c r="H76" s="14"/>
      <c r="I76" s="14"/>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4"/>
      <c r="G77" s="14"/>
      <c r="H77" s="14"/>
      <c r="I77" s="14"/>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4"/>
      <c r="G78" s="14"/>
      <c r="H78" s="14"/>
      <c r="I78" s="14"/>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4"/>
      <c r="G79" s="14"/>
      <c r="H79" s="14"/>
      <c r="I79" s="14"/>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4"/>
      <c r="G80" s="14"/>
      <c r="H80" s="14"/>
      <c r="I80" s="14"/>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4"/>
      <c r="G81" s="14"/>
      <c r="H81" s="14"/>
      <c r="I81" s="14"/>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4"/>
      <c r="G82" s="14"/>
      <c r="H82" s="14"/>
      <c r="I82" s="14"/>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4"/>
      <c r="G83" s="14"/>
      <c r="H83" s="14"/>
      <c r="I83" s="14"/>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4"/>
      <c r="G84" s="14"/>
      <c r="H84" s="14"/>
      <c r="I84" s="14"/>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4"/>
      <c r="G85" s="14"/>
      <c r="H85" s="14"/>
      <c r="I85" s="14"/>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4"/>
      <c r="G86" s="14"/>
      <c r="H86" s="14"/>
      <c r="I86" s="14"/>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4"/>
      <c r="G87" s="14"/>
      <c r="H87" s="14"/>
      <c r="I87" s="14"/>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4"/>
      <c r="G88" s="14"/>
      <c r="H88" s="14"/>
      <c r="I88" s="14"/>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4"/>
      <c r="G89" s="14"/>
      <c r="H89" s="14"/>
      <c r="I89" s="14"/>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4"/>
      <c r="G90" s="14"/>
      <c r="H90" s="14"/>
      <c r="I90" s="14"/>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4"/>
      <c r="G91" s="14"/>
      <c r="H91" s="14"/>
      <c r="I91" s="14"/>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4"/>
      <c r="G92" s="14"/>
      <c r="H92" s="14"/>
      <c r="I92" s="14"/>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4"/>
      <c r="G93" s="14"/>
      <c r="H93" s="14"/>
      <c r="I93" s="14"/>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4"/>
      <c r="G94" s="14"/>
      <c r="H94" s="14"/>
      <c r="I94" s="14"/>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4"/>
      <c r="G95" s="14"/>
      <c r="H95" s="14"/>
      <c r="I95" s="14"/>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4"/>
      <c r="G96" s="14"/>
      <c r="H96" s="14"/>
      <c r="I96" s="14"/>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4"/>
      <c r="G97" s="14"/>
      <c r="H97" s="14"/>
      <c r="I97" s="14"/>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4"/>
      <c r="G98" s="14"/>
      <c r="H98" s="14"/>
      <c r="I98" s="14"/>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4"/>
      <c r="G99" s="14"/>
      <c r="H99" s="14"/>
      <c r="I99" s="14"/>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4"/>
      <c r="G100" s="14"/>
      <c r="H100" s="14"/>
      <c r="I100" s="14"/>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4"/>
      <c r="G101" s="14"/>
      <c r="H101" s="14"/>
      <c r="I101" s="14"/>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4"/>
      <c r="G102" s="14"/>
      <c r="H102" s="14"/>
      <c r="I102" s="14"/>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4"/>
      <c r="G103" s="14"/>
      <c r="H103" s="14"/>
      <c r="I103" s="14"/>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4"/>
      <c r="G104" s="14"/>
      <c r="H104" s="14"/>
      <c r="I104" s="14"/>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4"/>
      <c r="G105" s="14"/>
      <c r="H105" s="14"/>
      <c r="I105" s="14"/>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4"/>
      <c r="G106" s="14"/>
      <c r="H106" s="14"/>
      <c r="I106" s="14"/>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4"/>
      <c r="G107" s="14"/>
      <c r="H107" s="14"/>
      <c r="I107" s="14"/>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4"/>
      <c r="G108" s="14"/>
      <c r="H108" s="14"/>
      <c r="I108" s="14"/>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4"/>
      <c r="G109" s="14"/>
      <c r="H109" s="14"/>
      <c r="I109" s="14"/>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4"/>
      <c r="G110" s="14"/>
      <c r="H110" s="14"/>
      <c r="I110" s="14"/>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4"/>
      <c r="G111" s="14"/>
      <c r="H111" s="14"/>
      <c r="I111" s="14"/>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4"/>
      <c r="G112" s="14"/>
      <c r="H112" s="14"/>
      <c r="I112" s="14"/>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4"/>
      <c r="G113" s="14"/>
      <c r="H113" s="14"/>
      <c r="I113" s="14"/>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4"/>
      <c r="G114" s="14"/>
      <c r="H114" s="14"/>
      <c r="I114" s="14"/>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4"/>
      <c r="G115" s="14"/>
      <c r="H115" s="14"/>
      <c r="I115" s="14"/>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4"/>
      <c r="G116" s="14"/>
      <c r="H116" s="14"/>
      <c r="I116" s="14"/>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4"/>
      <c r="G117" s="14"/>
      <c r="H117" s="14"/>
      <c r="I117" s="14"/>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4"/>
      <c r="G118" s="14"/>
      <c r="H118" s="14"/>
      <c r="I118" s="14"/>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4"/>
      <c r="G119" s="14"/>
      <c r="H119" s="14"/>
      <c r="I119" s="14"/>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4"/>
      <c r="G120" s="14"/>
      <c r="H120" s="14"/>
      <c r="I120" s="14"/>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4"/>
      <c r="G121" s="14"/>
      <c r="H121" s="14"/>
      <c r="I121" s="14"/>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4"/>
      <c r="G122" s="14"/>
      <c r="H122" s="14"/>
      <c r="I122" s="14"/>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4"/>
      <c r="G123" s="14"/>
      <c r="H123" s="14"/>
      <c r="I123" s="14"/>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4"/>
      <c r="G124" s="14"/>
      <c r="H124" s="14"/>
      <c r="I124" s="14"/>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4"/>
      <c r="G125" s="14"/>
      <c r="H125" s="14"/>
      <c r="I125" s="14"/>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4"/>
      <c r="G126" s="14"/>
      <c r="H126" s="14"/>
      <c r="I126" s="14"/>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4"/>
      <c r="G127" s="14"/>
      <c r="H127" s="14"/>
      <c r="I127" s="14"/>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4"/>
      <c r="G128" s="14"/>
      <c r="H128" s="14"/>
      <c r="I128" s="14"/>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4"/>
      <c r="G129" s="14"/>
      <c r="H129" s="14"/>
      <c r="I129" s="14"/>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4"/>
      <c r="G130" s="14"/>
      <c r="H130" s="14"/>
      <c r="I130" s="14"/>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4"/>
      <c r="G131" s="14"/>
      <c r="H131" s="14"/>
      <c r="I131" s="14"/>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4"/>
      <c r="G132" s="14"/>
      <c r="H132" s="14"/>
      <c r="I132" s="14"/>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4"/>
      <c r="G133" s="14"/>
      <c r="H133" s="14"/>
      <c r="I133" s="14"/>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4"/>
      <c r="G134" s="14"/>
      <c r="H134" s="14"/>
      <c r="I134" s="14"/>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4"/>
      <c r="G135" s="14"/>
      <c r="H135" s="14"/>
      <c r="I135" s="14"/>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4"/>
      <c r="G136" s="14"/>
      <c r="H136" s="14"/>
      <c r="I136" s="14"/>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4"/>
      <c r="G137" s="14"/>
      <c r="H137" s="14"/>
      <c r="I137" s="14"/>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4"/>
      <c r="G138" s="14"/>
      <c r="H138" s="14"/>
      <c r="I138" s="14"/>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4"/>
      <c r="G139" s="14"/>
      <c r="H139" s="14"/>
      <c r="I139" s="14"/>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4"/>
      <c r="G140" s="14"/>
      <c r="H140" s="14"/>
      <c r="I140" s="14"/>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4"/>
      <c r="G141" s="14"/>
      <c r="H141" s="14"/>
      <c r="I141" s="14"/>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4"/>
      <c r="G142" s="14"/>
      <c r="H142" s="14"/>
      <c r="I142" s="14"/>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4"/>
      <c r="G143" s="14"/>
      <c r="H143" s="14"/>
      <c r="I143" s="14"/>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4"/>
      <c r="G144" s="14"/>
      <c r="H144" s="14"/>
      <c r="I144" s="14"/>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4"/>
      <c r="G145" s="14"/>
      <c r="H145" s="14"/>
      <c r="I145" s="14"/>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4"/>
      <c r="G146" s="14"/>
      <c r="H146" s="14"/>
      <c r="I146" s="14"/>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4"/>
      <c r="G147" s="14"/>
      <c r="H147" s="14"/>
      <c r="I147" s="14"/>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4"/>
      <c r="G148" s="14"/>
      <c r="H148" s="14"/>
      <c r="I148" s="14"/>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4"/>
      <c r="G149" s="14"/>
      <c r="H149" s="14"/>
      <c r="I149" s="14"/>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4"/>
      <c r="G150" s="14"/>
      <c r="H150" s="14"/>
      <c r="I150" s="14"/>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4"/>
      <c r="G151" s="14"/>
      <c r="H151" s="14"/>
      <c r="I151" s="14"/>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4"/>
      <c r="G152" s="14"/>
      <c r="H152" s="14"/>
      <c r="I152" s="14"/>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4"/>
      <c r="G153" s="14"/>
      <c r="H153" s="14"/>
      <c r="I153" s="14"/>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4"/>
      <c r="G154" s="14"/>
      <c r="H154" s="14"/>
      <c r="I154" s="14"/>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4"/>
      <c r="G155" s="14"/>
      <c r="H155" s="14"/>
      <c r="I155" s="14"/>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4"/>
      <c r="G156" s="14"/>
      <c r="H156" s="14"/>
      <c r="I156" s="14"/>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4"/>
      <c r="G157" s="14"/>
      <c r="H157" s="14"/>
      <c r="I157" s="14"/>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4"/>
      <c r="G158" s="14"/>
      <c r="H158" s="14"/>
      <c r="I158" s="14"/>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4"/>
      <c r="G159" s="14"/>
      <c r="H159" s="14"/>
      <c r="I159" s="14"/>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4"/>
      <c r="G160" s="14"/>
      <c r="H160" s="14"/>
      <c r="I160" s="14"/>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4"/>
      <c r="G161" s="14"/>
      <c r="H161" s="14"/>
      <c r="I161" s="14"/>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4"/>
      <c r="G162" s="14"/>
      <c r="H162" s="14"/>
      <c r="I162" s="14"/>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4"/>
      <c r="G163" s="14"/>
      <c r="H163" s="14"/>
      <c r="I163" s="14"/>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4"/>
      <c r="G164" s="14"/>
      <c r="H164" s="14"/>
      <c r="I164" s="14"/>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4"/>
      <c r="G165" s="14"/>
      <c r="H165" s="14"/>
      <c r="I165" s="14"/>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4"/>
      <c r="G166" s="14"/>
      <c r="H166" s="14"/>
      <c r="I166" s="14"/>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4"/>
      <c r="G167" s="14"/>
      <c r="H167" s="14"/>
      <c r="I167" s="14"/>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4"/>
      <c r="G168" s="14"/>
      <c r="H168" s="14"/>
      <c r="I168" s="14"/>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4"/>
      <c r="G169" s="14"/>
      <c r="H169" s="14"/>
      <c r="I169" s="14"/>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4"/>
      <c r="G170" s="14"/>
      <c r="H170" s="14"/>
      <c r="I170" s="14"/>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4"/>
      <c r="G171" s="14"/>
      <c r="H171" s="14"/>
      <c r="I171" s="14"/>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4"/>
      <c r="G172" s="14"/>
      <c r="H172" s="14"/>
      <c r="I172" s="14"/>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4"/>
      <c r="G173" s="14"/>
      <c r="H173" s="14"/>
      <c r="I173" s="14"/>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4"/>
      <c r="G174" s="14"/>
      <c r="H174" s="14"/>
      <c r="I174" s="14"/>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4"/>
      <c r="G175" s="14"/>
      <c r="H175" s="14"/>
      <c r="I175" s="14"/>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4"/>
      <c r="G176" s="14"/>
      <c r="H176" s="14"/>
      <c r="I176" s="14"/>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4"/>
      <c r="G177" s="14"/>
      <c r="H177" s="14"/>
      <c r="I177" s="14"/>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4"/>
      <c r="G178" s="14"/>
      <c r="H178" s="14"/>
      <c r="I178" s="14"/>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4"/>
      <c r="G179" s="14"/>
      <c r="H179" s="14"/>
      <c r="I179" s="14"/>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4"/>
      <c r="G180" s="14"/>
      <c r="H180" s="14"/>
      <c r="I180" s="14"/>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4"/>
      <c r="G181" s="14"/>
      <c r="H181" s="14"/>
      <c r="I181" s="14"/>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4"/>
      <c r="G182" s="14"/>
      <c r="H182" s="14"/>
      <c r="I182" s="14"/>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4"/>
      <c r="G183" s="14"/>
      <c r="H183" s="14"/>
      <c r="I183" s="14"/>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4"/>
      <c r="G184" s="14"/>
      <c r="H184" s="14"/>
      <c r="I184" s="14"/>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4"/>
      <c r="G185" s="14"/>
      <c r="H185" s="14"/>
      <c r="I185" s="14"/>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4"/>
      <c r="G186" s="14"/>
      <c r="H186" s="14"/>
      <c r="I186" s="14"/>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4"/>
      <c r="G187" s="14"/>
      <c r="H187" s="14"/>
      <c r="I187" s="14"/>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4"/>
      <c r="G188" s="14"/>
      <c r="H188" s="14"/>
      <c r="I188" s="14"/>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4"/>
      <c r="G189" s="14"/>
      <c r="H189" s="14"/>
      <c r="I189" s="14"/>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4"/>
      <c r="G190" s="14"/>
      <c r="H190" s="14"/>
      <c r="I190" s="14"/>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4"/>
      <c r="G191" s="14"/>
      <c r="H191" s="14"/>
      <c r="I191" s="14"/>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4"/>
      <c r="G192" s="14"/>
      <c r="H192" s="14"/>
      <c r="I192" s="14"/>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4"/>
      <c r="G193" s="14"/>
      <c r="H193" s="14"/>
      <c r="I193" s="14"/>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4"/>
      <c r="G194" s="14"/>
      <c r="H194" s="14"/>
      <c r="I194" s="14"/>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4"/>
      <c r="G195" s="14"/>
      <c r="H195" s="14"/>
      <c r="I195" s="14"/>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4"/>
      <c r="G196" s="14"/>
      <c r="H196" s="14"/>
      <c r="I196" s="14"/>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4"/>
      <c r="G197" s="14"/>
      <c r="H197" s="14"/>
      <c r="I197" s="14"/>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4"/>
      <c r="G198" s="14"/>
      <c r="H198" s="14"/>
      <c r="I198" s="14"/>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4"/>
      <c r="G199" s="14"/>
      <c r="H199" s="14"/>
      <c r="I199" s="14"/>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4"/>
      <c r="G200" s="14"/>
      <c r="H200" s="14"/>
      <c r="I200" s="14"/>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4"/>
      <c r="G201" s="14"/>
      <c r="H201" s="14"/>
      <c r="I201" s="14"/>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4"/>
      <c r="G202" s="14"/>
      <c r="H202" s="14"/>
      <c r="I202" s="14"/>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4"/>
      <c r="G203" s="14"/>
      <c r="H203" s="14"/>
      <c r="I203" s="14"/>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4"/>
      <c r="G204" s="14"/>
      <c r="H204" s="14"/>
      <c r="I204" s="14"/>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4"/>
      <c r="G205" s="14"/>
      <c r="H205" s="14"/>
      <c r="I205" s="14"/>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4"/>
      <c r="G206" s="14"/>
      <c r="H206" s="14"/>
      <c r="I206" s="14"/>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4"/>
      <c r="G207" s="14"/>
      <c r="H207" s="14"/>
      <c r="I207" s="14"/>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4"/>
      <c r="G208" s="14"/>
      <c r="H208" s="14"/>
      <c r="I208" s="14"/>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4"/>
      <c r="G209" s="14"/>
      <c r="H209" s="14"/>
      <c r="I209" s="14"/>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4"/>
      <c r="G210" s="14"/>
      <c r="H210" s="14"/>
      <c r="I210" s="14"/>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4"/>
      <c r="G211" s="14"/>
      <c r="H211" s="14"/>
      <c r="I211" s="14"/>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4"/>
      <c r="G212" s="14"/>
      <c r="H212" s="14"/>
      <c r="I212" s="14"/>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4"/>
      <c r="G213" s="14"/>
      <c r="H213" s="14"/>
      <c r="I213" s="14"/>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4"/>
      <c r="G214" s="14"/>
      <c r="H214" s="14"/>
      <c r="I214" s="14"/>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4"/>
      <c r="G215" s="14"/>
      <c r="H215" s="14"/>
      <c r="I215" s="14"/>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4"/>
      <c r="G216" s="14"/>
      <c r="H216" s="14"/>
      <c r="I216" s="14"/>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4"/>
      <c r="G217" s="14"/>
      <c r="H217" s="14"/>
      <c r="I217" s="14"/>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4"/>
      <c r="G218" s="14"/>
      <c r="H218" s="14"/>
      <c r="I218" s="14"/>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4"/>
      <c r="G219" s="14"/>
      <c r="H219" s="14"/>
      <c r="I219" s="14"/>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4"/>
      <c r="G220" s="14"/>
      <c r="H220" s="14"/>
      <c r="I220" s="14"/>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4"/>
      <c r="G221" s="14"/>
      <c r="H221" s="14"/>
      <c r="I221" s="14"/>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4"/>
      <c r="G222" s="14"/>
      <c r="H222" s="14"/>
      <c r="I222" s="14"/>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4"/>
      <c r="G223" s="14"/>
      <c r="H223" s="14"/>
      <c r="I223" s="14"/>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4"/>
      <c r="G224" s="14"/>
      <c r="H224" s="14"/>
      <c r="I224" s="14"/>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4"/>
      <c r="G225" s="14"/>
      <c r="H225" s="14"/>
      <c r="I225" s="14"/>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4"/>
      <c r="G226" s="14"/>
      <c r="H226" s="14"/>
      <c r="I226" s="14"/>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4"/>
      <c r="G227" s="14"/>
      <c r="H227" s="14"/>
      <c r="I227" s="14"/>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4"/>
      <c r="G228" s="14"/>
      <c r="H228" s="14"/>
      <c r="I228" s="14"/>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4"/>
      <c r="G229" s="14"/>
      <c r="H229" s="14"/>
      <c r="I229" s="14"/>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4"/>
      <c r="G230" s="14"/>
      <c r="H230" s="14"/>
      <c r="I230" s="14"/>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4"/>
      <c r="G231" s="14"/>
      <c r="H231" s="14"/>
      <c r="I231" s="14"/>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4"/>
      <c r="G232" s="14"/>
      <c r="H232" s="14"/>
      <c r="I232" s="14"/>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4"/>
      <c r="G233" s="14"/>
      <c r="H233" s="14"/>
      <c r="I233" s="14"/>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4"/>
      <c r="G234" s="14"/>
      <c r="H234" s="14"/>
      <c r="I234" s="14"/>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4"/>
      <c r="G235" s="14"/>
      <c r="H235" s="14"/>
      <c r="I235" s="14"/>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4"/>
      <c r="G236" s="14"/>
      <c r="H236" s="14"/>
      <c r="I236" s="14"/>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4"/>
      <c r="G237" s="14"/>
      <c r="H237" s="14"/>
      <c r="I237" s="14"/>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4"/>
      <c r="G238" s="14"/>
      <c r="H238" s="14"/>
      <c r="I238" s="14"/>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4"/>
      <c r="G239" s="14"/>
      <c r="H239" s="14"/>
      <c r="I239" s="14"/>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4"/>
      <c r="G240" s="14"/>
      <c r="H240" s="14"/>
      <c r="I240" s="14"/>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4"/>
      <c r="G241" s="14"/>
      <c r="H241" s="14"/>
      <c r="I241" s="14"/>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4"/>
      <c r="G242" s="14"/>
      <c r="H242" s="14"/>
      <c r="I242" s="14"/>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4"/>
      <c r="G243" s="14"/>
      <c r="H243" s="14"/>
      <c r="I243" s="14"/>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4"/>
      <c r="G244" s="14"/>
      <c r="H244" s="14"/>
      <c r="I244" s="14"/>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4"/>
      <c r="G245" s="14"/>
      <c r="H245" s="14"/>
      <c r="I245" s="14"/>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4"/>
      <c r="G246" s="14"/>
      <c r="H246" s="14"/>
      <c r="I246" s="14"/>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4"/>
      <c r="G247" s="14"/>
      <c r="H247" s="14"/>
      <c r="I247" s="14"/>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4"/>
      <c r="G248" s="14"/>
      <c r="H248" s="14"/>
      <c r="I248" s="14"/>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4"/>
      <c r="G249" s="14"/>
      <c r="H249" s="14"/>
      <c r="I249" s="14"/>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4"/>
      <c r="G250" s="14"/>
      <c r="H250" s="14"/>
      <c r="I250" s="14"/>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4"/>
      <c r="G251" s="14"/>
      <c r="H251" s="14"/>
      <c r="I251" s="14"/>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4"/>
      <c r="G252" s="14"/>
      <c r="H252" s="14"/>
      <c r="I252" s="14"/>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4"/>
      <c r="G253" s="14"/>
      <c r="H253" s="14"/>
      <c r="I253" s="14"/>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4"/>
      <c r="G254" s="14"/>
      <c r="H254" s="14"/>
      <c r="I254" s="14"/>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4"/>
      <c r="G255" s="14"/>
      <c r="H255" s="14"/>
      <c r="I255" s="14"/>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4"/>
      <c r="G256" s="14"/>
      <c r="H256" s="14"/>
      <c r="I256" s="14"/>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4"/>
      <c r="G257" s="14"/>
      <c r="H257" s="14"/>
      <c r="I257" s="14"/>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4"/>
      <c r="G258" s="14"/>
      <c r="H258" s="14"/>
      <c r="I258" s="14"/>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4"/>
      <c r="G259" s="14"/>
      <c r="H259" s="14"/>
      <c r="I259" s="14"/>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4"/>
      <c r="G260" s="14"/>
      <c r="H260" s="14"/>
      <c r="I260" s="14"/>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4"/>
      <c r="G261" s="14"/>
      <c r="H261" s="14"/>
      <c r="I261" s="14"/>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4"/>
      <c r="G262" s="14"/>
      <c r="H262" s="14"/>
      <c r="I262" s="14"/>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4"/>
      <c r="G263" s="14"/>
      <c r="H263" s="14"/>
      <c r="I263" s="14"/>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4"/>
      <c r="G264" s="14"/>
      <c r="H264" s="14"/>
      <c r="I264" s="14"/>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4"/>
      <c r="G265" s="14"/>
      <c r="H265" s="14"/>
      <c r="I265" s="14"/>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4"/>
      <c r="G266" s="14"/>
      <c r="H266" s="14"/>
      <c r="I266" s="14"/>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4"/>
      <c r="G267" s="14"/>
      <c r="H267" s="14"/>
      <c r="I267" s="14"/>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4"/>
      <c r="G268" s="14"/>
      <c r="H268" s="14"/>
      <c r="I268" s="14"/>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4"/>
      <c r="G269" s="14"/>
      <c r="H269" s="14"/>
      <c r="I269" s="14"/>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4"/>
      <c r="G270" s="14"/>
      <c r="H270" s="14"/>
      <c r="I270" s="14"/>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4"/>
      <c r="G271" s="14"/>
      <c r="H271" s="14"/>
      <c r="I271" s="14"/>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4"/>
      <c r="G272" s="14"/>
      <c r="H272" s="14"/>
      <c r="I272" s="14"/>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4"/>
      <c r="G273" s="14"/>
      <c r="H273" s="14"/>
      <c r="I273" s="14"/>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4"/>
      <c r="G274" s="14"/>
      <c r="H274" s="14"/>
      <c r="I274" s="14"/>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4"/>
      <c r="G275" s="14"/>
      <c r="H275" s="14"/>
      <c r="I275" s="14"/>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4"/>
      <c r="G276" s="14"/>
      <c r="H276" s="14"/>
      <c r="I276" s="14"/>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4"/>
      <c r="G277" s="14"/>
      <c r="H277" s="14"/>
      <c r="I277" s="14"/>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4"/>
      <c r="G278" s="14"/>
      <c r="H278" s="14"/>
      <c r="I278" s="14"/>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4"/>
      <c r="G279" s="14"/>
      <c r="H279" s="14"/>
      <c r="I279" s="14"/>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4"/>
      <c r="G280" s="14"/>
      <c r="H280" s="14"/>
      <c r="I280" s="14"/>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4"/>
      <c r="G281" s="14"/>
      <c r="H281" s="14"/>
      <c r="I281" s="14"/>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4"/>
      <c r="G282" s="14"/>
      <c r="H282" s="14"/>
      <c r="I282" s="14"/>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4"/>
      <c r="G283" s="14"/>
      <c r="H283" s="14"/>
      <c r="I283" s="14"/>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4"/>
      <c r="G284" s="14"/>
      <c r="H284" s="14"/>
      <c r="I284" s="14"/>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4"/>
      <c r="G285" s="14"/>
      <c r="H285" s="14"/>
      <c r="I285" s="14"/>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4"/>
      <c r="G286" s="14"/>
      <c r="H286" s="14"/>
      <c r="I286" s="14"/>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4"/>
      <c r="G287" s="14"/>
      <c r="H287" s="14"/>
      <c r="I287" s="14"/>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4"/>
      <c r="G288" s="14"/>
      <c r="H288" s="14"/>
      <c r="I288" s="14"/>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4"/>
      <c r="G289" s="14"/>
      <c r="H289" s="14"/>
      <c r="I289" s="14"/>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4"/>
      <c r="G290" s="14"/>
      <c r="H290" s="14"/>
      <c r="I290" s="14"/>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4"/>
      <c r="G291" s="14"/>
      <c r="H291" s="14"/>
      <c r="I291" s="14"/>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4"/>
      <c r="G292" s="14"/>
      <c r="H292" s="14"/>
      <c r="I292" s="14"/>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4"/>
      <c r="G293" s="14"/>
      <c r="H293" s="14"/>
      <c r="I293" s="14"/>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4"/>
      <c r="G294" s="14"/>
      <c r="H294" s="14"/>
      <c r="I294" s="14"/>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4"/>
      <c r="G295" s="14"/>
      <c r="H295" s="14"/>
      <c r="I295" s="14"/>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4"/>
      <c r="G296" s="14"/>
      <c r="H296" s="14"/>
      <c r="I296" s="14"/>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4"/>
      <c r="G297" s="14"/>
      <c r="H297" s="14"/>
      <c r="I297" s="14"/>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4"/>
      <c r="G298" s="14"/>
      <c r="H298" s="14"/>
      <c r="I298" s="14"/>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4"/>
      <c r="G299" s="14"/>
      <c r="H299" s="14"/>
      <c r="I299" s="14"/>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4"/>
      <c r="G300" s="14"/>
      <c r="H300" s="14"/>
      <c r="I300" s="14"/>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4"/>
      <c r="G301" s="14"/>
      <c r="H301" s="14"/>
      <c r="I301" s="14"/>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4"/>
      <c r="G302" s="14"/>
      <c r="H302" s="14"/>
      <c r="I302" s="14"/>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4"/>
      <c r="G303" s="14"/>
      <c r="H303" s="14"/>
      <c r="I303" s="14"/>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4"/>
      <c r="G304" s="14"/>
      <c r="H304" s="14"/>
      <c r="I304" s="14"/>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4"/>
      <c r="G305" s="14"/>
      <c r="H305" s="14"/>
      <c r="I305" s="14"/>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4"/>
      <c r="G306" s="14"/>
      <c r="H306" s="14"/>
      <c r="I306" s="14"/>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4"/>
      <c r="G307" s="14"/>
      <c r="H307" s="14"/>
      <c r="I307" s="14"/>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4"/>
      <c r="G308" s="14"/>
      <c r="H308" s="14"/>
      <c r="I308" s="14"/>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4"/>
      <c r="G309" s="14"/>
      <c r="H309" s="14"/>
      <c r="I309" s="14"/>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4"/>
      <c r="G310" s="14"/>
      <c r="H310" s="14"/>
      <c r="I310" s="14"/>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4"/>
      <c r="G311" s="14"/>
      <c r="H311" s="14"/>
      <c r="I311" s="14"/>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4"/>
      <c r="G312" s="14"/>
      <c r="H312" s="14"/>
      <c r="I312" s="14"/>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4"/>
      <c r="G313" s="14"/>
      <c r="H313" s="14"/>
      <c r="I313" s="14"/>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4"/>
      <c r="G314" s="14"/>
      <c r="H314" s="14"/>
      <c r="I314" s="14"/>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4"/>
      <c r="G315" s="14"/>
      <c r="H315" s="14"/>
      <c r="I315" s="14"/>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4"/>
      <c r="G316" s="14"/>
      <c r="H316" s="14"/>
      <c r="I316" s="14"/>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4"/>
      <c r="G317" s="14"/>
      <c r="H317" s="14"/>
      <c r="I317" s="14"/>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4"/>
      <c r="G318" s="14"/>
      <c r="H318" s="14"/>
      <c r="I318" s="14"/>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4"/>
      <c r="G319" s="14"/>
      <c r="H319" s="14"/>
      <c r="I319" s="14"/>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4"/>
      <c r="G320" s="14"/>
      <c r="H320" s="14"/>
      <c r="I320" s="14"/>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4"/>
      <c r="G321" s="14"/>
      <c r="H321" s="14"/>
      <c r="I321" s="14"/>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4"/>
      <c r="G322" s="14"/>
      <c r="H322" s="14"/>
      <c r="I322" s="14"/>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4"/>
      <c r="G323" s="14"/>
      <c r="H323" s="14"/>
      <c r="I323" s="14"/>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4"/>
      <c r="G324" s="14"/>
      <c r="H324" s="14"/>
      <c r="I324" s="14"/>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4"/>
      <c r="G325" s="14"/>
      <c r="H325" s="14"/>
      <c r="I325" s="14"/>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4"/>
      <c r="G326" s="14"/>
      <c r="H326" s="14"/>
      <c r="I326" s="14"/>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4"/>
      <c r="G327" s="14"/>
      <c r="H327" s="14"/>
      <c r="I327" s="14"/>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4"/>
      <c r="G328" s="14"/>
      <c r="H328" s="14"/>
      <c r="I328" s="14"/>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4"/>
      <c r="G329" s="14"/>
      <c r="H329" s="14"/>
      <c r="I329" s="14"/>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4"/>
      <c r="G330" s="14"/>
      <c r="H330" s="14"/>
      <c r="I330" s="14"/>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4"/>
      <c r="G331" s="14"/>
      <c r="H331" s="14"/>
      <c r="I331" s="14"/>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4"/>
      <c r="G332" s="14"/>
      <c r="H332" s="14"/>
      <c r="I332" s="14"/>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4"/>
      <c r="G333" s="14"/>
      <c r="H333" s="14"/>
      <c r="I333" s="14"/>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4"/>
      <c r="G334" s="14"/>
      <c r="H334" s="14"/>
      <c r="I334" s="14"/>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4"/>
      <c r="G335" s="14"/>
      <c r="H335" s="14"/>
      <c r="I335" s="14"/>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4"/>
      <c r="G336" s="14"/>
      <c r="H336" s="14"/>
      <c r="I336" s="14"/>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4"/>
      <c r="G337" s="14"/>
      <c r="H337" s="14"/>
      <c r="I337" s="14"/>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4"/>
      <c r="G338" s="14"/>
      <c r="H338" s="14"/>
      <c r="I338" s="14"/>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4"/>
      <c r="G339" s="14"/>
      <c r="H339" s="14"/>
      <c r="I339" s="14"/>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4"/>
      <c r="G340" s="14"/>
      <c r="H340" s="14"/>
      <c r="I340" s="14"/>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4"/>
      <c r="G341" s="14"/>
      <c r="H341" s="14"/>
      <c r="I341" s="14"/>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4"/>
      <c r="G342" s="14"/>
      <c r="H342" s="14"/>
      <c r="I342" s="14"/>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4"/>
      <c r="G343" s="14"/>
      <c r="H343" s="14"/>
      <c r="I343" s="14"/>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4"/>
      <c r="G344" s="14"/>
      <c r="H344" s="14"/>
      <c r="I344" s="14"/>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4"/>
      <c r="G345" s="14"/>
      <c r="H345" s="14"/>
      <c r="I345" s="14"/>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4"/>
      <c r="G346" s="14"/>
      <c r="H346" s="14"/>
      <c r="I346" s="14"/>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4"/>
      <c r="G347" s="14"/>
      <c r="H347" s="14"/>
      <c r="I347" s="14"/>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4"/>
      <c r="G348" s="14"/>
      <c r="H348" s="14"/>
      <c r="I348" s="14"/>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4"/>
      <c r="G349" s="14"/>
      <c r="H349" s="14"/>
      <c r="I349" s="14"/>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4"/>
      <c r="G350" s="14"/>
      <c r="H350" s="14"/>
      <c r="I350" s="14"/>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4"/>
      <c r="G351" s="14"/>
      <c r="H351" s="14"/>
      <c r="I351" s="14"/>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4"/>
      <c r="G352" s="14"/>
      <c r="H352" s="14"/>
      <c r="I352" s="14"/>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4"/>
      <c r="G353" s="14"/>
      <c r="H353" s="14"/>
      <c r="I353" s="14"/>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4"/>
      <c r="G354" s="14"/>
      <c r="H354" s="14"/>
      <c r="I354" s="14"/>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4"/>
      <c r="G355" s="14"/>
      <c r="H355" s="14"/>
      <c r="I355" s="14"/>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4"/>
      <c r="G356" s="14"/>
      <c r="H356" s="14"/>
      <c r="I356" s="14"/>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4"/>
      <c r="G357" s="14"/>
      <c r="H357" s="14"/>
      <c r="I357" s="14"/>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4"/>
      <c r="G358" s="14"/>
      <c r="H358" s="14"/>
      <c r="I358" s="14"/>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4"/>
      <c r="G359" s="14"/>
      <c r="H359" s="14"/>
      <c r="I359" s="14"/>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4"/>
      <c r="G360" s="14"/>
      <c r="H360" s="14"/>
      <c r="I360" s="14"/>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4"/>
      <c r="G361" s="14"/>
      <c r="H361" s="14"/>
      <c r="I361" s="14"/>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4"/>
      <c r="G362" s="14"/>
      <c r="H362" s="14"/>
      <c r="I362" s="14"/>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4"/>
      <c r="G363" s="14"/>
      <c r="H363" s="14"/>
      <c r="I363" s="14"/>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4"/>
      <c r="G364" s="14"/>
      <c r="H364" s="14"/>
      <c r="I364" s="14"/>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4"/>
      <c r="G365" s="14"/>
      <c r="H365" s="14"/>
      <c r="I365" s="14"/>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4"/>
      <c r="G366" s="14"/>
      <c r="H366" s="14"/>
      <c r="I366" s="14"/>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4"/>
      <c r="G367" s="14"/>
      <c r="H367" s="14"/>
      <c r="I367" s="14"/>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4"/>
      <c r="G368" s="14"/>
      <c r="H368" s="14"/>
      <c r="I368" s="14"/>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4"/>
      <c r="G369" s="14"/>
      <c r="H369" s="14"/>
      <c r="I369" s="14"/>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4"/>
      <c r="G370" s="14"/>
      <c r="H370" s="14"/>
      <c r="I370" s="14"/>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4"/>
      <c r="G371" s="14"/>
      <c r="H371" s="14"/>
      <c r="I371" s="14"/>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4"/>
      <c r="G372" s="14"/>
      <c r="H372" s="14"/>
      <c r="I372" s="14"/>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4"/>
      <c r="G373" s="14"/>
      <c r="H373" s="14"/>
      <c r="I373" s="14"/>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4"/>
      <c r="G374" s="14"/>
      <c r="H374" s="14"/>
      <c r="I374" s="14"/>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4"/>
      <c r="G375" s="14"/>
      <c r="H375" s="14"/>
      <c r="I375" s="14"/>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4"/>
      <c r="G376" s="14"/>
      <c r="H376" s="14"/>
      <c r="I376" s="14"/>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4"/>
      <c r="G377" s="14"/>
      <c r="H377" s="14"/>
      <c r="I377" s="14"/>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4"/>
      <c r="G378" s="14"/>
      <c r="H378" s="14"/>
      <c r="I378" s="14"/>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4"/>
      <c r="G379" s="14"/>
      <c r="H379" s="14"/>
      <c r="I379" s="14"/>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4"/>
      <c r="G380" s="14"/>
      <c r="H380" s="14"/>
      <c r="I380" s="14"/>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4"/>
      <c r="G381" s="14"/>
      <c r="H381" s="14"/>
      <c r="I381" s="14"/>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4"/>
      <c r="G382" s="14"/>
      <c r="H382" s="14"/>
      <c r="I382" s="14"/>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4"/>
      <c r="G383" s="14"/>
      <c r="H383" s="14"/>
      <c r="I383" s="14"/>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4"/>
      <c r="G384" s="14"/>
      <c r="H384" s="14"/>
      <c r="I384" s="14"/>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4"/>
      <c r="G385" s="14"/>
      <c r="H385" s="14"/>
      <c r="I385" s="14"/>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4"/>
      <c r="G386" s="14"/>
      <c r="H386" s="14"/>
      <c r="I386" s="14"/>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4"/>
      <c r="G387" s="14"/>
      <c r="H387" s="14"/>
      <c r="I387" s="14"/>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4"/>
      <c r="G388" s="14"/>
      <c r="H388" s="14"/>
      <c r="I388" s="14"/>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4"/>
      <c r="G389" s="14"/>
      <c r="H389" s="14"/>
      <c r="I389" s="14"/>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4"/>
      <c r="G390" s="14"/>
      <c r="H390" s="14"/>
      <c r="I390" s="14"/>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4"/>
      <c r="G391" s="14"/>
      <c r="H391" s="14"/>
      <c r="I391" s="14"/>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4"/>
      <c r="G392" s="14"/>
      <c r="H392" s="14"/>
      <c r="I392" s="14"/>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4"/>
      <c r="G393" s="14"/>
      <c r="H393" s="14"/>
      <c r="I393" s="14"/>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4"/>
      <c r="G394" s="14"/>
      <c r="H394" s="14"/>
      <c r="I394" s="14"/>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4"/>
      <c r="G395" s="14"/>
      <c r="H395" s="14"/>
      <c r="I395" s="14"/>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4"/>
      <c r="G396" s="14"/>
      <c r="H396" s="14"/>
      <c r="I396" s="14"/>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4"/>
      <c r="G397" s="14"/>
      <c r="H397" s="14"/>
      <c r="I397" s="14"/>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4"/>
      <c r="G398" s="14"/>
      <c r="H398" s="14"/>
      <c r="I398" s="14"/>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4"/>
      <c r="G399" s="14"/>
      <c r="H399" s="14"/>
      <c r="I399" s="14"/>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4"/>
      <c r="G400" s="14"/>
      <c r="H400" s="14"/>
      <c r="I400" s="14"/>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4"/>
      <c r="G401" s="14"/>
      <c r="H401" s="14"/>
      <c r="I401" s="14"/>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4"/>
      <c r="G402" s="14"/>
      <c r="H402" s="14"/>
      <c r="I402" s="14"/>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4"/>
      <c r="G403" s="14"/>
      <c r="H403" s="14"/>
      <c r="I403" s="14"/>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4"/>
      <c r="G404" s="14"/>
      <c r="H404" s="14"/>
      <c r="I404" s="14"/>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4"/>
      <c r="G405" s="14"/>
      <c r="H405" s="14"/>
      <c r="I405" s="14"/>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4"/>
      <c r="G406" s="14"/>
      <c r="H406" s="14"/>
      <c r="I406" s="14"/>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4"/>
      <c r="G407" s="14"/>
      <c r="H407" s="14"/>
      <c r="I407" s="14"/>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4"/>
      <c r="G408" s="14"/>
      <c r="H408" s="14"/>
      <c r="I408" s="14"/>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4"/>
      <c r="G409" s="14"/>
      <c r="H409" s="14"/>
      <c r="I409" s="14"/>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4"/>
      <c r="G410" s="14"/>
      <c r="H410" s="14"/>
      <c r="I410" s="14"/>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4"/>
      <c r="G411" s="14"/>
      <c r="H411" s="14"/>
      <c r="I411" s="14"/>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4"/>
      <c r="G412" s="14"/>
      <c r="H412" s="14"/>
      <c r="I412" s="14"/>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4"/>
      <c r="G413" s="14"/>
      <c r="H413" s="14"/>
      <c r="I413" s="14"/>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4"/>
      <c r="G414" s="14"/>
      <c r="H414" s="14"/>
      <c r="I414" s="14"/>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4"/>
      <c r="G415" s="14"/>
      <c r="H415" s="14"/>
      <c r="I415" s="14"/>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4"/>
      <c r="G416" s="14"/>
      <c r="H416" s="14"/>
      <c r="I416" s="14"/>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4"/>
      <c r="G417" s="14"/>
      <c r="H417" s="14"/>
      <c r="I417" s="14"/>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4"/>
      <c r="G418" s="14"/>
      <c r="H418" s="14"/>
      <c r="I418" s="14"/>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4"/>
      <c r="G419" s="14"/>
      <c r="H419" s="14"/>
      <c r="I419" s="14"/>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4"/>
      <c r="G420" s="14"/>
      <c r="H420" s="14"/>
      <c r="I420" s="14"/>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4"/>
      <c r="G421" s="14"/>
      <c r="H421" s="14"/>
      <c r="I421" s="14"/>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4"/>
      <c r="G422" s="14"/>
      <c r="H422" s="14"/>
      <c r="I422" s="14"/>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4"/>
      <c r="G423" s="14"/>
      <c r="H423" s="14"/>
      <c r="I423" s="14"/>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4"/>
      <c r="G424" s="14"/>
      <c r="H424" s="14"/>
      <c r="I424" s="14"/>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4"/>
      <c r="G425" s="14"/>
      <c r="H425" s="14"/>
      <c r="I425" s="14"/>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4"/>
      <c r="G426" s="14"/>
      <c r="H426" s="14"/>
      <c r="I426" s="14"/>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4"/>
      <c r="G427" s="14"/>
      <c r="H427" s="14"/>
      <c r="I427" s="14"/>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4"/>
      <c r="G428" s="14"/>
      <c r="H428" s="14"/>
      <c r="I428" s="14"/>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4"/>
      <c r="G429" s="14"/>
      <c r="H429" s="14"/>
      <c r="I429" s="14"/>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4"/>
      <c r="G430" s="14"/>
      <c r="H430" s="14"/>
      <c r="I430" s="14"/>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4"/>
      <c r="G431" s="14"/>
      <c r="H431" s="14"/>
      <c r="I431" s="14"/>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4"/>
      <c r="G432" s="14"/>
      <c r="H432" s="14"/>
      <c r="I432" s="14"/>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4"/>
      <c r="G433" s="14"/>
      <c r="H433" s="14"/>
      <c r="I433" s="14"/>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4"/>
      <c r="G434" s="14"/>
      <c r="H434" s="14"/>
      <c r="I434" s="14"/>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4"/>
      <c r="G435" s="14"/>
      <c r="H435" s="14"/>
      <c r="I435" s="14"/>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4"/>
      <c r="G436" s="14"/>
      <c r="H436" s="14"/>
      <c r="I436" s="14"/>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4"/>
      <c r="G437" s="14"/>
      <c r="H437" s="14"/>
      <c r="I437" s="14"/>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4"/>
      <c r="G438" s="14"/>
      <c r="H438" s="14"/>
      <c r="I438" s="14"/>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4"/>
      <c r="G439" s="14"/>
      <c r="H439" s="14"/>
      <c r="I439" s="14"/>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4"/>
      <c r="G440" s="14"/>
      <c r="H440" s="14"/>
      <c r="I440" s="14"/>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4"/>
      <c r="G441" s="14"/>
      <c r="H441" s="14"/>
      <c r="I441" s="14"/>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4"/>
      <c r="G442" s="14"/>
      <c r="H442" s="14"/>
      <c r="I442" s="14"/>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4"/>
      <c r="G443" s="14"/>
      <c r="H443" s="14"/>
      <c r="I443" s="14"/>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4"/>
      <c r="G444" s="14"/>
      <c r="H444" s="14"/>
      <c r="I444" s="14"/>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4"/>
      <c r="G445" s="14"/>
      <c r="H445" s="14"/>
      <c r="I445" s="14"/>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4"/>
      <c r="G446" s="14"/>
      <c r="H446" s="14"/>
      <c r="I446" s="14"/>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4"/>
      <c r="G447" s="14"/>
      <c r="H447" s="14"/>
      <c r="I447" s="14"/>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4"/>
      <c r="G448" s="14"/>
      <c r="H448" s="14"/>
      <c r="I448" s="14"/>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4"/>
      <c r="G449" s="14"/>
      <c r="H449" s="14"/>
      <c r="I449" s="14"/>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4"/>
      <c r="G450" s="14"/>
      <c r="H450" s="14"/>
      <c r="I450" s="14"/>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4"/>
      <c r="G451" s="14"/>
      <c r="H451" s="14"/>
      <c r="I451" s="14"/>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4"/>
      <c r="G452" s="14"/>
      <c r="H452" s="14"/>
      <c r="I452" s="14"/>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4"/>
      <c r="G453" s="14"/>
      <c r="H453" s="14"/>
      <c r="I453" s="14"/>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4"/>
      <c r="G454" s="14"/>
      <c r="H454" s="14"/>
      <c r="I454" s="14"/>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4"/>
      <c r="G455" s="14"/>
      <c r="H455" s="14"/>
      <c r="I455" s="14"/>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4"/>
      <c r="G456" s="14"/>
      <c r="H456" s="14"/>
      <c r="I456" s="14"/>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4"/>
      <c r="G457" s="14"/>
      <c r="H457" s="14"/>
      <c r="I457" s="14"/>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4"/>
      <c r="G458" s="14"/>
      <c r="H458" s="14"/>
      <c r="I458" s="14"/>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4"/>
      <c r="G459" s="14"/>
      <c r="H459" s="14"/>
      <c r="I459" s="14"/>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4"/>
      <c r="G460" s="14"/>
      <c r="H460" s="14"/>
      <c r="I460" s="14"/>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4"/>
      <c r="G461" s="14"/>
      <c r="H461" s="14"/>
      <c r="I461" s="14"/>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4"/>
      <c r="G462" s="14"/>
      <c r="H462" s="14"/>
      <c r="I462" s="14"/>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4"/>
      <c r="G463" s="14"/>
      <c r="H463" s="14"/>
      <c r="I463" s="14"/>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4"/>
      <c r="G464" s="14"/>
      <c r="H464" s="14"/>
      <c r="I464" s="14"/>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4"/>
      <c r="G465" s="14"/>
      <c r="H465" s="14"/>
      <c r="I465" s="14"/>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4"/>
      <c r="G466" s="14"/>
      <c r="H466" s="14"/>
      <c r="I466" s="14"/>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4"/>
      <c r="G467" s="14"/>
      <c r="H467" s="14"/>
      <c r="I467" s="14"/>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4"/>
      <c r="G468" s="14"/>
      <c r="H468" s="14"/>
      <c r="I468" s="14"/>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4"/>
      <c r="G469" s="14"/>
      <c r="H469" s="14"/>
      <c r="I469" s="14"/>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4"/>
      <c r="G470" s="14"/>
      <c r="H470" s="14"/>
      <c r="I470" s="14"/>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4"/>
      <c r="G471" s="14"/>
      <c r="H471" s="14"/>
      <c r="I471" s="14"/>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4"/>
      <c r="G472" s="14"/>
      <c r="H472" s="14"/>
      <c r="I472" s="14"/>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4"/>
      <c r="G473" s="14"/>
      <c r="H473" s="14"/>
      <c r="I473" s="14"/>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4"/>
      <c r="G474" s="14"/>
      <c r="H474" s="14"/>
      <c r="I474" s="14"/>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4"/>
      <c r="G475" s="14"/>
      <c r="H475" s="14"/>
      <c r="I475" s="14"/>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4"/>
      <c r="G476" s="14"/>
      <c r="H476" s="14"/>
      <c r="I476" s="14"/>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4"/>
      <c r="G477" s="14"/>
      <c r="H477" s="14"/>
      <c r="I477" s="14"/>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4"/>
      <c r="G478" s="14"/>
      <c r="H478" s="14"/>
      <c r="I478" s="14"/>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4"/>
      <c r="G479" s="14"/>
      <c r="H479" s="14"/>
      <c r="I479" s="14"/>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4"/>
      <c r="G480" s="14"/>
      <c r="H480" s="14"/>
      <c r="I480" s="14"/>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4"/>
      <c r="G481" s="14"/>
      <c r="H481" s="14"/>
      <c r="I481" s="14"/>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4"/>
      <c r="G482" s="14"/>
      <c r="H482" s="14"/>
      <c r="I482" s="14"/>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4"/>
      <c r="G483" s="14"/>
      <c r="H483" s="14"/>
      <c r="I483" s="14"/>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4"/>
      <c r="G484" s="14"/>
      <c r="H484" s="14"/>
      <c r="I484" s="14"/>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4"/>
      <c r="G485" s="14"/>
      <c r="H485" s="14"/>
      <c r="I485" s="14"/>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4"/>
      <c r="G486" s="14"/>
      <c r="H486" s="14"/>
      <c r="I486" s="14"/>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4"/>
      <c r="G487" s="14"/>
      <c r="H487" s="14"/>
      <c r="I487" s="14"/>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4"/>
      <c r="G488" s="14"/>
      <c r="H488" s="14"/>
      <c r="I488" s="14"/>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4"/>
      <c r="G489" s="14"/>
      <c r="H489" s="14"/>
      <c r="I489" s="14"/>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4"/>
      <c r="G490" s="14"/>
      <c r="H490" s="14"/>
      <c r="I490" s="14"/>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4"/>
      <c r="G491" s="14"/>
      <c r="H491" s="14"/>
      <c r="I491" s="14"/>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4"/>
      <c r="G492" s="14"/>
      <c r="H492" s="14"/>
      <c r="I492" s="14"/>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4"/>
      <c r="G493" s="14"/>
      <c r="H493" s="14"/>
      <c r="I493" s="14"/>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4"/>
      <c r="G494" s="14"/>
      <c r="H494" s="14"/>
      <c r="I494" s="14"/>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4"/>
      <c r="G495" s="14"/>
      <c r="H495" s="14"/>
      <c r="I495" s="14"/>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4"/>
      <c r="G496" s="14"/>
      <c r="H496" s="14"/>
      <c r="I496" s="14"/>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4"/>
      <c r="G497" s="14"/>
      <c r="H497" s="14"/>
      <c r="I497" s="14"/>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4"/>
      <c r="G498" s="14"/>
      <c r="H498" s="14"/>
      <c r="I498" s="14"/>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4"/>
      <c r="G499" s="14"/>
      <c r="H499" s="14"/>
      <c r="I499" s="14"/>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4"/>
      <c r="G500" s="14"/>
      <c r="H500" s="14"/>
      <c r="I500" s="14"/>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4"/>
      <c r="G501" s="14"/>
      <c r="H501" s="14"/>
      <c r="I501" s="14"/>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4"/>
      <c r="G502" s="14"/>
      <c r="H502" s="14"/>
      <c r="I502" s="14"/>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4"/>
      <c r="G503" s="14"/>
      <c r="H503" s="14"/>
      <c r="I503" s="14"/>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4"/>
      <c r="G504" s="14"/>
      <c r="H504" s="14"/>
      <c r="I504" s="14"/>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4"/>
      <c r="G505" s="14"/>
      <c r="H505" s="14"/>
      <c r="I505" s="14"/>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4"/>
      <c r="G506" s="14"/>
      <c r="H506" s="14"/>
      <c r="I506" s="14"/>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4"/>
      <c r="G507" s="14"/>
      <c r="H507" s="14"/>
      <c r="I507" s="14"/>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4"/>
      <c r="G508" s="14"/>
      <c r="H508" s="14"/>
      <c r="I508" s="14"/>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4"/>
      <c r="G509" s="14"/>
      <c r="H509" s="14"/>
      <c r="I509" s="14"/>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4"/>
      <c r="G510" s="14"/>
      <c r="H510" s="14"/>
      <c r="I510" s="14"/>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4"/>
      <c r="G511" s="14"/>
      <c r="H511" s="14"/>
      <c r="I511" s="14"/>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4"/>
      <c r="G512" s="14"/>
      <c r="H512" s="14"/>
      <c r="I512" s="14"/>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4"/>
      <c r="G513" s="14"/>
      <c r="H513" s="14"/>
      <c r="I513" s="14"/>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4"/>
      <c r="G514" s="14"/>
      <c r="H514" s="14"/>
      <c r="I514" s="14"/>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4"/>
      <c r="G515" s="14"/>
      <c r="H515" s="14"/>
      <c r="I515" s="14"/>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4"/>
      <c r="G516" s="14"/>
      <c r="H516" s="14"/>
      <c r="I516" s="14"/>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4"/>
      <c r="G517" s="14"/>
      <c r="H517" s="14"/>
      <c r="I517" s="14"/>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4"/>
      <c r="G518" s="14"/>
      <c r="H518" s="14"/>
      <c r="I518" s="14"/>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4"/>
      <c r="G519" s="14"/>
      <c r="H519" s="14"/>
      <c r="I519" s="14"/>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4"/>
      <c r="G520" s="14"/>
      <c r="H520" s="14"/>
      <c r="I520" s="14"/>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4"/>
      <c r="G521" s="14"/>
      <c r="H521" s="14"/>
      <c r="I521" s="14"/>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4"/>
      <c r="G522" s="14"/>
      <c r="H522" s="14"/>
      <c r="I522" s="14"/>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4"/>
      <c r="G523" s="14"/>
      <c r="H523" s="14"/>
      <c r="I523" s="14"/>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4"/>
      <c r="G524" s="14"/>
      <c r="H524" s="14"/>
      <c r="I524" s="14"/>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4"/>
      <c r="G525" s="14"/>
      <c r="H525" s="14"/>
      <c r="I525" s="14"/>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4"/>
      <c r="G526" s="14"/>
      <c r="H526" s="14"/>
      <c r="I526" s="14"/>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4"/>
      <c r="G527" s="14"/>
      <c r="H527" s="14"/>
      <c r="I527" s="14"/>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4"/>
      <c r="G528" s="14"/>
      <c r="H528" s="14"/>
      <c r="I528" s="14"/>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4"/>
      <c r="G529" s="14"/>
      <c r="H529" s="14"/>
      <c r="I529" s="14"/>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4"/>
      <c r="G530" s="14"/>
      <c r="H530" s="14"/>
      <c r="I530" s="14"/>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4"/>
      <c r="G531" s="14"/>
      <c r="H531" s="14"/>
      <c r="I531" s="14"/>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4"/>
      <c r="G532" s="14"/>
      <c r="H532" s="14"/>
      <c r="I532" s="14"/>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4"/>
      <c r="G533" s="14"/>
      <c r="H533" s="14"/>
      <c r="I533" s="14"/>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4"/>
      <c r="G534" s="14"/>
      <c r="H534" s="14"/>
      <c r="I534" s="14"/>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4"/>
      <c r="G535" s="14"/>
      <c r="H535" s="14"/>
      <c r="I535" s="14"/>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4"/>
      <c r="G536" s="14"/>
      <c r="H536" s="14"/>
      <c r="I536" s="14"/>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4"/>
      <c r="G537" s="14"/>
      <c r="H537" s="14"/>
      <c r="I537" s="14"/>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4"/>
      <c r="G538" s="14"/>
      <c r="H538" s="14"/>
      <c r="I538" s="14"/>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4"/>
      <c r="G539" s="14"/>
      <c r="H539" s="14"/>
      <c r="I539" s="14"/>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4"/>
      <c r="G540" s="14"/>
      <c r="H540" s="14"/>
      <c r="I540" s="14"/>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4"/>
      <c r="G541" s="14"/>
      <c r="H541" s="14"/>
      <c r="I541" s="14"/>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4"/>
      <c r="G542" s="14"/>
      <c r="H542" s="14"/>
      <c r="I542" s="14"/>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4"/>
      <c r="G543" s="14"/>
      <c r="H543" s="14"/>
      <c r="I543" s="14"/>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4"/>
      <c r="G544" s="14"/>
      <c r="H544" s="14"/>
      <c r="I544" s="14"/>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4"/>
      <c r="G545" s="14"/>
      <c r="H545" s="14"/>
      <c r="I545" s="14"/>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4"/>
      <c r="G546" s="14"/>
      <c r="H546" s="14"/>
      <c r="I546" s="14"/>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4"/>
      <c r="G547" s="14"/>
      <c r="H547" s="14"/>
      <c r="I547" s="14"/>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4"/>
      <c r="G548" s="14"/>
      <c r="H548" s="14"/>
      <c r="I548" s="14"/>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4"/>
      <c r="G549" s="14"/>
      <c r="H549" s="14"/>
      <c r="I549" s="14"/>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4"/>
      <c r="G550" s="14"/>
      <c r="H550" s="14"/>
      <c r="I550" s="14"/>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4"/>
      <c r="G551" s="14"/>
      <c r="H551" s="14"/>
      <c r="I551" s="14"/>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4"/>
      <c r="G552" s="14"/>
      <c r="H552" s="14"/>
      <c r="I552" s="14"/>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4"/>
      <c r="G553" s="14"/>
      <c r="H553" s="14"/>
      <c r="I553" s="14"/>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4"/>
      <c r="G554" s="14"/>
      <c r="H554" s="14"/>
      <c r="I554" s="14"/>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4"/>
      <c r="G555" s="14"/>
      <c r="H555" s="14"/>
      <c r="I555" s="14"/>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4"/>
      <c r="G556" s="14"/>
      <c r="H556" s="14"/>
      <c r="I556" s="14"/>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4"/>
      <c r="G557" s="14"/>
      <c r="H557" s="14"/>
      <c r="I557" s="14"/>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4"/>
      <c r="G558" s="14"/>
      <c r="H558" s="14"/>
      <c r="I558" s="14"/>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4"/>
      <c r="G559" s="14"/>
      <c r="H559" s="14"/>
      <c r="I559" s="14"/>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4"/>
      <c r="G560" s="14"/>
      <c r="H560" s="14"/>
      <c r="I560" s="14"/>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4"/>
      <c r="G561" s="14"/>
      <c r="H561" s="14"/>
      <c r="I561" s="14"/>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4"/>
      <c r="G562" s="14"/>
      <c r="H562" s="14"/>
      <c r="I562" s="14"/>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4"/>
      <c r="G563" s="14"/>
      <c r="H563" s="14"/>
      <c r="I563" s="14"/>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4"/>
      <c r="G564" s="14"/>
      <c r="H564" s="14"/>
      <c r="I564" s="14"/>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4"/>
      <c r="G565" s="14"/>
      <c r="H565" s="14"/>
      <c r="I565" s="14"/>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4"/>
      <c r="G566" s="14"/>
      <c r="H566" s="14"/>
      <c r="I566" s="14"/>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4"/>
      <c r="G567" s="14"/>
      <c r="H567" s="14"/>
      <c r="I567" s="14"/>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4"/>
      <c r="G568" s="14"/>
      <c r="H568" s="14"/>
      <c r="I568" s="14"/>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4"/>
      <c r="G569" s="14"/>
      <c r="H569" s="14"/>
      <c r="I569" s="14"/>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4"/>
      <c r="G570" s="14"/>
      <c r="H570" s="14"/>
      <c r="I570" s="14"/>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4"/>
      <c r="G571" s="14"/>
      <c r="H571" s="14"/>
      <c r="I571" s="14"/>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4"/>
      <c r="G572" s="14"/>
      <c r="H572" s="14"/>
      <c r="I572" s="14"/>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4"/>
      <c r="G573" s="14"/>
      <c r="H573" s="14"/>
      <c r="I573" s="14"/>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4"/>
      <c r="G574" s="14"/>
      <c r="H574" s="14"/>
      <c r="I574" s="14"/>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4"/>
      <c r="G575" s="14"/>
      <c r="H575" s="14"/>
      <c r="I575" s="14"/>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4"/>
      <c r="G576" s="14"/>
      <c r="H576" s="14"/>
      <c r="I576" s="14"/>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4"/>
      <c r="G577" s="14"/>
      <c r="H577" s="14"/>
      <c r="I577" s="14"/>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4"/>
      <c r="G578" s="14"/>
      <c r="H578" s="14"/>
      <c r="I578" s="14"/>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4"/>
      <c r="G579" s="14"/>
      <c r="H579" s="14"/>
      <c r="I579" s="14"/>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4"/>
      <c r="G580" s="14"/>
      <c r="H580" s="14"/>
      <c r="I580" s="14"/>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4"/>
      <c r="G581" s="14"/>
      <c r="H581" s="14"/>
      <c r="I581" s="14"/>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4"/>
      <c r="G582" s="14"/>
      <c r="H582" s="14"/>
      <c r="I582" s="14"/>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4"/>
      <c r="G583" s="14"/>
      <c r="H583" s="14"/>
      <c r="I583" s="14"/>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4"/>
      <c r="G584" s="14"/>
      <c r="H584" s="14"/>
      <c r="I584" s="14"/>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4"/>
      <c r="G585" s="14"/>
      <c r="H585" s="14"/>
      <c r="I585" s="14"/>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4"/>
      <c r="G586" s="14"/>
      <c r="H586" s="14"/>
      <c r="I586" s="14"/>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4"/>
      <c r="G587" s="14"/>
      <c r="H587" s="14"/>
      <c r="I587" s="14"/>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4"/>
      <c r="G588" s="14"/>
      <c r="H588" s="14"/>
      <c r="I588" s="14"/>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4"/>
      <c r="G589" s="14"/>
      <c r="H589" s="14"/>
      <c r="I589" s="14"/>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4"/>
      <c r="G590" s="14"/>
      <c r="H590" s="14"/>
      <c r="I590" s="14"/>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4"/>
      <c r="G591" s="14"/>
      <c r="H591" s="14"/>
      <c r="I591" s="14"/>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4"/>
      <c r="G592" s="14"/>
      <c r="H592" s="14"/>
      <c r="I592" s="14"/>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4"/>
      <c r="G593" s="14"/>
      <c r="H593" s="14"/>
      <c r="I593" s="14"/>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4"/>
      <c r="G594" s="14"/>
      <c r="H594" s="14"/>
      <c r="I594" s="14"/>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4"/>
      <c r="G595" s="14"/>
      <c r="H595" s="14"/>
      <c r="I595" s="14"/>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4"/>
      <c r="G596" s="14"/>
      <c r="H596" s="14"/>
      <c r="I596" s="14"/>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4"/>
      <c r="G597" s="14"/>
      <c r="H597" s="14"/>
      <c r="I597" s="14"/>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4"/>
      <c r="G598" s="14"/>
      <c r="H598" s="14"/>
      <c r="I598" s="14"/>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4"/>
      <c r="G599" s="14"/>
      <c r="H599" s="14"/>
      <c r="I599" s="14"/>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4"/>
      <c r="G600" s="14"/>
      <c r="H600" s="14"/>
      <c r="I600" s="14"/>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4"/>
      <c r="G601" s="14"/>
      <c r="H601" s="14"/>
      <c r="I601" s="14"/>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4"/>
      <c r="G602" s="14"/>
      <c r="H602" s="14"/>
      <c r="I602" s="14"/>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4"/>
      <c r="G603" s="14"/>
      <c r="H603" s="14"/>
      <c r="I603" s="14"/>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4"/>
      <c r="G604" s="14"/>
      <c r="H604" s="14"/>
      <c r="I604" s="14"/>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4"/>
      <c r="G605" s="14"/>
      <c r="H605" s="14"/>
      <c r="I605" s="14"/>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4"/>
      <c r="G606" s="14"/>
      <c r="H606" s="14"/>
      <c r="I606" s="14"/>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4"/>
      <c r="G607" s="14"/>
      <c r="H607" s="14"/>
      <c r="I607" s="14"/>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4"/>
      <c r="G608" s="14"/>
      <c r="H608" s="14"/>
      <c r="I608" s="14"/>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4"/>
      <c r="G609" s="14"/>
      <c r="H609" s="14"/>
      <c r="I609" s="14"/>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4"/>
      <c r="G610" s="14"/>
      <c r="H610" s="14"/>
      <c r="I610" s="14"/>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4"/>
      <c r="G611" s="14"/>
      <c r="H611" s="14"/>
      <c r="I611" s="14"/>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4"/>
      <c r="G612" s="14"/>
      <c r="H612" s="14"/>
      <c r="I612" s="14"/>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4"/>
      <c r="G613" s="14"/>
      <c r="H613" s="14"/>
      <c r="I613" s="14"/>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4"/>
      <c r="G614" s="14"/>
      <c r="H614" s="14"/>
      <c r="I614" s="14"/>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4"/>
      <c r="G615" s="14"/>
      <c r="H615" s="14"/>
      <c r="I615" s="14"/>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4"/>
      <c r="G616" s="14"/>
      <c r="H616" s="14"/>
      <c r="I616" s="14"/>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4"/>
      <c r="G617" s="14"/>
      <c r="H617" s="14"/>
      <c r="I617" s="14"/>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4"/>
      <c r="G618" s="14"/>
      <c r="H618" s="14"/>
      <c r="I618" s="14"/>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4"/>
      <c r="G619" s="14"/>
      <c r="H619" s="14"/>
      <c r="I619" s="14"/>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4"/>
      <c r="G620" s="14"/>
      <c r="H620" s="14"/>
      <c r="I620" s="14"/>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4"/>
      <c r="G621" s="14"/>
      <c r="H621" s="14"/>
      <c r="I621" s="14"/>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4"/>
      <c r="G622" s="14"/>
      <c r="H622" s="14"/>
      <c r="I622" s="14"/>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4"/>
      <c r="G623" s="14"/>
      <c r="H623" s="14"/>
      <c r="I623" s="14"/>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4"/>
      <c r="G624" s="14"/>
      <c r="H624" s="14"/>
      <c r="I624" s="14"/>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4"/>
      <c r="G625" s="14"/>
      <c r="H625" s="14"/>
      <c r="I625" s="14"/>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4"/>
      <c r="G626" s="14"/>
      <c r="H626" s="14"/>
      <c r="I626" s="14"/>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4"/>
      <c r="G627" s="14"/>
      <c r="H627" s="14"/>
      <c r="I627" s="14"/>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4"/>
      <c r="G628" s="14"/>
      <c r="H628" s="14"/>
      <c r="I628" s="14"/>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4"/>
      <c r="G629" s="14"/>
      <c r="H629" s="14"/>
      <c r="I629" s="14"/>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4"/>
      <c r="G630" s="14"/>
      <c r="H630" s="14"/>
      <c r="I630" s="14"/>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4"/>
      <c r="G631" s="14"/>
      <c r="H631" s="14"/>
      <c r="I631" s="14"/>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4"/>
      <c r="G632" s="14"/>
      <c r="H632" s="14"/>
      <c r="I632" s="14"/>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4"/>
      <c r="G633" s="14"/>
      <c r="H633" s="14"/>
      <c r="I633" s="14"/>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4"/>
      <c r="G634" s="14"/>
      <c r="H634" s="14"/>
      <c r="I634" s="14"/>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4"/>
      <c r="G635" s="14"/>
      <c r="H635" s="14"/>
      <c r="I635" s="14"/>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4"/>
      <c r="G636" s="14"/>
      <c r="H636" s="14"/>
      <c r="I636" s="14"/>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4"/>
      <c r="G637" s="14"/>
      <c r="H637" s="14"/>
      <c r="I637" s="14"/>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4"/>
      <c r="G638" s="14"/>
      <c r="H638" s="14"/>
      <c r="I638" s="14"/>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4"/>
      <c r="G639" s="14"/>
      <c r="H639" s="14"/>
      <c r="I639" s="14"/>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4"/>
      <c r="G640" s="14"/>
      <c r="H640" s="14"/>
      <c r="I640" s="14"/>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4"/>
      <c r="G641" s="14"/>
      <c r="H641" s="14"/>
      <c r="I641" s="14"/>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4"/>
      <c r="G642" s="14"/>
      <c r="H642" s="14"/>
      <c r="I642" s="14"/>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4"/>
      <c r="G643" s="14"/>
      <c r="H643" s="14"/>
      <c r="I643" s="14"/>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4"/>
      <c r="G644" s="14"/>
      <c r="H644" s="14"/>
      <c r="I644" s="14"/>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4"/>
      <c r="G645" s="14"/>
      <c r="H645" s="14"/>
      <c r="I645" s="14"/>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4"/>
      <c r="G646" s="14"/>
      <c r="H646" s="14"/>
      <c r="I646" s="14"/>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4"/>
      <c r="G647" s="14"/>
      <c r="H647" s="14"/>
      <c r="I647" s="14"/>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4"/>
      <c r="G648" s="14"/>
      <c r="H648" s="14"/>
      <c r="I648" s="14"/>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4"/>
      <c r="G649" s="14"/>
      <c r="H649" s="14"/>
      <c r="I649" s="14"/>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4"/>
      <c r="G650" s="14"/>
      <c r="H650" s="14"/>
      <c r="I650" s="14"/>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4"/>
      <c r="G651" s="14"/>
      <c r="H651" s="14"/>
      <c r="I651" s="14"/>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4"/>
      <c r="G652" s="14"/>
      <c r="H652" s="14"/>
      <c r="I652" s="14"/>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4"/>
      <c r="G653" s="14"/>
      <c r="H653" s="14"/>
      <c r="I653" s="14"/>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4"/>
      <c r="G654" s="14"/>
      <c r="H654" s="14"/>
      <c r="I654" s="14"/>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4"/>
      <c r="G655" s="14"/>
      <c r="H655" s="14"/>
      <c r="I655" s="14"/>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4"/>
      <c r="G656" s="14"/>
      <c r="H656" s="14"/>
      <c r="I656" s="14"/>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4"/>
      <c r="G657" s="14"/>
      <c r="H657" s="14"/>
      <c r="I657" s="14"/>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4"/>
      <c r="G658" s="14"/>
      <c r="H658" s="14"/>
      <c r="I658" s="14"/>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4"/>
      <c r="G659" s="14"/>
      <c r="H659" s="14"/>
      <c r="I659" s="14"/>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4"/>
      <c r="G660" s="14"/>
      <c r="H660" s="14"/>
      <c r="I660" s="14"/>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4"/>
      <c r="G661" s="14"/>
      <c r="H661" s="14"/>
      <c r="I661" s="14"/>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4"/>
      <c r="G662" s="14"/>
      <c r="H662" s="14"/>
      <c r="I662" s="14"/>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4"/>
      <c r="G663" s="14"/>
      <c r="H663" s="14"/>
      <c r="I663" s="14"/>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4"/>
      <c r="G664" s="14"/>
      <c r="H664" s="14"/>
      <c r="I664" s="14"/>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4"/>
      <c r="G665" s="14"/>
      <c r="H665" s="14"/>
      <c r="I665" s="14"/>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4"/>
      <c r="G666" s="14"/>
      <c r="H666" s="14"/>
      <c r="I666" s="14"/>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4"/>
      <c r="G667" s="14"/>
      <c r="H667" s="14"/>
      <c r="I667" s="14"/>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4"/>
      <c r="G668" s="14"/>
      <c r="H668" s="14"/>
      <c r="I668" s="14"/>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4"/>
      <c r="G669" s="14"/>
      <c r="H669" s="14"/>
      <c r="I669" s="14"/>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4"/>
      <c r="G670" s="14"/>
      <c r="H670" s="14"/>
      <c r="I670" s="14"/>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4"/>
      <c r="G671" s="14"/>
      <c r="H671" s="14"/>
      <c r="I671" s="14"/>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4"/>
      <c r="G672" s="14"/>
      <c r="H672" s="14"/>
      <c r="I672" s="14"/>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4"/>
      <c r="G673" s="14"/>
      <c r="H673" s="14"/>
      <c r="I673" s="14"/>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4"/>
      <c r="G674" s="14"/>
      <c r="H674" s="14"/>
      <c r="I674" s="14"/>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4"/>
      <c r="G675" s="14"/>
      <c r="H675" s="14"/>
      <c r="I675" s="14"/>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4"/>
      <c r="G676" s="14"/>
      <c r="H676" s="14"/>
      <c r="I676" s="14"/>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4"/>
      <c r="G677" s="14"/>
      <c r="H677" s="14"/>
      <c r="I677" s="14"/>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4"/>
      <c r="G678" s="14"/>
      <c r="H678" s="14"/>
      <c r="I678" s="14"/>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4"/>
      <c r="G679" s="14"/>
      <c r="H679" s="14"/>
      <c r="I679" s="14"/>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4"/>
      <c r="G680" s="14"/>
      <c r="H680" s="14"/>
      <c r="I680" s="14"/>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4"/>
      <c r="G681" s="14"/>
      <c r="H681" s="14"/>
      <c r="I681" s="14"/>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4"/>
      <c r="G682" s="14"/>
      <c r="H682" s="14"/>
      <c r="I682" s="14"/>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4"/>
      <c r="G683" s="14"/>
      <c r="H683" s="14"/>
      <c r="I683" s="14"/>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4"/>
      <c r="G684" s="14"/>
      <c r="H684" s="14"/>
      <c r="I684" s="14"/>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4"/>
      <c r="G685" s="14"/>
      <c r="H685" s="14"/>
      <c r="I685" s="14"/>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4"/>
      <c r="G686" s="14"/>
      <c r="H686" s="14"/>
      <c r="I686" s="14"/>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4"/>
      <c r="G687" s="14"/>
      <c r="H687" s="14"/>
      <c r="I687" s="14"/>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4"/>
      <c r="G688" s="14"/>
      <c r="H688" s="14"/>
      <c r="I688" s="14"/>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4"/>
      <c r="G689" s="14"/>
      <c r="H689" s="14"/>
      <c r="I689" s="14"/>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4"/>
      <c r="G690" s="14"/>
      <c r="H690" s="14"/>
      <c r="I690" s="14"/>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4"/>
      <c r="G691" s="14"/>
      <c r="H691" s="14"/>
      <c r="I691" s="14"/>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4"/>
      <c r="G692" s="14"/>
      <c r="H692" s="14"/>
      <c r="I692" s="14"/>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4"/>
      <c r="G693" s="14"/>
      <c r="H693" s="14"/>
      <c r="I693" s="14"/>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4"/>
      <c r="G694" s="14"/>
      <c r="H694" s="14"/>
      <c r="I694" s="14"/>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4"/>
      <c r="G695" s="14"/>
      <c r="H695" s="14"/>
      <c r="I695" s="14"/>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4"/>
      <c r="G696" s="14"/>
      <c r="H696" s="14"/>
      <c r="I696" s="14"/>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4"/>
      <c r="G697" s="14"/>
      <c r="H697" s="14"/>
      <c r="I697" s="14"/>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4"/>
      <c r="G698" s="14"/>
      <c r="H698" s="14"/>
      <c r="I698" s="14"/>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4"/>
      <c r="G699" s="14"/>
      <c r="H699" s="14"/>
      <c r="I699" s="14"/>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4"/>
      <c r="G700" s="14"/>
      <c r="H700" s="14"/>
      <c r="I700" s="14"/>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4"/>
      <c r="G701" s="14"/>
      <c r="H701" s="14"/>
      <c r="I701" s="14"/>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4"/>
      <c r="G702" s="14"/>
      <c r="H702" s="14"/>
      <c r="I702" s="14"/>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4"/>
      <c r="G703" s="14"/>
      <c r="H703" s="14"/>
      <c r="I703" s="14"/>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4"/>
      <c r="G704" s="14"/>
      <c r="H704" s="14"/>
      <c r="I704" s="14"/>
      <c r="J704" s="13"/>
      <c r="K704" s="13"/>
      <c r="L704" s="13"/>
      <c r="M704" s="13"/>
      <c r="N704" s="13"/>
      <c r="O704" s="13"/>
      <c r="P704" s="13"/>
      <c r="Q704" s="13"/>
      <c r="R704" s="13"/>
      <c r="S704" s="13"/>
      <c r="T704" s="13"/>
      <c r="U704" s="13"/>
      <c r="V704" s="13"/>
      <c r="W704" s="13"/>
      <c r="X704" s="13"/>
      <c r="Y704" s="13"/>
      <c r="Z704" s="13"/>
      <c r="AA704" s="13"/>
      <c r="AB704" s="13"/>
    </row>
  </sheetData>
  <drawing r:id="rId1"/>
</worksheet>
</file>