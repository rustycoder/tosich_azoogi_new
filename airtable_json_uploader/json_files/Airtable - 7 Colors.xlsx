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 Airtable" sheetId="1" r:id="rId5"/>
  </sheets>
  <definedNames/>
  <calcPr/>
</workbook>
</file>

<file path=xl/sharedStrings.xml><?xml version="1.0" encoding="utf-8"?>
<sst xmlns="http://schemas.openxmlformats.org/spreadsheetml/2006/main" count="74" uniqueCount="60">
  <si>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</si>
  <si>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</si>
  <si>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</si>
  <si>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</si>
  <si>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</si>
  <si>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</si>
  <si>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</si>
  <si>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</si>
  <si>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</si>
  <si>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</si>
  <si>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</si>
  <si>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</si>
  <si>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</si>
  <si>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</si>
  <si>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</si>
  <si>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</si>
  <si>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</si>
  <si>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</si>
  <si>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</si>
  <si>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</si>
  <si>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</si>
  <si>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</si>
  <si>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</si>
  <si>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</si>
  <si>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</si>
  <si>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GL001</t>
  </si>
  <si>
    <t>Garden Light</t>
  </si>
  <si>
    <t>simple</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</si>
  <si>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</si>
  <si>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</si>
  <si>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Transform your outdoor spaces into a breathtaking visual journey. Experience discreet luxury and a sophisticated glow that beautifully enhances your home.</t>
  </si>
  <si>
    <t>7W | Warm White | 12V/24V | AC/DC | IP67 | Black finish</t>
  </si>
  <si>
    <t>Power|Light Color|Voltage|Current Type|IP Rating|Finish</t>
  </si>
  <si>
    <t>{"Power": "7W", "Light Color": "Warm White", "Voltage": "12V/24V", "Current Type": "AC/DC", "IP Rating": "IP67", "Finish": "Black finish"}</t>
  </si>
  <si>
    <t>{"Power": ["7W", "12W"], "Light Color": "Warm White", "Voltage": "12V/24V", "Current Type": "AC/DC", "IP Rating": "IP67", "Finish": "Black finish"}</t>
  </si>
  <si>
    <t>{ "Options": { "Power": [ {"name": "7W", "id": "101"}, {"name": "12W", "id": "102"}, {"name": "3W", "id": "103"} ], "Light Color": [ {"name": "Warm White", "id": "104"} ], "Voltage": [ {"name": "12V/24V", "id": "105"} ], "Current Type": [ {"name": "AC/DC", "id": "106"} ], "IP Rating": [ {"name": "IP67", "id": "107"} ], "Finish": [ {"name": "Black finish", "id": "108"} ] }, "Constraints": {} }</t>
  </si>
  <si>
    <t>{ "Power": [ {"name": "7W", "id": "101"}, {"name": "12W", "id": "102"}, {"name": "3W", "id": "103"} ], "Light Color": [ {"name": "Warm White", "id": "104"} ], "Voltage": [ {"name": "12V/24V", "id": "105"} ], "Current Type": [ {"name": "AC/DC", "id": "106"} ], "IP Rating": [ {"name": "IP67", "id": "107"} ], "Finish": [ {"name": "Black finish", "id": "108"} ] }</t>
  </si>
  <si>
    <t>[]</t>
  </si>
  <si>
    <t>CHINA - 7 Colors Co Ltd</t>
  </si>
  <si>
    <t>SC-J103A</t>
  </si>
  <si>
    <t>Yes</t>
  </si>
  <si>
    <t>12W | Warm White | 12V/24V | AC/DC | IP67 | Black finish</t>
  </si>
  <si>
    <t>{"Power": "12W", "Light Color": "Warm White", "Voltage": "12V/24V", "Current Type": "AC/DC", "IP Rating": "IP67", "Finish": "Black finish"}</t>
  </si>
  <si>
    <t>3W | Warm White | 12V/24V | AC/DC | IP67 | Black finish</t>
  </si>
  <si>
    <t>{"Power": "3W", "Light Color": "Warm White", "Voltage": "12V/24V", "Current Type": "AC/DC", "IP Rating": "IP67", "Finish": "Black finish"}</t>
  </si>
  <si>
    <t>SC-J101A</t>
  </si>
  <si>
    <t>PL001</t>
  </si>
  <si>
    <t>Pool Light</t>
  </si>
  <si>
    <t>Dive into an enchanting oasis of light and luxury with our premium pool illumination solution. Designed to effortlessly elevate your outdoor experience, it bathes your aquatic retreat in a warm, sophisticated radiance that creates an unparalleled ambiance. Perfect for those with a discerning eye for discreet elegance and refined architectural detail, this lighting masterpiece transforms ordinary evenings into a breathtaking visual journey, adding both captivating allure and a profound sense of serenity to your home.</t>
  </si>
  <si>
    <t>Dive into an enchanting oasis of light and luxury. Elevate your pool into a sophisticated, glowing retreat, adding breathtaking allure and serene ambiance to every evening.</t>
  </si>
  <si>
    <t>7W | 3000K | 12V | IP68</t>
  </si>
  <si>
    <t>Power|CCT|Voltage|IP Rating</t>
  </si>
  <si>
    <t>{"Power": "7W", "CCT": "3000K", "Voltage": "12V", "IP Rating": "IP68"}</t>
  </si>
  <si>
    <t>{"Power": "7W", "CCT": ["3000K", "6000K"], "Voltage": "12V", "IP Rating": "IP68"}</t>
  </si>
  <si>
    <t>{
"Options": {
"Power": [
{"name": "7W", "id": "101"}
],
"CCT": [
{"name": "3000K", "id": "102"},
{"name": "6000K", "id": "103"}
],
"Voltage": [
{"name": "12V", "id": "104"}
],
"IP Rating": [
{"name": "IP68", "id": "105"}
]
},
"Constraints": {}
}</t>
  </si>
  <si>
    <t>{
"Power": [
{"name": "7W", "id": "101"}
],
"CCT": [
{"name": "3000K", "id": "102"},
{"name": "6000K", "id": "103"}
],
"Voltage": [
{"name": "12V", "id": "104"}
],
"IP Rating": [
{"name": "IP68", "id": "105"}
]
}</t>
  </si>
  <si>
    <t>SC-G101A</t>
  </si>
  <si>
    <t>No</t>
  </si>
  <si>
    <t>7W | 6000K | 12V | IP68</t>
  </si>
  <si>
    <t>{"Power": "7W", "CCT": "6000K", "Voltage": "12V", "IP Rating": "IP68"}</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</si>
</sst>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ont="1">
      <alignment horizontal="center"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7" fontId="3" numFmtId="0" xfId="0" applyAlignment="1" applyBorder="1" applyFill="1" applyFont="1">
      <alignment readingOrder="0" shrinkToFit="0" vertical="center" wrapText="1"/>
    </xf>
    <xf borderId="1" fillId="6" fontId="4" numFmtId="0" xfId="0" applyAlignment="1" applyBorder="1" applyFont="1">
      <alignment shrinkToFit="0" vertical="center" wrapText="1"/>
    </xf>
    <xf borderId="1" fillId="8" fontId="4" numFmtId="0" xfId="0" applyAlignment="1" applyBorder="1" applyFill="1" applyFont="1">
      <alignment shrinkToFit="0" vertical="center" wrapText="1"/>
    </xf>
    <xf borderId="1" fillId="6" fontId="4" numFmtId="0" xfId="0" applyAlignment="1" applyBorder="1" applyFont="1">
      <alignment readingOrder="0" shrinkToFit="0" vertical="center" wrapText="1"/>
    </xf>
    <xf borderId="1" fillId="6" fontId="4" numFmtId="0" xfId="0" applyAlignment="1" applyBorder="1" applyFont="1">
      <alignment readingOrder="0" shrinkToFit="0" vertical="center" wrapText="1"/>
    </xf>
    <xf borderId="1" fillId="8" fontId="4" numFmtId="0" xfId="0" applyAlignment="1" applyBorder="1" applyFont="1">
      <alignment readingOrder="0" shrinkToFit="0" vertical="center" wrapText="1"/>
    </xf>
    <xf borderId="1" fillId="6" fontId="5" numFmtId="0" xfId="0" applyAlignment="1" applyBorder="1" applyFont="1">
      <alignment shrinkToFit="0" vertical="center" wrapText="1"/>
    </xf>
    <xf borderId="1" fillId="8" fontId="5"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 - Airtabl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Y6"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SparkLED - Airtab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0.88"/>
    <col customWidth="1" min="2" max="2" width="14.13"/>
    <col customWidth="1" min="3" max="3" width="11.75"/>
    <col customWidth="1" min="4" max="4" width="9.88"/>
    <col customWidth="1" min="5" max="5" width="6.38"/>
    <col customWidth="1" min="6" max="9" width="50.13"/>
    <col customWidth="1" min="10" max="11" width="28.75"/>
    <col customWidth="1" min="12" max="12" width="43.25"/>
    <col customWidth="1" min="13" max="14" width="34.75"/>
    <col customWidth="1" min="15" max="25" width="50.13"/>
  </cols>
  <sheetData>
    <row r="1">
      <c r="A1" s="1" t="s">
        <v>0</v>
      </c>
      <c r="B1" s="1" t="s">
        <v>1</v>
      </c>
      <c r="C1" s="1" t="s">
        <v>2</v>
      </c>
      <c r="D1" s="1" t="s">
        <v>3</v>
      </c>
      <c r="E1" s="1" t="s">
        <v>4</v>
      </c>
      <c r="F1" s="2" t="s">
        <v>5</v>
      </c>
      <c r="G1" s="1" t="s">
        <v>6</v>
      </c>
      <c r="H1" s="2" t="s">
        <v>7</v>
      </c>
      <c r="I1" s="1" t="s">
        <v>8</v>
      </c>
      <c r="J1" s="1" t="s">
        <v>9</v>
      </c>
      <c r="K1" s="1" t="s">
        <v>10</v>
      </c>
      <c r="L1" s="3" t="s">
        <v>11</v>
      </c>
      <c r="M1" s="2" t="s">
        <v>12</v>
      </c>
      <c r="N1" s="4" t="s">
        <v>13</v>
      </c>
      <c r="O1" s="2" t="s">
        <v>14</v>
      </c>
      <c r="P1" s="5" t="s">
        <v>15</v>
      </c>
      <c r="Q1" s="2" t="s">
        <v>16</v>
      </c>
      <c r="R1" s="1" t="s">
        <v>17</v>
      </c>
      <c r="S1" s="2" t="s">
        <v>18</v>
      </c>
      <c r="T1" s="5" t="s">
        <v>19</v>
      </c>
      <c r="U1" s="1" t="s">
        <v>20</v>
      </c>
      <c r="V1" s="1" t="s">
        <v>21</v>
      </c>
      <c r="W1" s="1" t="s">
        <v>22</v>
      </c>
      <c r="X1" s="1" t="s">
        <v>23</v>
      </c>
      <c r="Y1" s="1" t="s">
        <v>24</v>
      </c>
      <c r="Z1" s="6"/>
    </row>
    <row r="2" ht="37.5" customHeight="1">
      <c r="A2" s="7" t="s">
        <v>25</v>
      </c>
      <c r="B2" s="7" t="s">
        <v>26</v>
      </c>
      <c r="C2" s="8" t="s">
        <v>27</v>
      </c>
      <c r="D2" s="8" t="s">
        <v>26</v>
      </c>
      <c r="E2" s="8" t="s">
        <v>28</v>
      </c>
      <c r="F2" s="9"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8" t="s">
        <v>29</v>
      </c>
      <c r="H2" s="9" t="str">
        <f>IFERROR(__xludf.DUMMYFUNCTION("AI(""Give me a paragraph marketing spiel for this product, no tech specs just marketing fluff under 180 characters "")"),"Transform your outdoor spaces into a breathtaking visual journey. Experience discreet luxury and a sophisticated glow that beautifully enhances your home.")</f>
        <v>Transform your outdoor spaces into a breathtaking visual journey. Experience discreet luxury and a sophisticated glow that beautifully enhances your home.</v>
      </c>
      <c r="I2" s="8" t="s">
        <v>30</v>
      </c>
      <c r="J2" s="8"/>
      <c r="K2" s="8"/>
      <c r="L2" s="10" t="s">
        <v>31</v>
      </c>
      <c r="M2"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""&amp;L2)"),"Power|Light Color|Voltage|Current Type|IP Rating|Finish")</f>
        <v>Power|Light Color|Voltage|Current Type|IP Rating|Finish</v>
      </c>
      <c r="N2" s="12" t="s">
        <v>32</v>
      </c>
      <c r="O2" s="11" t="str">
        <f>IFERROR(__xludf.DUMMYFUNCTION("AI(""Using the labels""&amp;M2&amp;"" and values ""&amp;L2&amp;"" separated by character '|', Create a JSON object"")"),"{""Power"": ""7W"", ""Light Color"": ""Warm White"", ""Voltage"": ""12V/24V"", ""Current Type"": ""AC/DC"", ""IP Rating"": ""IP67"", ""Finish"": ""Black finish""}")</f>
        <v>{"Power": "7W", "Light Color": "Warm White", "Voltage": "12V/24V", "Current Type": "AC/DC", "IP Rating": "IP67", "Finish": "Black finish"}</v>
      </c>
      <c r="P2" s="12" t="s">
        <v>33</v>
      </c>
      <c r="Q2"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P2:P3)"),"{""Power"": [""7W"", ""12W""], ""Light Color"": ""Warm White"", ""Voltage"": ""12V/24V"", ""Current Type"": ""AC/DC"", ""IP Rating"": ""IP67"", ""Finish"": ""Black finish""}")</f>
        <v>{"Power": ["7W", "12W"], "Light Color": "Warm White", "Voltage": "12V/24V", "Current Type": "AC/DC", "IP Rating": "IP67", "Finish": "Black finish"}</v>
      </c>
      <c r="R2" s="14" t="s">
        <v>34</v>
      </c>
      <c r="S2"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P2:P4)"),"{ ""Options"": { ""Power"": [ {""name"": ""7W"", ""id"": ""101""}, {""name"": ""12W"", ""id"": ""102""}, {""name"": ""3W"", ""id"": ""103""} ], ""Light Color"": [ {""name"": ""Warm White"", ""id"": ""104""} ], ""Voltage"": [ {""name"": ""12V/24V"", ""id"""&amp;": ""105""} ], ""Current Type"": [ {""name"": ""AC/DC"", ""id"": ""106""} ], ""IP Rating"": [ {""name"": ""IP67"", ""id"": ""107""} ], ""Finish"": [ {""name"": ""Black finish"", ""id"": ""108""} ] }, ""Constraints"": {} }")</f>
        <v>{ "Options": { "Power": [ {"name": "7W", "id": "101"}, {"name": "12W", "id": "102"}, {"name": "3W", "id": "103"} ], "Light Color": [ {"name": "Warm White", "id": "104"} ], "Voltage": [ {"name": "12V/24V", "id": "105"} ], "Current Type": [ {"name": "AC/DC", "id": "106"} ], "IP Rating": [ {"name": "IP67", "id": "107"} ], "Finish": [ {"name": "Black finish", "id": "108"} ] }, "Constraints": {} }</v>
      </c>
      <c r="T2" s="15" t="s">
        <v>35</v>
      </c>
      <c r="U2" s="14" t="s">
        <v>36</v>
      </c>
      <c r="V2" s="14" t="s">
        <v>37</v>
      </c>
      <c r="W2" s="14" t="s">
        <v>38</v>
      </c>
      <c r="X2" s="14" t="s">
        <v>39</v>
      </c>
      <c r="Y2" s="14" t="s">
        <v>40</v>
      </c>
      <c r="Z2" s="6"/>
    </row>
    <row r="3" ht="37.5" customHeight="1">
      <c r="A3" s="7"/>
      <c r="B3" s="7"/>
      <c r="C3" s="8"/>
      <c r="D3" s="8"/>
      <c r="E3" s="8"/>
      <c r="F3" s="9"/>
      <c r="G3" s="8"/>
      <c r="H3" s="9"/>
      <c r="I3" s="8"/>
      <c r="J3" s="8"/>
      <c r="K3" s="8"/>
      <c r="L3" s="10" t="s">
        <v>41</v>
      </c>
      <c r="M3"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""&amp;L3)"),"Power|Light Color|Voltage|Current Type|IP Rating|Finish")</f>
        <v>Power|Light Color|Voltage|Current Type|IP Rating|Finish</v>
      </c>
      <c r="N3" s="12" t="s">
        <v>32</v>
      </c>
      <c r="O3" s="11" t="str">
        <f>IFERROR(__xludf.DUMMYFUNCTION("AI(""Using the labels""&amp;M3&amp;"" and values ""&amp;L3&amp;"" separated by character '|', Create a JSON object"")"),"{""Power"": ""12W"", ""Light Color"": ""Warm White"", ""Voltage"": ""12V/24V"", ""Current Type"": ""AC/DC"", ""IP Rating"": ""IP67"", ""Finish"": ""Black finish""}")</f>
        <v>{"Power": "12W", "Light Color": "Warm White", "Voltage": "12V/24V", "Current Type": "AC/DC", "IP Rating": "IP67", "Finish": "Black finish"}</v>
      </c>
      <c r="P3" s="12" t="s">
        <v>42</v>
      </c>
      <c r="Q3" s="13"/>
      <c r="R3" s="14"/>
      <c r="S3" s="16"/>
      <c r="T3" s="17"/>
      <c r="U3" s="14"/>
      <c r="V3" s="14"/>
      <c r="W3" s="14"/>
      <c r="X3" s="14" t="s">
        <v>39</v>
      </c>
      <c r="Y3" s="14" t="s">
        <v>40</v>
      </c>
      <c r="Z3" s="6"/>
    </row>
    <row r="4" ht="37.5" customHeight="1">
      <c r="A4" s="7"/>
      <c r="B4" s="7"/>
      <c r="C4" s="8"/>
      <c r="D4" s="8"/>
      <c r="E4" s="8"/>
      <c r="F4" s="9"/>
      <c r="G4" s="8"/>
      <c r="H4" s="9"/>
      <c r="I4" s="8"/>
      <c r="J4" s="8"/>
      <c r="K4" s="8"/>
      <c r="L4" s="10" t="s">
        <v>43</v>
      </c>
      <c r="M4"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""&amp;L4)"),"Power|Light Color|Voltage|Current Type|IP Rating|Finish")</f>
        <v>Power|Light Color|Voltage|Current Type|IP Rating|Finish</v>
      </c>
      <c r="N4" s="12" t="s">
        <v>32</v>
      </c>
      <c r="O4" s="11" t="str">
        <f>IFERROR(__xludf.DUMMYFUNCTION("AI(""Using the labels""&amp;M4&amp;"" and values ""&amp;L4&amp;"" separated by character '|', Create a JSON object"")"),"{""Power"": ""3W"", ""Light Color"": ""Warm White"", ""Voltage"": ""12V/24V"", ""Current Type"": ""AC/DC"", ""IP Rating"": ""IP67"", ""Finish"": ""Black finish""}")</f>
        <v>{"Power": "3W", "Light Color": "Warm White", "Voltage": "12V/24V", "Current Type": "AC/DC", "IP Rating": "IP67", "Finish": "Black finish"}</v>
      </c>
      <c r="P4" s="12" t="s">
        <v>44</v>
      </c>
      <c r="Q4" s="13"/>
      <c r="R4" s="14"/>
      <c r="S4" s="13"/>
      <c r="T4" s="15"/>
      <c r="U4" s="14"/>
      <c r="V4" s="14"/>
      <c r="W4" s="14"/>
      <c r="X4" s="14" t="s">
        <v>45</v>
      </c>
      <c r="Y4" s="14" t="s">
        <v>40</v>
      </c>
      <c r="Z4" s="6"/>
    </row>
    <row r="5" ht="37.5" customHeight="1">
      <c r="A5" s="7" t="s">
        <v>46</v>
      </c>
      <c r="B5" s="7" t="s">
        <v>47</v>
      </c>
      <c r="C5" s="8" t="s">
        <v>27</v>
      </c>
      <c r="D5" s="8" t="s">
        <v>47</v>
      </c>
      <c r="E5" s="8" t="s">
        <v>28</v>
      </c>
      <c r="F5" s="9" t="str">
        <f>IFERROR(__xludf.DUMMYFUNCTION("AI(""Give me a paragraph marketing spiel for this product, no tech specs just marketing fluff "")"),"Dive into an enchanting oasis of light and luxury with our premium pool illumination solution. Designed to effortlessly elevate your outdoor experience, it bathes your aquatic retreat in a warm, sophisticated radiance that creates an unparalleled ambiance"&amp;". Perfect for those with a discerning eye for discreet elegance and refined architectural detail, this lighting masterpiece transforms ordinary evenings into a breathtaking visual journey, adding both captivating allure and a profound sense of serenity to"&amp;" your home.")</f>
        <v>Dive into an enchanting oasis of light and luxury with our premium pool illumination solution. Designed to effortlessly elevate your outdoor experience, it bathes your aquatic retreat in a warm, sophisticated radiance that creates an unparalleled ambiance. Perfect for those with a discerning eye for discreet elegance and refined architectural detail, this lighting masterpiece transforms ordinary evenings into a breathtaking visual journey, adding both captivating allure and a profound sense of serenity to your home.</v>
      </c>
      <c r="G5" s="8" t="s">
        <v>48</v>
      </c>
      <c r="H5" s="9" t="str">
        <f>IFERROR(__xludf.DUMMYFUNCTION("AI(""Give me a paragraph marketing spiel for this product, no tech specs just marketing fluff under 180 characters "")"),"Dive into an enchanting oasis of light and luxury. Elevate your pool into a sophisticated, glowing retreat, adding breathtaking allure and serene ambiance to every evening.")</f>
        <v>Dive into an enchanting oasis of light and luxury. Elevate your pool into a sophisticated, glowing retreat, adding breathtaking allure and serene ambiance to every evening.</v>
      </c>
      <c r="I5" s="8" t="s">
        <v>49</v>
      </c>
      <c r="J5" s="8"/>
      <c r="K5" s="8"/>
      <c r="L5" s="10" t="s">
        <v>50</v>
      </c>
      <c r="M5"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""&amp;L5)"),"Power|CCT|Voltage|IP Rating")</f>
        <v>Power|CCT|Voltage|IP Rating</v>
      </c>
      <c r="N5" s="12" t="s">
        <v>51</v>
      </c>
      <c r="O5" s="11" t="str">
        <f>IFERROR(__xludf.DUMMYFUNCTION("AI(""Using the labels""&amp;M5&amp;"" and values ""&amp;L5&amp;"" separated by character '|', Create a JSON object"")"),"{""Power"": ""7W"", ""CCT"": ""3000K"", ""Voltage"": ""12V"", ""IP Rating"": ""IP68""}")</f>
        <v>{"Power": "7W", "CCT": "3000K", "Voltage": "12V", "IP Rating": "IP68"}</v>
      </c>
      <c r="P5" s="12" t="s">
        <v>52</v>
      </c>
      <c r="Q5" s="13"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P5:P6)"),"{""Power"": ""7W"", ""CCT"": [""3000K"", ""6000K""], ""Voltage"": ""12V"", ""IP Rating"": ""IP68""}")</f>
        <v>{"Power": "7W", "CCT": ["3000K", "6000K"], "Voltage": "12V", "IP Rating": "IP68"}</v>
      </c>
      <c r="R5" s="14" t="s">
        <v>53</v>
      </c>
      <c r="S5" s="13"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**Output Format:**
   - Return strictly valid JSON containing two root keys: """"Options"""" and """"Constraints"""".
   - Do not wrap the JSON in"&amp;" conversational filler text.
---
### Example Input:
{""""Power"""": """"1.2W"""", """"Optics"""": """"SYM30°"""", """"CCT"""": """"3000K"""", """"IP Rating"""": """"IP67"""", """"Impact Strength"""": """"IK10""""}
{""""Power"""": """"1.2W"""", """"Optic"&amp;"s"""": """"SYM30°"""", """"CCT"""": """"4000K"""", """"IP Rating"""": """"IP67"""", """"Impact Strength"""": """"IK10""""}
{""""Power"""": """"1.2W"""", """"Optics"""": """"SYM60°"""", """"CCT"""": """"3000K"""", """"IP Rating"""": """"IP67"""", """"Impac"&amp;"t Strength"""": """"IK10""""}
{""""Power"""": """"1.2W"""", """"Optics"""": """"SYM60°"""", """"CCT"""": """"4000K"""", """"IP Rating"""": """"IP67"""", """"Impact Strength"""": """"IK10""""}
{""""Power"""": """"1.2W"""", """"Optics"""": """"ASYM50°"""", "&amp;"""""CCT"""": """"3000K"""", """"IP Rating"""": """"IP67"""", """"Impact Strength"""": """"IK10""""}
### Example Output:
{
  """"Options"""": {
    """"Power"""": [
      {""""name"""": """"1.2W"""", """"id"""": """"101""""}
    ],
    """"Optics"""": [
 "&amp;"     {""""name"""": """"SYM30°"""", """"id"""": """"102""""},
      {""""name"""": """"SYM60°"""", """"id"""": """"103""""},
      {""""name"""": """"ASYM50°"""", """"id"""": """"104""""}
    ],
    """"CCT"""": [
      {""""name"""": """"3000K"""", """"i"&amp;"d"""": """"105""""},
      {""""name"""": """"4000K"""", """"id"""": """"106""""}
    ],
    """"IP Rating"""": [
      {""""name"""": """"IP67"""", """"id"""": """"107""""}
    ],
    """"Impact Strength"""": [
      {""""name"""": """"IK10"""", """"id"""&amp;""": """"108""""}
    ]
  },
  """"Constraints"""": {
    """"104"""": [106]
  }
}
Process the following product variant combinations and output the """"Options"""" and """"Constraints"""" JSON:"", P5:P6)"),"{
""Options"": {
""Power"": [
{""name"": ""7W"", ""id"": ""101""}
],
""CCT"": [
{""name"": ""3000K"", ""id"": ""102""},
{""name"": ""6000K"", ""id"": ""103""}
],
""Voltage"": [
{""name"": ""12V"", ""id"": ""104""}
],
""IP Rating"": [
{""name"": ""IP68"", "&amp;"""id"": ""105""}
]
},
""Constraints"": {}
}")</f>
        <v>{
"Options": {
"Power": [
{"name": "7W", "id": "101"}
],
"CCT": [
{"name": "3000K", "id": "102"},
{"name": "6000K", "id": "103"}
],
"Voltage": [
{"name": "12V", "id": "104"}
],
"IP Rating": [
{"name": "IP68", "id": "105"}
]
},
"Constraints": {}
}</v>
      </c>
      <c r="T5" s="15" t="s">
        <v>54</v>
      </c>
      <c r="U5" s="14" t="s">
        <v>55</v>
      </c>
      <c r="V5" s="14" t="s">
        <v>37</v>
      </c>
      <c r="W5" s="14" t="s">
        <v>38</v>
      </c>
      <c r="X5" s="14" t="s">
        <v>56</v>
      </c>
      <c r="Y5" s="14" t="s">
        <v>57</v>
      </c>
      <c r="Z5" s="6"/>
    </row>
    <row r="6" ht="37.5" customHeight="1">
      <c r="A6" s="7"/>
      <c r="B6" s="7"/>
      <c r="C6" s="8"/>
      <c r="D6" s="8"/>
      <c r="E6" s="8"/>
      <c r="F6" s="9"/>
      <c r="G6" s="8"/>
      <c r="H6" s="9"/>
      <c r="I6" s="8"/>
      <c r="J6" s="8"/>
      <c r="K6" s="8"/>
      <c r="L6" s="10" t="s">
        <v>58</v>
      </c>
      <c r="M6" s="11"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 STRICT OUTPUT RULES
1. Output ONLY the corresponding labels mentioned above separated by pipes ('|'). 
2. Do not include the values in your output.
3. Do not include any conversational text, introductory remarks"&amp;", or markdown formatting blocks.
4. The number of labels in your output must exactly match the number of values provided in the input.
---
### FEW-SHOT EXAMPLES
#### Example 1 (Standard Neon Strip)
Input: 1.2W | SYM30° | 3000K | IP67 | IK10
Output: Pow"&amp;"er|Optics|CCT|IP Rating|Impact Strength
Input: 7W | Warm White | 12V/24V | AC/DC | IP67 | Black finish
Output: Power | Light Color | Current Type | IP Rating | Finish
---
### YOUR TASK
Generate output for the values text ""&amp;L6)"),"Power|CCT|Voltage|IP Rating")</f>
        <v>Power|CCT|Voltage|IP Rating</v>
      </c>
      <c r="N6" s="12" t="s">
        <v>51</v>
      </c>
      <c r="O6" s="11" t="str">
        <f>IFERROR(__xludf.DUMMYFUNCTION("AI(""Using the labels""&amp;M6&amp;"" and values ""&amp;L6&amp;"" separated by character '|', Create a JSON object"")"),"{""Power"": ""7W"", ""CCT"": ""6000K"", ""Voltage"": ""12V"", ""IP Rating"": ""IP68""}")</f>
        <v>{"Power": "7W", "CCT": "6000K", "Voltage": "12V", "IP Rating": "IP68"}</v>
      </c>
      <c r="P6" s="12" t="s">
        <v>59</v>
      </c>
      <c r="Q6" s="13"/>
      <c r="R6" s="14"/>
      <c r="S6" s="13"/>
      <c r="T6" s="15"/>
      <c r="U6" s="14"/>
      <c r="V6" s="14"/>
      <c r="W6" s="14"/>
      <c r="X6" s="14" t="s">
        <v>56</v>
      </c>
      <c r="Y6" s="14" t="s">
        <v>57</v>
      </c>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sheetData>
  <drawing r:id="rId1"/>
  <tableParts count="1">
    <tablePart r:id="rId3"/>
  </tableParts>
</worksheet>
</file>