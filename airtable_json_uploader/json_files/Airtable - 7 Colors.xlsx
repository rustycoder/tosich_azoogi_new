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7 Colors" sheetId="1" r:id="rId5"/>
  </sheets>
  <definedNames/>
  <calcPr/>
</workbook>
</file>

<file path=xl/sharedStrings.xml><?xml version="1.0" encoding="utf-8"?>
<sst xmlns="http://schemas.openxmlformats.org/spreadsheetml/2006/main" count="115" uniqueCount="73">
  <si>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</si>
  <si>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</si>
  <si>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</si>
  <si>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</si>
  <si>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</si>
  <si>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</si>
  <si>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</si>
  <si>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</si>
  <si>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</si>
  <si>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</si>
  <si>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</si>
  <si>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</si>
  <si>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</si>
  <si>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</si>
  <si>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</si>
  <si>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</si>
  <si>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</si>
  <si>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</si>
  <si>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</si>
  <si>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</si>
  <si>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</si>
  <si>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</si>
  <si>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</si>
  <si>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</si>
  <si>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</si>
  <si>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</si>
  <si>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</si>
  <si>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</si>
  <si>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</si>
  <si>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</si>
  <si>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GL001</t>
  </si>
  <si>
    <t>Garden Light</t>
  </si>
  <si>
    <t>simple</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</si>
  <si>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</si>
  <si>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</si>
  <si>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Transform your outdoor space into an enchanting oasis. Enjoy discreet luxury and a warm, inviting glow that effortlessly elevates the natural beauty of your home.</t>
  </si>
  <si>
    <t>7W | Warm White | 12V/24V | AC/DC | IP67 | Black</t>
  </si>
  <si>
    <t>Power|Light Color|Voltage|Current Type|IP Rating|Finish</t>
  </si>
  <si>
    <t>{"Power": "7W", "Light Color": "Warm White", "Voltage": "12V/24V", "Current Type": "AC/DC", "IP Rating": "IP67", "Finish": "Black", "SKU": "GL001"}</t>
  </si>
  <si>
    <t>{
"Options": {
"Power": [
{"name": "7W", "id": "101"}
],
"Light Color": [
{"name": "Warm White", "id": "102"}
],
"Voltage": [
{"name": "12V/24V", "id": "103"}
],
"Current Type": [
{"name": "AC/DC", "id": "104"}
],
"IP Rating": [
{"name": "IP67", "id": "105"}
],
"Finish": [
{"name": "Black", "id": "106"}
]
},
"Constraints": {},
"sku_mappings": [
{
"sku": "GL001",
"combination": ["101", "102", "103", "104", "105", "106"]
}
]
}</t>
  </si>
  <si>
    <t>CHINA - 7 Colors Co Ltd</t>
  </si>
  <si>
    <t>SC-J103A</t>
  </si>
  <si>
    <t>Yes</t>
  </si>
  <si>
    <t>Garden Light, Outdoor Pathway Lighting, Low Voltage Landscape Light, IP67 Waterproof Lamp, Warm White LED, Architectural Illumination</t>
  </si>
  <si>
    <t>GL003</t>
  </si>
  <si>
    <t>Transform your outdoor spaces into a breathtaking visual journey. Experience discreet luxury and a sophisticated glow that beautifully enhances your home.</t>
  </si>
  <si>
    <t>12W | Warm White | 12V/24V | AC/DC | IP67 | Black</t>
  </si>
  <si>
    <t>{"Power": "12W", "Light Color": "Warm White", "Voltage": "12V/24V", "Current Type": "AC/DC", "IP Rating": "IP67", "Finish": "Black", "SKU": "GL003"}</t>
  </si>
  <si>
    <t>{"Options": {"Power": [{"name": "12W", "id": "101"}], "Light Color": [{"name": "Warm White", "id": "102"}], "Voltage": [{"name": "12V/24V", "id": "103"}], "Current Type": [{"name": "AC/DC", "id": "104"}], "IP Rating": [{"name": "IP67", "id": "105"}], "Finish": [{"name": "Black", "id": "106"}]}, "Constraints": {}, "sku_mappings": [{"sku": "GL003", "combination": ["101", "102", "103", "104", "105", "106"]}]}</t>
  </si>
  <si>
    <t>Garden Light, Pathway Lighting, 12W Outdoor Light, IP67 Waterproof, Warm White LED, Landscape Illumination</t>
  </si>
  <si>
    <t>GL005</t>
  </si>
  <si>
    <t>3W | Warm White | 12V/24V | AC/DC | IP67 | Black</t>
  </si>
  <si>
    <t>{"Power": "3W", "Light Color": "Warm White", "Voltage": "12V/24V", "Current Type": "AC/DC", "IP Rating": "IP67", "Finish": "Black", "SKU": "GL005"}</t>
  </si>
  <si>
    <t>{"Options": {"Power": [{"name": "3W", "id": "101"}], "Light Color": [{"name": "Warm White", "id": "102"}], "Voltage": [{"name": "12V/24V", "id": "103"}], "Current Type": [{"name": "AC/DC", "id": "104"}], "IP Rating": [{"name": "IP67", "id": "105"}], "Finish": [{"name": "Black", "id": "106"}]}, "Constraints": {}, "sku_mappings": [{"sku": "GL005", "combination": ["101", "102", "103", "104", "105", "106"]}]}</t>
  </si>
  <si>
    <t>SC-J101A</t>
  </si>
  <si>
    <t>Garden Light, 3W LED, Outdoor Lighting, Pathway Light, IP67 Waterproof, Landscape Lighting</t>
  </si>
  <si>
    <t>PL001</t>
  </si>
  <si>
    <t>Pool Light</t>
  </si>
  <si>
    <t>Dive into an enchanting oasis of light and luxury with our premium pool illumination solution. Designed to effortlessly elevate your outdoor experience, it bathes your aquatic retreat in a warm, sophisticated radiance that creates an unparalleled ambiance. Perfect for those with a discerning eye for discreet elegance and refined architectural detail, this lighting masterpiece transforms ordinary evenings into a breathtaking visual journey, adding both captivating allure and a profound sense of serenity to your home.</t>
  </si>
  <si>
    <t>Dive into an enchanting oasis of light and luxury. Elevate your pool into a sophisticated, glowing retreat, adding breathtaking allure and serene ambiance to every evening.</t>
  </si>
  <si>
    <t>7W | 3000K | 12V | IP68</t>
  </si>
  <si>
    <t>Power|CCT|Voltage|IP Rating</t>
  </si>
  <si>
    <t>{"Power": "7W", "CCT": "3000K", "Voltage": "12V", "IP Rating": "IP68", "SKU": "PL001"}</t>
  </si>
  <si>
    <t>{"Options": {"Power": [{"name": "7W", "id": "101"}], "CCT": [{"name": "3000K", "id": "102"}], "Voltage": [{"name": "12V", "id": "103"}], "IP Rating": [{"name": "IP68", "id": "104"}]}, "Constraints": {}, "sku_mappings": [{"sku": "PL001", "combination": ["101", "102", "103", "104"]}]}</t>
  </si>
  <si>
    <t>SC-G101A</t>
  </si>
  <si>
    <t>No</t>
  </si>
  <si>
    <t>pool light, underwater lighting, IP68 waterproof, 3000K warm white, low voltage LED, aquatic illumination</t>
  </si>
  <si>
    <t>PL002</t>
  </si>
  <si>
    <t>Transform your pool into a breathtaking oasis. Elevate your outdoor space with a sophisticated glow that brings enchanting elegance and serene luxury to every evening.</t>
  </si>
  <si>
    <t>7W | 6000K | 12V | IP68</t>
  </si>
  <si>
    <t>{"Power": "7W", "CCT": "6000K", "Voltage": "12V", "IP Rating": "IP68", "SKU": "PL002"}</t>
  </si>
  <si>
    <t>{"Options": {"Power": [{"name": "7W", "id": "101"}], "CCT": [{"name": "6000K", "id": "102"}], "Voltage": [{"name": "12V", "id": "103"}], "IP Rating": [{"name": "IP68", "id": "104"}]}, "Constraints": {}, "sku_mappings": [{"sku": "PL002", "combination": ["101", "102", "103", "104"]}]}</t>
  </si>
  <si>
    <t>pool light, 6000k, ip68 waterproof, 7w led, 12v lighting, aquatic light</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</si>
</sst>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rgb="FF434343"/>
      <name val="DM Sans"/>
    </font>
    <font>
      <b/>
      <sz val="10.0"/>
      <color rgb="FFFFFFFF"/>
      <name val="DM Sans"/>
    </font>
    <font>
      <b/>
      <color theme="1"/>
      <name val="DM Sans"/>
    </font>
    <font>
      <sz val="10.0"/>
      <color rgb="FF434343"/>
      <name val="DM Sans"/>
    </font>
    <font>
      <color theme="1"/>
      <name val="DM Sans"/>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3" fontId="3" numFmtId="0" xfId="0" applyAlignment="1" applyBorder="1" applyFill="1" applyFont="1">
      <alignment horizontal="center" shrinkToFit="0" vertical="bottom" wrapText="1"/>
    </xf>
    <xf borderId="1" fillId="2" fontId="3" numFmtId="0" xfId="0" applyAlignment="1" applyBorder="1" applyFill="1" applyFont="1">
      <alignment horizontal="center" shrinkToFit="0" vertical="bottom" wrapText="1"/>
    </xf>
    <xf borderId="1" fillId="0" fontId="4"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7" fontId="4" numFmtId="0" xfId="0" applyAlignment="1" applyBorder="1" applyFill="1" applyFont="1">
      <alignment readingOrder="0" shrinkToFit="0" vertical="center" wrapText="1"/>
    </xf>
    <xf borderId="1" fillId="6" fontId="4" numFmtId="0" xfId="0" applyAlignment="1" applyBorder="1" applyFill="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9" fontId="4" numFmtId="0" xfId="0" applyAlignment="1" applyBorder="1" applyFill="1" applyFont="1">
      <alignment shrinkToFit="0" wrapText="1"/>
    </xf>
    <xf borderId="1" fillId="0" fontId="4" numFmtId="0" xfId="0" applyAlignment="1" applyBorder="1" applyFont="1">
      <alignment shrinkToFit="0" vertical="center" wrapText="1"/>
    </xf>
    <xf borderId="1" fillId="9" fontId="5" numFmtId="0" xfId="0" applyAlignment="1" applyBorder="1" applyFill="1" applyFont="1">
      <alignment shrinkToFit="0"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7 Color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A6"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7 Color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4.0"/>
    <col customWidth="1" min="2" max="2" width="14.13"/>
    <col customWidth="1" min="3" max="3" width="11.75"/>
    <col customWidth="1" min="4" max="4" width="12.5"/>
    <col customWidth="1" min="5" max="5" width="6.38"/>
    <col customWidth="1" min="6" max="9" width="50.13"/>
    <col customWidth="1" min="10" max="11" width="28.75"/>
    <col customWidth="1" min="12" max="12" width="9.0"/>
    <col customWidth="1" min="13" max="13" width="43.25"/>
    <col customWidth="1" min="14" max="14" width="44.63"/>
    <col customWidth="1" min="15" max="15" width="46.13"/>
    <col customWidth="1" min="16" max="27" width="50.13"/>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1" t="s">
        <v>23</v>
      </c>
      <c r="Y1" s="1" t="s">
        <v>24</v>
      </c>
      <c r="Z1" s="1" t="s">
        <v>25</v>
      </c>
      <c r="AA1" s="1" t="s">
        <v>26</v>
      </c>
      <c r="AB1" s="1" t="s">
        <v>27</v>
      </c>
      <c r="AC1" s="7" t="s">
        <v>28</v>
      </c>
      <c r="AD1" s="8" t="s">
        <v>29</v>
      </c>
    </row>
    <row r="2" ht="37.5" customHeight="1">
      <c r="A2" s="9" t="s">
        <v>30</v>
      </c>
      <c r="B2" s="9" t="s">
        <v>31</v>
      </c>
      <c r="C2" s="10" t="s">
        <v>32</v>
      </c>
      <c r="D2" s="10" t="s">
        <v>31</v>
      </c>
      <c r="E2" s="10" t="s">
        <v>33</v>
      </c>
      <c r="F2" s="11"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0" t="s">
        <v>34</v>
      </c>
      <c r="H2" s="11" t="str">
        <f>IFERROR(__xludf.DUMMYFUNCTION("AI(""Give me a paragraph marketing spiel for this product, no tech specs just marketing fluff under 180 characters "")"),"Transform your outdoor space into an enchanting oasis. Enjoy discreet luxury and a warm, inviting glow that effortlessly elevates the natural beauty of your home.")</f>
        <v>Transform your outdoor space into an enchanting oasis. Enjoy discreet luxury and a warm, inviting glow that effortlessly elevates the natural beauty of your home.</v>
      </c>
      <c r="I2" s="10" t="s">
        <v>35</v>
      </c>
      <c r="J2" s="10"/>
      <c r="K2" s="10"/>
      <c r="L2" s="12" t="s">
        <v>30</v>
      </c>
      <c r="M2" s="12" t="s">
        <v>36</v>
      </c>
      <c r="N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""&amp;M2)"),"Power|Light Color|Voltage|Current Type|IP Rating|Finish")</f>
        <v>Power|Light Color|Voltage|Current Type|IP Rating|Finish</v>
      </c>
      <c r="O2" s="14" t="s">
        <v>37</v>
      </c>
      <c r="P2" s="13" t="str">
        <f>IFERROR(__xludf.DUMMYFUNCTION("AI(""Using the labels""&amp;N2&amp;"" and values ""&amp;M2&amp;"" separated by character '|' and Using ""&amp;L2&amp;"" and key as 'SKU', Create a JSON object"")"),"{""Power"": ""7W"", ""Light Color"": ""Warm White"", ""Voltage"": ""12V/24V"", ""Current Type"": ""AC/DC"", ""IP Rating"": ""IP67"", ""Finish"": ""Black"", ""SKU"": ""GL001""}")</f>
        <v>{"Power": "7W", "Light Color": "Warm White", "Voltage": "12V/24V", "Current Type": "AC/DC", "IP Rating": "IP67", "Finish": "Black", "SKU": "GL001"}</v>
      </c>
      <c r="Q2" s="14" t="s">
        <v>38</v>
      </c>
      <c r="R2" s="11"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Q2)"),"{""Power"": ""7W"", ""Light Color"": ""Warm White"", ""Voltage"": ""12V/24V"", ""Current Type"": ""AC/DC"", ""IP Rating"": ""IP67"", ""Finish"": ""Black"", ""SKU"": ""GL001""}")</f>
        <v>{"Power": "7W", "Light Color": "Warm White", "Voltage": "12V/24V", "Current Type": "AC/DC", "IP Rating": "IP67", "Finish": "Black", "SKU": "GL001"}</v>
      </c>
      <c r="S2" s="15" t="s">
        <v>38</v>
      </c>
      <c r="T2" s="11"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
""Options"": {
""Power"": [
{""name"": ""7W"", ""id"": ""101""}
],
""Light Color"": [
{""name"": ""Warm White"", ""id"": ""102""}
],
""Voltage"": [
{""name"": ""12V/24V"", ""id"": ""103""}
],
""Current Type"": [
{""name"": ""AC/DC"", ""id"": ""104""}
],"&amp;"
""IP Rating"": [
{""name"": ""IP67"", ""id"": ""105""}
],
""Finish"": [
{""name"": ""Black"", ""id"": ""106""}
]
},
""Constraints"": {},
""sku_mappings"": [
{
""sku"": ""GL001"",
""combination"": [""101"", ""102"", ""103"", ""104"", ""105"", ""106""]
}
]"&amp;"
}")</f>
        <v>{
"Options": {
"Power": [
{"name": "7W", "id": "101"}
],
"Light Color": [
{"name": "Warm White", "id": "102"}
],
"Voltage": [
{"name": "12V/24V", "id": "103"}
],
"Current Type": [
{"name": "AC/DC", "id": "104"}
],
"IP Rating": [
{"name": "IP67", "id": "105"}
],
"Finish": [
{"name": "Black", "id": "106"}
]
},
"Constraints": {},
"sku_mappings": [
{
"sku": "GL001",
"combination": ["101", "102", "103", "104", "105", "106"]
}
]
}</v>
      </c>
      <c r="U2" s="16" t="s">
        <v>39</v>
      </c>
      <c r="V2" s="17" t="str">
        <f>IFERROR(__xludf.DUMMYFUNCTION("AI(""Extract options object from the json"", U2)"),"{""Power"": [{""name"": ""7W"", ""id"": ""101""}], ""Light Color"": [{""name"": ""Warm White"", ""id"": ""102""}], ""Voltage"": [{""name"": ""12V/24V"", ""id"": ""103""}], ""Current Type"": [{""name"": ""AC/DC"", ""id"": ""104""}], ""IP Rating"": [{""name"&amp;""": ""IP67"", ""id"": ""105""}], ""Finish"": [{""name"": ""Black"", ""id"": ""106""}]}")</f>
        <v>{"Power": [{"name": "7W", "id": "101"}], "Light Color": [{"name": "Warm White", "id": "102"}], "Voltage": [{"name": "12V/24V", "id": "103"}], "Current Type": [{"name": "AC/DC", "id": "104"}], "IP Rating": [{"name": "IP67", "id": "105"}], "Finish": [{"name": "Black", "id": "106"}]}</v>
      </c>
      <c r="W2" s="17" t="str">
        <f>IFERROR(__xludf.DUMMYFUNCTION("AI(""Extract constraints object from the json"", U2)"),"{}")</f>
        <v>{}</v>
      </c>
      <c r="X2" s="17" t="str">
        <f>IFERROR(__xludf.DUMMYFUNCTION("AI(""Extract sku_mappings object from the json"", U2)"),"[{""sku"": ""GL001"", ""combination"": [""101"", ""102"", ""103"", ""104"", ""105"", ""106""]}]")</f>
        <v>[{"sku": "GL001", "combination": ["101", "102", "103", "104", "105", "106"]}]</v>
      </c>
      <c r="Y2" s="15" t="s">
        <v>40</v>
      </c>
      <c r="Z2" s="15" t="s">
        <v>41</v>
      </c>
      <c r="AA2" s="15" t="s">
        <v>42</v>
      </c>
      <c r="AB2" s="18"/>
      <c r="AC2" s="19" t="str">
        <f>IFERROR(__xludf.DUMMYFUNCTION("AI(""Generate 6 powerful unique keywords for the product in this row"")"),"Garden Light, Outdoor Pathway Lighting, Low Voltage Landscape Light, IP67 Waterproof Lamp, Warm White LED, Architectural Illumination")</f>
        <v>Garden Light, Outdoor Pathway Lighting, Low Voltage Landscape Light, IP67 Waterproof Lamp, Warm White LED, Architectural Illumination</v>
      </c>
      <c r="AD2" s="18" t="s">
        <v>43</v>
      </c>
    </row>
    <row r="3" ht="37.5" customHeight="1">
      <c r="A3" s="9" t="s">
        <v>44</v>
      </c>
      <c r="B3" s="9" t="s">
        <v>31</v>
      </c>
      <c r="C3" s="10" t="s">
        <v>32</v>
      </c>
      <c r="D3" s="10" t="s">
        <v>31</v>
      </c>
      <c r="E3" s="10" t="s">
        <v>33</v>
      </c>
      <c r="F3" s="11"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3" s="10" t="s">
        <v>34</v>
      </c>
      <c r="H3" s="11" t="str">
        <f>IFERROR(__xludf.DUMMYFUNCTION("AI(""Give me a paragraph marketing spiel for this product, no tech specs just marketing fluff under 180 characters "")"),"Transform your outdoor spaces into a breathtaking visual journey. Experience discreet luxury and a sophisticated glow that beautifully enhances your home.")</f>
        <v>Transform your outdoor spaces into a breathtaking visual journey. Experience discreet luxury and a sophisticated glow that beautifully enhances your home.</v>
      </c>
      <c r="I3" s="10" t="s">
        <v>45</v>
      </c>
      <c r="J3" s="10"/>
      <c r="K3" s="10"/>
      <c r="L3" s="12" t="s">
        <v>44</v>
      </c>
      <c r="M3" s="12" t="s">
        <v>46</v>
      </c>
      <c r="N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""&amp;M3)"),"Power|Light Color|Voltage|Current Type|IP Rating|Finish")</f>
        <v>Power|Light Color|Voltage|Current Type|IP Rating|Finish</v>
      </c>
      <c r="O3" s="14" t="s">
        <v>37</v>
      </c>
      <c r="P3" s="13" t="str">
        <f>IFERROR(__xludf.DUMMYFUNCTION("AI(""Using the labels""&amp;N3&amp;"" and values ""&amp;M3&amp;"" separated by character '|' and Using ""&amp;L3&amp;"" and key as 'SKU', Create a JSON object"")"),"{""Power"": ""12W"", ""Light Color"": ""Warm White"", ""Voltage"": ""12V/24V"", ""Current Type"": ""AC/DC"", ""IP Rating"": ""IP67"", ""Finish"": ""Black"", ""SKU"": ""GL003""}")</f>
        <v>{"Power": "12W", "Light Color": "Warm White", "Voltage": "12V/24V", "Current Type": "AC/DC", "IP Rating": "IP67", "Finish": "Black", "SKU": "GL003"}</v>
      </c>
      <c r="Q3" s="14" t="s">
        <v>47</v>
      </c>
      <c r="R3" s="11"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Q3)"),"{""Power"": ""12W"", ""Light Color"": ""Warm White"", ""Voltage"": ""12V/24V"", ""Current Type"": ""AC/DC"", ""IP Rating"": ""IP67"", ""Finish"": ""Black"", ""SKU"": ""GL003""}")</f>
        <v>{"Power": "12W", "Light Color": "Warm White", "Voltage": "12V/24V", "Current Type": "AC/DC", "IP Rating": "IP67", "Finish": "Black", "SKU": "GL003"}</v>
      </c>
      <c r="S3" s="15" t="s">
        <v>47</v>
      </c>
      <c r="T3" s="11"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Q3)"),"{""Options"": {""Power"": [{""name"": ""12W"", ""id"": ""101""}], ""Light Color"": [{""name"": ""Warm White"", ""id"": ""102""}], ""Voltage"": [{""name"": ""12V/24V"", ""id"": ""103""}], ""Current Type"": [{""name"": ""AC/DC"", ""id"": ""104""}], ""IP Rat"&amp;"ing"": [{""name"": ""IP67"", ""id"": ""105""}], ""Finish"": [{""name"": ""Black"", ""id"": ""106""}]}, ""Constraints"": {}, ""sku_mappings"": [{""sku"": ""GL003"", ""combination"": [""101"", ""102"", ""103"", ""104"", ""105"", ""106""]}]}")</f>
        <v>{"Options": {"Power": [{"name": "12W", "id": "101"}], "Light Color": [{"name": "Warm White", "id": "102"}], "Voltage": [{"name": "12V/24V", "id": "103"}], "Current Type": [{"name": "AC/DC", "id": "104"}], "IP Rating": [{"name": "IP67", "id": "105"}], "Finish": [{"name": "Black", "id": "106"}]}, "Constraints": {}, "sku_mappings": [{"sku": "GL003", "combination": ["101", "102", "103", "104", "105", "106"]}]}</v>
      </c>
      <c r="U3" s="16" t="s">
        <v>48</v>
      </c>
      <c r="V3" s="17" t="str">
        <f>IFERROR(__xludf.DUMMYFUNCTION("AI(""Extract options object from the json"", U3)"),"{""Power"": [{""name"": ""12W"", ""id"": ""101""}], ""Light Color"": [{""name"": ""Warm White"", ""id"": ""102""}], ""Voltage"": [{""name"": ""12V/24V"", ""id"": ""103""}], ""Current Type"": [{""name"": ""AC/DC"", ""id"": ""104""}], ""IP Rating"": [{""nam"&amp;"e"": ""IP67"", ""id"": ""105""}], ""Finish"": [{""name"": ""Black"", ""id"": ""106""}]}")</f>
        <v>{"Power": [{"name": "12W", "id": "101"}], "Light Color": [{"name": "Warm White", "id": "102"}], "Voltage": [{"name": "12V/24V", "id": "103"}], "Current Type": [{"name": "AC/DC", "id": "104"}], "IP Rating": [{"name": "IP67", "id": "105"}], "Finish": [{"name": "Black", "id": "106"}]}</v>
      </c>
      <c r="W3" s="17" t="str">
        <f>IFERROR(__xludf.DUMMYFUNCTION("AI(""Extract constraints object from the json"", U3)"),"{}")</f>
        <v>{}</v>
      </c>
      <c r="X3" s="17" t="str">
        <f>IFERROR(__xludf.DUMMYFUNCTION("AI(""Extract sku_mappings object from the json"", U3)"),"[{""sku"": ""GL003"", ""combination"": [""101"", ""102"", ""103"", ""104"", ""105"", ""106""]}]")</f>
        <v>[{"sku": "GL003", "combination": ["101", "102", "103", "104", "105", "106"]}]</v>
      </c>
      <c r="Y3" s="15" t="s">
        <v>40</v>
      </c>
      <c r="Z3" s="15" t="s">
        <v>41</v>
      </c>
      <c r="AA3" s="15" t="s">
        <v>42</v>
      </c>
      <c r="AB3" s="18"/>
      <c r="AC3" s="19" t="str">
        <f>IFERROR(__xludf.DUMMYFUNCTION("AI(""Generate 6 powerful unique keywords for the product in this row"")"),"Garden Light, Pathway Lighting, 12W Outdoor Light, IP67 Waterproof, Warm White LED, Landscape Illumination")</f>
        <v>Garden Light, Pathway Lighting, 12W Outdoor Light, IP67 Waterproof, Warm White LED, Landscape Illumination</v>
      </c>
      <c r="AD3" s="18" t="s">
        <v>49</v>
      </c>
    </row>
    <row r="4" ht="37.5" customHeight="1">
      <c r="A4" s="9" t="s">
        <v>50</v>
      </c>
      <c r="B4" s="9" t="s">
        <v>31</v>
      </c>
      <c r="C4" s="10" t="s">
        <v>32</v>
      </c>
      <c r="D4" s="10" t="s">
        <v>31</v>
      </c>
      <c r="E4" s="10" t="s">
        <v>33</v>
      </c>
      <c r="F4" s="11"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4" s="10" t="s">
        <v>34</v>
      </c>
      <c r="H4" s="11" t="str">
        <f>IFERROR(__xludf.DUMMYFUNCTION("AI(""Give me a paragraph marketing spiel for this product, no tech specs just marketing fluff under 180 characters "")"),"Transform your outdoor spaces into a breathtaking visual journey. Experience discreet luxury and a sophisticated glow that beautifully enhances your home.")</f>
        <v>Transform your outdoor spaces into a breathtaking visual journey. Experience discreet luxury and a sophisticated glow that beautifully enhances your home.</v>
      </c>
      <c r="I4" s="10" t="s">
        <v>45</v>
      </c>
      <c r="J4" s="10"/>
      <c r="K4" s="10"/>
      <c r="L4" s="12" t="s">
        <v>50</v>
      </c>
      <c r="M4" s="12" t="s">
        <v>51</v>
      </c>
      <c r="N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""&amp;M4)"),"Power|Light Color|Voltage|Current Type|IP Rating|Finish")</f>
        <v>Power|Light Color|Voltage|Current Type|IP Rating|Finish</v>
      </c>
      <c r="O4" s="14" t="s">
        <v>37</v>
      </c>
      <c r="P4" s="13" t="str">
        <f>IFERROR(__xludf.DUMMYFUNCTION("AI(""Using the labels""&amp;N4&amp;"" and values ""&amp;M4&amp;"" separated by character '|' and Using ""&amp;L4&amp;"" and key as 'SKU', Create a JSON object"")"),"{""Power"": ""3W"", ""Light Color"": ""Warm White"", ""Voltage"": ""12V/24V"", ""Current Type"": ""AC/DC"", ""IP Rating"": ""IP67"", ""Finish"": ""Black"", ""SKU"": ""GL005""}")</f>
        <v>{"Power": "3W", "Light Color": "Warm White", "Voltage": "12V/24V", "Current Type": "AC/DC", "IP Rating": "IP67", "Finish": "Black", "SKU": "GL005"}</v>
      </c>
      <c r="Q4" s="14" t="s">
        <v>52</v>
      </c>
      <c r="R4" s="11"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Q4)"),"{""Power"": ""3W"", ""Light Color"": ""Warm White"", ""Voltage"": ""12V/24V"", ""Current Type"": ""AC/DC"", ""IP Rating"": ""IP67"", ""Finish"": ""Black"", ""SKU"": ""GL005""}")</f>
        <v>{"Power": "3W", "Light Color": "Warm White", "Voltage": "12V/24V", "Current Type": "AC/DC", "IP Rating": "IP67", "Finish": "Black", "SKU": "GL005"}</v>
      </c>
      <c r="S4" s="15" t="s">
        <v>52</v>
      </c>
      <c r="T4" s="11"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Q4)"),"{""Options"": {""Power"": [{""name"": ""3W"", ""id"": ""101""}], ""Light Color"": [{""name"": ""Warm White"", ""id"": ""102""}], ""Voltage"": [{""name"": ""12V/24V"", ""id"": ""103""}], ""Current Type"": [{""name"": ""AC/DC"", ""id"": ""104""}], ""IP Rati"&amp;"ng"": [{""name"": ""IP67"", ""id"": ""105""}], ""Finish"": [{""name"": ""Black"", ""id"": ""106""}]}, ""Constraints"": {}, ""sku_mappings"": [{""sku"": ""GL005"", ""combination"": [""101"", ""102"", ""103"", ""104"", ""105"", ""106""]}]}")</f>
        <v>{"Options": {"Power": [{"name": "3W", "id": "101"}], "Light Color": [{"name": "Warm White", "id": "102"}], "Voltage": [{"name": "12V/24V", "id": "103"}], "Current Type": [{"name": "AC/DC", "id": "104"}], "IP Rating": [{"name": "IP67", "id": "105"}], "Finish": [{"name": "Black", "id": "106"}]}, "Constraints": {}, "sku_mappings": [{"sku": "GL005", "combination": ["101", "102", "103", "104", "105", "106"]}]}</v>
      </c>
      <c r="U4" s="16" t="s">
        <v>53</v>
      </c>
      <c r="V4" s="17" t="str">
        <f>IFERROR(__xludf.DUMMYFUNCTION("AI(""Extract options object from the json"", U4)"),"{""Power"": [{""name"": ""3W"", ""id"": ""101""}], ""Light Color"": [{""name"": ""Warm White"", ""id"": ""102""}], ""Voltage"": [{""name"": ""12V/24V"", ""id"": ""103""}], ""Current Type"": [{""name"": ""AC/DC"", ""id"": ""104""}], ""IP Rating"": [{""name"&amp;""": ""IP67"", ""id"": ""105""}], ""Finish"": [{""name"": ""Black"", ""id"": ""106""}]}")</f>
        <v>{"Power": [{"name": "3W", "id": "101"}], "Light Color": [{"name": "Warm White", "id": "102"}], "Voltage": [{"name": "12V/24V", "id": "103"}], "Current Type": [{"name": "AC/DC", "id": "104"}], "IP Rating": [{"name": "IP67", "id": "105"}], "Finish": [{"name": "Black", "id": "106"}]}</v>
      </c>
      <c r="W4" s="17" t="str">
        <f>IFERROR(__xludf.DUMMYFUNCTION("AI(""Extract constraints object from the json"", U4)"),"{}")</f>
        <v>{}</v>
      </c>
      <c r="X4" s="17" t="str">
        <f>IFERROR(__xludf.DUMMYFUNCTION("AI(""Extract sku_mappings object from the json"", U4)"),"[{""sku"": ""GL005"", ""combination"": [""101"", ""102"", ""103"", ""104"", ""105"", ""106""]}]")</f>
        <v>[{"sku": "GL005", "combination": ["101", "102", "103", "104", "105", "106"]}]</v>
      </c>
      <c r="Y4" s="15" t="s">
        <v>40</v>
      </c>
      <c r="Z4" s="15" t="s">
        <v>54</v>
      </c>
      <c r="AA4" s="15" t="s">
        <v>42</v>
      </c>
      <c r="AB4" s="18"/>
      <c r="AC4" s="19" t="str">
        <f>IFERROR(__xludf.DUMMYFUNCTION("AI(""Generate 6 powerful unique keywords for the product in this row"")"),"Garden Light, 3W LED, Outdoor Lighting, Pathway Light, IP67 Waterproof, Landscape Lighting")</f>
        <v>Garden Light, 3W LED, Outdoor Lighting, Pathway Light, IP67 Waterproof, Landscape Lighting</v>
      </c>
      <c r="AD4" s="18" t="s">
        <v>55</v>
      </c>
    </row>
    <row r="5" ht="37.5" customHeight="1">
      <c r="A5" s="9" t="s">
        <v>56</v>
      </c>
      <c r="B5" s="9" t="s">
        <v>57</v>
      </c>
      <c r="C5" s="10" t="s">
        <v>32</v>
      </c>
      <c r="D5" s="10" t="s">
        <v>57</v>
      </c>
      <c r="E5" s="10" t="s">
        <v>33</v>
      </c>
      <c r="F5" s="11" t="str">
        <f>IFERROR(__xludf.DUMMYFUNCTION("AI(""Give me a paragraph marketing spiel for this product, no tech specs just marketing fluff "")"),"Dive into an enchanting oasis of light and luxury with our premium pool illumination solution. Designed to effortlessly elevate your outdoor experience, it bathes your aquatic retreat in a warm, sophisticated radiance that creates an unparalleled ambiance"&amp;". Perfect for those with a discerning eye for discreet elegance and refined architectural detail, this lighting masterpiece transforms ordinary evenings into a breathtaking visual journey, adding both captivating allure and a profound sense of serenity to"&amp;" your home.")</f>
        <v>Dive into an enchanting oasis of light and luxury with our premium pool illumination solution. Designed to effortlessly elevate your outdoor experience, it bathes your aquatic retreat in a warm, sophisticated radiance that creates an unparalleled ambiance. Perfect for those with a discerning eye for discreet elegance and refined architectural detail, this lighting masterpiece transforms ordinary evenings into a breathtaking visual journey, adding both captivating allure and a profound sense of serenity to your home.</v>
      </c>
      <c r="G5" s="10" t="s">
        <v>58</v>
      </c>
      <c r="H5" s="11" t="str">
        <f>IFERROR(__xludf.DUMMYFUNCTION("AI(""Give me a paragraph marketing spiel for this product, no tech specs just marketing fluff under 180 characters "")"),"Dive into an enchanting oasis of light and luxury. Elevate your pool into a sophisticated, glowing retreat, adding breathtaking allure and serene ambiance to every evening.")</f>
        <v>Dive into an enchanting oasis of light and luxury. Elevate your pool into a sophisticated, glowing retreat, adding breathtaking allure and serene ambiance to every evening.</v>
      </c>
      <c r="I5" s="10" t="s">
        <v>59</v>
      </c>
      <c r="J5" s="10"/>
      <c r="K5" s="10"/>
      <c r="L5" s="12" t="s">
        <v>56</v>
      </c>
      <c r="M5" s="12" t="s">
        <v>60</v>
      </c>
      <c r="N5"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""&amp;M5)"),"Power|CCT|Voltage|IP Rating")</f>
        <v>Power|CCT|Voltage|IP Rating</v>
      </c>
      <c r="O5" s="14" t="s">
        <v>61</v>
      </c>
      <c r="P5" s="13" t="str">
        <f>IFERROR(__xludf.DUMMYFUNCTION("AI(""Using the labels""&amp;N5&amp;"" and values ""&amp;M5&amp;"" separated by character '|' and Using ""&amp;L5&amp;"" and key as 'SKU', Create a JSON object"")"),"{""Power"": ""7W"", ""CCT"": ""3000K"", ""Voltage"": ""12V"", ""IP Rating"": ""IP68"", ""SKU"": ""PL001""}")</f>
        <v>{"Power": "7W", "CCT": "3000K", "Voltage": "12V", "IP Rating": "IP68", "SKU": "PL001"}</v>
      </c>
      <c r="Q5" s="14" t="s">
        <v>62</v>
      </c>
      <c r="R5" s="11"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Q5)"),"{""Power"": ""7W"", ""CCT"": ""3000K"", ""Voltage"": ""12V"", ""IP Rating"": ""IP68"", ""SKU"": ""PL001""}")</f>
        <v>{"Power": "7W", "CCT": "3000K", "Voltage": "12V", "IP Rating": "IP68", "SKU": "PL001"}</v>
      </c>
      <c r="S5" s="15" t="s">
        <v>62</v>
      </c>
      <c r="T5" s="11"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Q5)"),"{""Options"": {""Power"": [{""name"": ""7W"", ""id"": ""101""}], ""CCT"": [{""name"": ""3000K"", ""id"": ""102""}], ""Voltage"": [{""name"": ""12V"", ""id"": ""103""}], ""IP Rating"": [{""name"": ""IP68"", ""id"": ""104""}]}, ""Constraints"": {}, ""sku_ma"&amp;"ppings"": [{""sku"": ""PL001"", ""combination"": [""101"", ""102"", ""103"", ""104""]}]}")</f>
        <v>{"Options": {"Power": [{"name": "7W", "id": "101"}], "CCT": [{"name": "3000K", "id": "102"}], "Voltage": [{"name": "12V", "id": "103"}], "IP Rating": [{"name": "IP68", "id": "104"}]}, "Constraints": {}, "sku_mappings": [{"sku": "PL001", "combination": ["101", "102", "103", "104"]}]}</v>
      </c>
      <c r="U5" s="16" t="s">
        <v>63</v>
      </c>
      <c r="V5" s="17" t="str">
        <f>IFERROR(__xludf.DUMMYFUNCTION("AI(""Extract options object from the json"", U5)"),"{""Power"": [{""name"": ""7W"", ""id"": ""101""}], ""CCT"": [{""name"": ""3000K"", ""id"": ""102""}], ""Voltage"": [{""name"": ""12V"", ""id"": ""103""}], ""IP Rating"": [{""name"": ""IP68"", ""id"": ""104""}]}")</f>
        <v>{"Power": [{"name": "7W", "id": "101"}], "CCT": [{"name": "3000K", "id": "102"}], "Voltage": [{"name": "12V", "id": "103"}], "IP Rating": [{"name": "IP68", "id": "104"}]}</v>
      </c>
      <c r="W5" s="17" t="str">
        <f>IFERROR(__xludf.DUMMYFUNCTION("AI(""Extract constraints object from the json"", U5)"),"{}")</f>
        <v>{}</v>
      </c>
      <c r="X5" s="17" t="str">
        <f>IFERROR(__xludf.DUMMYFUNCTION("AI(""Extract sku_mappings object from the json"", U5)"),"[{""sku"": ""PL001"", ""combination"": [""101"", ""102"", ""103"", ""104""]}]")</f>
        <v>[{"sku": "PL001", "combination": ["101", "102", "103", "104"]}]</v>
      </c>
      <c r="Y5" s="15" t="s">
        <v>40</v>
      </c>
      <c r="Z5" s="15" t="s">
        <v>64</v>
      </c>
      <c r="AA5" s="15" t="s">
        <v>65</v>
      </c>
      <c r="AB5" s="18"/>
      <c r="AC5" s="19" t="str">
        <f>IFERROR(__xludf.DUMMYFUNCTION("AI(""Generate 6 powerful unique keywords for the product in this row"")"),"pool light, underwater lighting, IP68 waterproof, 3000K warm white, low voltage LED, aquatic illumination")</f>
        <v>pool light, underwater lighting, IP68 waterproof, 3000K warm white, low voltage LED, aquatic illumination</v>
      </c>
      <c r="AD5" s="18" t="s">
        <v>66</v>
      </c>
    </row>
    <row r="6" ht="37.5" customHeight="1">
      <c r="A6" s="9" t="s">
        <v>67</v>
      </c>
      <c r="B6" s="9" t="s">
        <v>57</v>
      </c>
      <c r="C6" s="10" t="s">
        <v>32</v>
      </c>
      <c r="D6" s="10" t="s">
        <v>57</v>
      </c>
      <c r="E6" s="10" t="s">
        <v>33</v>
      </c>
      <c r="F6" s="11" t="str">
        <f>IFERROR(__xludf.DUMMYFUNCTION("AI(""Give me a paragraph marketing spiel for this product, no tech specs just marketing fluff "")"),"Dive into an enchanting oasis of light and luxury with our premium pool illumination solution. Designed to effortlessly elevate your outdoor experience, it bathes your aquatic retreat in a warm, sophisticated radiance that creates an unparalleled ambiance"&amp;". Perfect for those with a discerning eye for discreet elegance and refined architectural detail, this lighting masterpiece transforms ordinary evenings into a breathtaking visual journey, adding both captivating allure and a profound sense of serenity to"&amp;" your home.")</f>
        <v>Dive into an enchanting oasis of light and luxury with our premium pool illumination solution. Designed to effortlessly elevate your outdoor experience, it bathes your aquatic retreat in a warm, sophisticated radiance that creates an unparalleled ambiance. Perfect for those with a discerning eye for discreet elegance and refined architectural detail, this lighting masterpiece transforms ordinary evenings into a breathtaking visual journey, adding both captivating allure and a profound sense of serenity to your home.</v>
      </c>
      <c r="G6" s="10" t="s">
        <v>58</v>
      </c>
      <c r="H6" s="11" t="str">
        <f>IFERROR(__xludf.DUMMYFUNCTION("AI(""Give me a paragraph marketing spiel for this product, no tech specs just marketing fluff under 180 characters "")"),"Transform your pool into a breathtaking oasis. Elevate your outdoor space with a sophisticated glow that brings enchanting elegance and serene luxury to every evening.")</f>
        <v>Transform your pool into a breathtaking oasis. Elevate your outdoor space with a sophisticated glow that brings enchanting elegance and serene luxury to every evening.</v>
      </c>
      <c r="I6" s="10" t="s">
        <v>68</v>
      </c>
      <c r="J6" s="10"/>
      <c r="K6" s="10"/>
      <c r="L6" s="12" t="s">
        <v>67</v>
      </c>
      <c r="M6" s="12" t="s">
        <v>69</v>
      </c>
      <c r="N6"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""&amp;M6)"),"Power|CCT|Voltage|IP Rating")</f>
        <v>Power|CCT|Voltage|IP Rating</v>
      </c>
      <c r="O6" s="14" t="s">
        <v>61</v>
      </c>
      <c r="P6" s="13" t="str">
        <f>IFERROR(__xludf.DUMMYFUNCTION("AI(""Using the labels""&amp;N6&amp;"" and values ""&amp;M6&amp;"" separated by character '|' and Using ""&amp;L6&amp;"" and key as 'SKU', Create a JSON object"")"),"{""Power"": ""7W"", ""CCT"": ""6000K"", ""Voltage"": ""12V"", ""IP Rating"": ""IP68"", ""SKU"": ""PL002""}")</f>
        <v>{"Power": "7W", "CCT": "6000K", "Voltage": "12V", "IP Rating": "IP68", "SKU": "PL002"}</v>
      </c>
      <c r="Q6" s="14" t="s">
        <v>70</v>
      </c>
      <c r="R6" s="11"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Q6)"),"{""Power"": ""7W"", ""CCT"": ""6000K"", ""Voltage"": ""12V"", ""IP Rating"": ""IP68"", ""SKU"": ""PL002""}")</f>
        <v>{"Power": "7W", "CCT": "6000K", "Voltage": "12V", "IP Rating": "IP68", "SKU": "PL002"}</v>
      </c>
      <c r="S6" s="15" t="s">
        <v>70</v>
      </c>
      <c r="T6" s="11"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Q6)"),"{""Options"": {""Power"": [{""name"": ""7W"", ""id"": ""101""}], ""CCT"": [{""name"": ""6000K"", ""id"": ""102""}], ""Voltage"": [{""name"": ""12V"", ""id"": ""103""}], ""IP Rating"": [{""name"": ""IP68"", ""id"": ""104""}]}, ""Constraints"": {}, ""sku_ma"&amp;"ppings"": [{""sku"": ""PL002"", ""combination"": [""101"", ""102"", ""103"", ""104""]}]}")</f>
        <v>{"Options": {"Power": [{"name": "7W", "id": "101"}], "CCT": [{"name": "6000K", "id": "102"}], "Voltage": [{"name": "12V", "id": "103"}], "IP Rating": [{"name": "IP68", "id": "104"}]}, "Constraints": {}, "sku_mappings": [{"sku": "PL002", "combination": ["101", "102", "103", "104"]}]}</v>
      </c>
      <c r="U6" s="16" t="s">
        <v>71</v>
      </c>
      <c r="V6" s="17" t="str">
        <f>IFERROR(__xludf.DUMMYFUNCTION("AI(""Extract options object from the json"", U6)"),"{""Power"": [{""name"": ""7W"", ""id"": ""101""}], ""CCT"": [{""name"": ""6000K"", ""id"": ""102""}], ""Voltage"": [{""name"": ""12V"", ""id"": ""103""}], ""IP Rating"": [{""name"": ""IP68"", ""id"": ""104""}]}")</f>
        <v>{"Power": [{"name": "7W", "id": "101"}], "CCT": [{"name": "6000K", "id": "102"}], "Voltage": [{"name": "12V", "id": "103"}], "IP Rating": [{"name": "IP68", "id": "104"}]}</v>
      </c>
      <c r="W6" s="17" t="str">
        <f>IFERROR(__xludf.DUMMYFUNCTION("AI(""Extract constraints object from the json"", U6)"),"{}")</f>
        <v>{}</v>
      </c>
      <c r="X6" s="17" t="str">
        <f>IFERROR(__xludf.DUMMYFUNCTION("AI(""Extract sku_mappings object from the json"", U6)"),"[{""sku"": ""PL002"", ""combination"": [""101"", ""102"", ""103"", ""104""]}]")</f>
        <v>[{"sku": "PL002", "combination": ["101", "102", "103", "104"]}]</v>
      </c>
      <c r="Y6" s="15" t="s">
        <v>40</v>
      </c>
      <c r="Z6" s="15" t="s">
        <v>64</v>
      </c>
      <c r="AA6" s="15" t="s">
        <v>65</v>
      </c>
      <c r="AB6" s="18"/>
      <c r="AC6" s="19" t="str">
        <f>IFERROR(__xludf.DUMMYFUNCTION("AI(""Generate 6 powerful unique keywords for the product in this row"")"),"pool light, 6000k, ip68 waterproof, 7w led, 12v lighting, aquatic light")</f>
        <v>pool light, 6000k, ip68 waterproof, 7w led, 12v lighting, aquatic light</v>
      </c>
      <c r="AD6" s="18" t="s">
        <v>72</v>
      </c>
    </row>
    <row r="7">
      <c r="A7" s="18"/>
      <c r="B7" s="18"/>
      <c r="C7" s="18"/>
      <c r="D7" s="18"/>
      <c r="E7" s="18"/>
      <c r="F7" s="18"/>
      <c r="G7" s="18"/>
      <c r="H7" s="18"/>
      <c r="I7" s="18"/>
      <c r="J7" s="18"/>
      <c r="K7" s="18"/>
      <c r="L7" s="18"/>
      <c r="M7" s="18"/>
      <c r="N7" s="18"/>
      <c r="O7" s="18"/>
      <c r="P7" s="18"/>
      <c r="Q7" s="18"/>
      <c r="R7" s="18"/>
      <c r="S7" s="18"/>
      <c r="T7" s="18"/>
      <c r="U7" s="18"/>
      <c r="V7" s="18"/>
      <c r="W7" s="18"/>
      <c r="X7" s="18"/>
      <c r="Y7" s="18"/>
      <c r="Z7" s="18"/>
      <c r="AA7" s="18"/>
      <c r="AB7" s="18"/>
      <c r="AC7" s="18"/>
      <c r="AD7" s="18"/>
    </row>
    <row r="8">
      <c r="A8" s="18"/>
      <c r="B8" s="18"/>
      <c r="C8" s="18"/>
      <c r="D8" s="18"/>
      <c r="E8" s="18"/>
      <c r="F8" s="18"/>
      <c r="G8" s="18"/>
      <c r="H8" s="18"/>
      <c r="I8" s="18"/>
      <c r="J8" s="18"/>
      <c r="K8" s="18"/>
      <c r="L8" s="18"/>
      <c r="M8" s="18"/>
      <c r="N8" s="18"/>
      <c r="O8" s="18"/>
      <c r="P8" s="18"/>
      <c r="Q8" s="18"/>
      <c r="R8" s="18"/>
      <c r="S8" s="18"/>
      <c r="T8" s="18"/>
      <c r="U8" s="18"/>
      <c r="V8" s="18"/>
      <c r="W8" s="18"/>
      <c r="X8" s="18"/>
      <c r="Y8" s="18"/>
      <c r="Z8" s="18"/>
      <c r="AA8" s="18"/>
      <c r="AB8" s="18"/>
      <c r="AC8" s="18"/>
      <c r="AD8" s="18"/>
    </row>
    <row r="9">
      <c r="A9" s="18"/>
      <c r="B9" s="18"/>
      <c r="C9" s="18"/>
      <c r="D9" s="18"/>
      <c r="E9" s="18"/>
      <c r="F9" s="18"/>
      <c r="G9" s="18"/>
      <c r="H9" s="18"/>
      <c r="I9" s="18"/>
      <c r="J9" s="18"/>
      <c r="K9" s="18"/>
      <c r="L9" s="18"/>
      <c r="M9" s="18"/>
      <c r="N9" s="18"/>
      <c r="O9" s="18"/>
      <c r="P9" s="18"/>
      <c r="Q9" s="18"/>
      <c r="R9" s="18"/>
      <c r="S9" s="18"/>
      <c r="T9" s="18"/>
      <c r="U9" s="18"/>
      <c r="V9" s="18"/>
      <c r="W9" s="18"/>
      <c r="X9" s="18"/>
      <c r="Y9" s="18"/>
      <c r="Z9" s="18"/>
      <c r="AA9" s="18"/>
      <c r="AB9" s="18"/>
      <c r="AC9" s="18"/>
      <c r="AD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c r="AD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c r="AD11" s="18"/>
    </row>
    <row r="12">
      <c r="A12" s="18"/>
      <c r="B12" s="18"/>
      <c r="C12" s="18"/>
      <c r="D12" s="18"/>
      <c r="E12" s="18"/>
      <c r="F12" s="18"/>
      <c r="G12" s="18"/>
      <c r="H12" s="18"/>
      <c r="I12" s="18"/>
      <c r="J12" s="18"/>
      <c r="K12" s="18"/>
      <c r="L12" s="18"/>
      <c r="M12" s="18"/>
      <c r="N12" s="18"/>
      <c r="O12" s="18"/>
      <c r="P12" s="18"/>
      <c r="Q12" s="18"/>
      <c r="R12" s="18"/>
      <c r="S12" s="18"/>
      <c r="T12" s="9"/>
      <c r="U12" s="18"/>
      <c r="V12" s="18"/>
      <c r="W12" s="18"/>
      <c r="X12" s="18"/>
      <c r="Y12" s="18"/>
      <c r="Z12" s="18"/>
      <c r="AA12" s="18"/>
      <c r="AB12" s="18"/>
      <c r="AC12" s="18"/>
      <c r="AD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c r="AA18" s="18"/>
      <c r="AB18" s="18"/>
      <c r="AC18" s="18"/>
      <c r="AD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c r="AB89" s="18"/>
      <c r="AC89" s="18"/>
      <c r="AD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c r="AB90" s="18"/>
      <c r="AC90" s="18"/>
      <c r="AD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18"/>
      <c r="AC97" s="18"/>
      <c r="AD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c r="AA261" s="18"/>
      <c r="AB261" s="18"/>
      <c r="AC261" s="18"/>
      <c r="AD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c r="AA262" s="18"/>
      <c r="AB262" s="18"/>
      <c r="AC262" s="18"/>
      <c r="AD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c r="AA263" s="18"/>
      <c r="AB263" s="18"/>
      <c r="AC263" s="18"/>
      <c r="AD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c r="AA266" s="18"/>
      <c r="AB266" s="18"/>
      <c r="AC266" s="18"/>
      <c r="AD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c r="AA267" s="18"/>
      <c r="AB267" s="18"/>
      <c r="AC267" s="18"/>
      <c r="AD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c r="AA268" s="18"/>
      <c r="AB268" s="18"/>
      <c r="AC268" s="18"/>
      <c r="AD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c r="AA269" s="18"/>
      <c r="AB269" s="18"/>
      <c r="AC269" s="18"/>
      <c r="AD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c r="AA270" s="18"/>
      <c r="AB270" s="18"/>
      <c r="AC270" s="18"/>
      <c r="AD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c r="AA271" s="18"/>
      <c r="AB271" s="18"/>
      <c r="AC271" s="18"/>
      <c r="AD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c r="AA272" s="18"/>
      <c r="AB272" s="18"/>
      <c r="AC272" s="18"/>
      <c r="AD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c r="AA274" s="18"/>
      <c r="AB274" s="18"/>
      <c r="AC274" s="18"/>
      <c r="AD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c r="AA275" s="18"/>
      <c r="AB275" s="18"/>
      <c r="AC275" s="18"/>
      <c r="AD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c r="AA276" s="18"/>
      <c r="AB276" s="18"/>
      <c r="AC276" s="18"/>
      <c r="AD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c r="AA277" s="18"/>
      <c r="AB277" s="18"/>
      <c r="AC277" s="18"/>
      <c r="AD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c r="AA278" s="18"/>
      <c r="AB278" s="18"/>
      <c r="AC278" s="18"/>
      <c r="AD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c r="AA279" s="18"/>
      <c r="AB279" s="18"/>
      <c r="AC279" s="18"/>
      <c r="AD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c r="AA280" s="18"/>
      <c r="AB280" s="18"/>
      <c r="AC280" s="18"/>
      <c r="AD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c r="AA281" s="18"/>
      <c r="AB281" s="18"/>
      <c r="AC281" s="18"/>
      <c r="AD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c r="AA282" s="18"/>
      <c r="AB282" s="18"/>
      <c r="AC282" s="18"/>
      <c r="AD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c r="AA283" s="18"/>
      <c r="AB283" s="18"/>
      <c r="AC283" s="18"/>
      <c r="AD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c r="AA284" s="18"/>
      <c r="AB284" s="18"/>
      <c r="AC284" s="18"/>
      <c r="AD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c r="AA285" s="18"/>
      <c r="AB285" s="18"/>
      <c r="AC285" s="18"/>
      <c r="AD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c r="AA286" s="18"/>
      <c r="AB286" s="18"/>
      <c r="AC286" s="18"/>
      <c r="AD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c r="AA287" s="18"/>
      <c r="AB287" s="18"/>
      <c r="AC287" s="18"/>
      <c r="AD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c r="AA288" s="18"/>
      <c r="AB288" s="18"/>
      <c r="AC288" s="18"/>
      <c r="AD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c r="AA289" s="18"/>
      <c r="AB289" s="18"/>
      <c r="AC289" s="18"/>
      <c r="AD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c r="AA290" s="18"/>
      <c r="AB290" s="18"/>
      <c r="AC290" s="18"/>
      <c r="AD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c r="AA291" s="18"/>
      <c r="AB291" s="18"/>
      <c r="AC291" s="18"/>
      <c r="AD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c r="AA292" s="18"/>
      <c r="AB292" s="18"/>
      <c r="AC292" s="18"/>
      <c r="AD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c r="AA293" s="18"/>
      <c r="AB293" s="18"/>
      <c r="AC293" s="18"/>
      <c r="AD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c r="AA294" s="18"/>
      <c r="AB294" s="18"/>
      <c r="AC294" s="18"/>
      <c r="AD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c r="AA295" s="18"/>
      <c r="AB295" s="18"/>
      <c r="AC295" s="18"/>
      <c r="AD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c r="AA296" s="18"/>
      <c r="AB296" s="18"/>
      <c r="AC296" s="18"/>
      <c r="AD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c r="AA297" s="18"/>
      <c r="AB297" s="18"/>
      <c r="AC297" s="18"/>
      <c r="AD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c r="AA299" s="18"/>
      <c r="AB299" s="18"/>
      <c r="AC299" s="18"/>
      <c r="AD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c r="AA300" s="18"/>
      <c r="AB300" s="18"/>
      <c r="AC300" s="18"/>
      <c r="AD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c r="AA301" s="18"/>
      <c r="AB301" s="18"/>
      <c r="AC301" s="18"/>
      <c r="AD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c r="AA302" s="18"/>
      <c r="AB302" s="18"/>
      <c r="AC302" s="18"/>
      <c r="AD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c r="AA303" s="18"/>
      <c r="AB303" s="18"/>
      <c r="AC303" s="18"/>
      <c r="AD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c r="AA304" s="18"/>
      <c r="AB304" s="18"/>
      <c r="AC304" s="18"/>
      <c r="AD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c r="AA305" s="18"/>
      <c r="AB305" s="18"/>
      <c r="AC305" s="18"/>
      <c r="AD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c r="AA306" s="18"/>
      <c r="AB306" s="18"/>
      <c r="AC306" s="18"/>
      <c r="AD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c r="AA307" s="18"/>
      <c r="AB307" s="18"/>
      <c r="AC307" s="18"/>
      <c r="AD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c r="AA308" s="18"/>
      <c r="AB308" s="18"/>
      <c r="AC308" s="18"/>
      <c r="AD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c r="AA309" s="18"/>
      <c r="AB309" s="18"/>
      <c r="AC309" s="18"/>
      <c r="AD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c r="AA310" s="18"/>
      <c r="AB310" s="18"/>
      <c r="AC310" s="18"/>
      <c r="AD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c r="AA311" s="18"/>
      <c r="AB311" s="18"/>
      <c r="AC311" s="18"/>
      <c r="AD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c r="AA312" s="18"/>
      <c r="AB312" s="18"/>
      <c r="AC312" s="18"/>
      <c r="AD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c r="AA313" s="18"/>
      <c r="AB313" s="18"/>
      <c r="AC313" s="18"/>
      <c r="AD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c r="AA319" s="18"/>
      <c r="AB319" s="18"/>
      <c r="AC319" s="18"/>
      <c r="AD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c r="AA320" s="18"/>
      <c r="AB320" s="18"/>
      <c r="AC320" s="18"/>
      <c r="AD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c r="AA321" s="18"/>
      <c r="AB321" s="18"/>
      <c r="AC321" s="18"/>
      <c r="AD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c r="AA322" s="18"/>
      <c r="AB322" s="18"/>
      <c r="AC322" s="18"/>
      <c r="AD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c r="AA323" s="18"/>
      <c r="AB323" s="18"/>
      <c r="AC323" s="18"/>
      <c r="AD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c r="AA324" s="18"/>
      <c r="AB324" s="18"/>
      <c r="AC324" s="18"/>
      <c r="AD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c r="AA325" s="18"/>
      <c r="AB325" s="18"/>
      <c r="AC325" s="18"/>
      <c r="AD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c r="AA334" s="18"/>
      <c r="AB334" s="18"/>
      <c r="AC334" s="18"/>
      <c r="AD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c r="AA335" s="18"/>
      <c r="AB335" s="18"/>
      <c r="AC335" s="18"/>
      <c r="AD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c r="AA336" s="18"/>
      <c r="AB336" s="18"/>
      <c r="AC336" s="18"/>
      <c r="AD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c r="AA337" s="18"/>
      <c r="AB337" s="18"/>
      <c r="AC337" s="18"/>
      <c r="AD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c r="AA338" s="18"/>
      <c r="AB338" s="18"/>
      <c r="AC338" s="18"/>
      <c r="AD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c r="AA339" s="18"/>
      <c r="AB339" s="18"/>
      <c r="AC339" s="18"/>
      <c r="AD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c r="AA340" s="18"/>
      <c r="AB340" s="18"/>
      <c r="AC340" s="18"/>
      <c r="AD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c r="AA341" s="18"/>
      <c r="AB341" s="18"/>
      <c r="AC341" s="18"/>
      <c r="AD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c r="AA354" s="18"/>
      <c r="AB354" s="18"/>
      <c r="AC354" s="18"/>
      <c r="AD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c r="AA355" s="18"/>
      <c r="AB355" s="18"/>
      <c r="AC355" s="18"/>
      <c r="AD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c r="AA356" s="18"/>
      <c r="AB356" s="18"/>
      <c r="AC356" s="18"/>
      <c r="AD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c r="AA357" s="18"/>
      <c r="AB357" s="18"/>
      <c r="AC357" s="18"/>
      <c r="AD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c r="AA358" s="18"/>
      <c r="AB358" s="18"/>
      <c r="AC358" s="18"/>
      <c r="AD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c r="AA359" s="18"/>
      <c r="AB359" s="18"/>
      <c r="AC359" s="18"/>
      <c r="AD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c r="AA360" s="18"/>
      <c r="AB360" s="18"/>
      <c r="AC360" s="18"/>
      <c r="AD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c r="AA361" s="18"/>
      <c r="AB361" s="18"/>
      <c r="AC361" s="18"/>
      <c r="AD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c r="AA362" s="18"/>
      <c r="AB362" s="18"/>
      <c r="AC362" s="18"/>
      <c r="AD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c r="AA363" s="18"/>
      <c r="AB363" s="18"/>
      <c r="AC363" s="18"/>
      <c r="AD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c r="AA364" s="18"/>
      <c r="AB364" s="18"/>
      <c r="AC364" s="18"/>
      <c r="AD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c r="AA365" s="18"/>
      <c r="AB365" s="18"/>
      <c r="AC365" s="18"/>
      <c r="AD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c r="AA366" s="18"/>
      <c r="AB366" s="18"/>
      <c r="AC366" s="18"/>
      <c r="AD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c r="AA367" s="18"/>
      <c r="AB367" s="18"/>
      <c r="AC367" s="18"/>
      <c r="AD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c r="AA368" s="18"/>
      <c r="AB368" s="18"/>
      <c r="AC368" s="18"/>
      <c r="AD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c r="AA369" s="18"/>
      <c r="AB369" s="18"/>
      <c r="AC369" s="18"/>
      <c r="AD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c r="AA370" s="18"/>
      <c r="AB370" s="18"/>
      <c r="AC370" s="18"/>
      <c r="AD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c r="AA371" s="18"/>
      <c r="AB371" s="18"/>
      <c r="AC371" s="18"/>
      <c r="AD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c r="AA372" s="18"/>
      <c r="AB372" s="18"/>
      <c r="AC372" s="18"/>
      <c r="AD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c r="AA373" s="18"/>
      <c r="AB373" s="18"/>
      <c r="AC373" s="18"/>
      <c r="AD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c r="AA374" s="18"/>
      <c r="AB374" s="18"/>
      <c r="AC374" s="18"/>
      <c r="AD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c r="AA375" s="18"/>
      <c r="AB375" s="18"/>
      <c r="AC375" s="18"/>
      <c r="AD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c r="AA376" s="18"/>
      <c r="AB376" s="18"/>
      <c r="AC376" s="18"/>
      <c r="AD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c r="AA377" s="18"/>
      <c r="AB377" s="18"/>
      <c r="AC377" s="18"/>
      <c r="AD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c r="AA378" s="18"/>
      <c r="AB378" s="18"/>
      <c r="AC378" s="18"/>
      <c r="AD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c r="AA379" s="18"/>
      <c r="AB379" s="18"/>
      <c r="AC379" s="18"/>
      <c r="AD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c r="AA380" s="18"/>
      <c r="AB380" s="18"/>
      <c r="AC380" s="18"/>
      <c r="AD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c r="AA381" s="18"/>
      <c r="AB381" s="18"/>
      <c r="AC381" s="18"/>
      <c r="AD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c r="AA382" s="18"/>
      <c r="AB382" s="18"/>
      <c r="AC382" s="18"/>
      <c r="AD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c r="AA383" s="18"/>
      <c r="AB383" s="18"/>
      <c r="AC383" s="18"/>
      <c r="AD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c r="AA384" s="18"/>
      <c r="AB384" s="18"/>
      <c r="AC384" s="18"/>
      <c r="AD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c r="AA385" s="18"/>
      <c r="AB385" s="18"/>
      <c r="AC385" s="18"/>
      <c r="AD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c r="AA386" s="18"/>
      <c r="AB386" s="18"/>
      <c r="AC386" s="18"/>
      <c r="AD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c r="AA387" s="18"/>
      <c r="AB387" s="18"/>
      <c r="AC387" s="18"/>
      <c r="AD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c r="AA388" s="18"/>
      <c r="AB388" s="18"/>
      <c r="AC388" s="18"/>
      <c r="AD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c r="AA389" s="18"/>
      <c r="AB389" s="18"/>
      <c r="AC389" s="18"/>
      <c r="AD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c r="AA390" s="18"/>
      <c r="AB390" s="18"/>
      <c r="AC390" s="18"/>
      <c r="AD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c r="AA391" s="18"/>
      <c r="AB391" s="18"/>
      <c r="AC391" s="18"/>
      <c r="AD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c r="AA392" s="18"/>
      <c r="AB392" s="18"/>
      <c r="AC392" s="18"/>
      <c r="AD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c r="AA393" s="18"/>
      <c r="AB393" s="18"/>
      <c r="AC393" s="18"/>
      <c r="AD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c r="AA394" s="18"/>
      <c r="AB394" s="18"/>
      <c r="AC394" s="18"/>
      <c r="AD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c r="AA395" s="18"/>
      <c r="AB395" s="18"/>
      <c r="AC395" s="18"/>
      <c r="AD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c r="AA396" s="18"/>
      <c r="AB396" s="18"/>
      <c r="AC396" s="18"/>
      <c r="AD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c r="AA397" s="18"/>
      <c r="AB397" s="18"/>
      <c r="AC397" s="18"/>
      <c r="AD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c r="AA398" s="18"/>
      <c r="AB398" s="18"/>
      <c r="AC398" s="18"/>
      <c r="AD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c r="AA399" s="18"/>
      <c r="AB399" s="18"/>
      <c r="AC399" s="18"/>
      <c r="AD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c r="AA400" s="18"/>
      <c r="AB400" s="18"/>
      <c r="AC400" s="18"/>
      <c r="AD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c r="AA401" s="18"/>
      <c r="AB401" s="18"/>
      <c r="AC401" s="18"/>
      <c r="AD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c r="AA402" s="18"/>
      <c r="AB402" s="18"/>
      <c r="AC402" s="18"/>
      <c r="AD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c r="AA403" s="18"/>
      <c r="AB403" s="18"/>
      <c r="AC403" s="18"/>
      <c r="AD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c r="AA404" s="18"/>
      <c r="AB404" s="18"/>
      <c r="AC404" s="18"/>
      <c r="AD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c r="AA405" s="18"/>
      <c r="AB405" s="18"/>
      <c r="AC405" s="18"/>
      <c r="AD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c r="AA406" s="18"/>
      <c r="AB406" s="18"/>
      <c r="AC406" s="18"/>
      <c r="AD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c r="AA407" s="18"/>
      <c r="AB407" s="18"/>
      <c r="AC407" s="18"/>
      <c r="AD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c r="AA408" s="18"/>
      <c r="AB408" s="18"/>
      <c r="AC408" s="18"/>
      <c r="AD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c r="AA409" s="18"/>
      <c r="AB409" s="18"/>
      <c r="AC409" s="18"/>
      <c r="AD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c r="AA410" s="18"/>
      <c r="AB410" s="18"/>
      <c r="AC410" s="18"/>
      <c r="AD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c r="AA411" s="18"/>
      <c r="AB411" s="18"/>
      <c r="AC411" s="18"/>
      <c r="AD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c r="AA412" s="18"/>
      <c r="AB412" s="18"/>
      <c r="AC412" s="18"/>
      <c r="AD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c r="AA413" s="18"/>
      <c r="AB413" s="18"/>
      <c r="AC413" s="18"/>
      <c r="AD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c r="AA414" s="18"/>
      <c r="AB414" s="18"/>
      <c r="AC414" s="18"/>
      <c r="AD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c r="AA415" s="18"/>
      <c r="AB415" s="18"/>
      <c r="AC415" s="18"/>
      <c r="AD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c r="AA416" s="18"/>
      <c r="AB416" s="18"/>
      <c r="AC416" s="18"/>
      <c r="AD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c r="AA417" s="18"/>
      <c r="AB417" s="18"/>
      <c r="AC417" s="18"/>
      <c r="AD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c r="AA418" s="18"/>
      <c r="AB418" s="18"/>
      <c r="AC418" s="18"/>
      <c r="AD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c r="AA419" s="18"/>
      <c r="AB419" s="18"/>
      <c r="AC419" s="18"/>
      <c r="AD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c r="AA420" s="18"/>
      <c r="AB420" s="18"/>
      <c r="AC420" s="18"/>
      <c r="AD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c r="AA427" s="18"/>
      <c r="AB427" s="18"/>
      <c r="AC427" s="18"/>
      <c r="AD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c r="AA428" s="18"/>
      <c r="AB428" s="18"/>
      <c r="AC428" s="18"/>
      <c r="AD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c r="AA429" s="18"/>
      <c r="AB429" s="18"/>
      <c r="AC429" s="18"/>
      <c r="AD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c r="AA430" s="18"/>
      <c r="AB430" s="18"/>
      <c r="AC430" s="18"/>
      <c r="AD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c r="AA431" s="18"/>
      <c r="AB431" s="18"/>
      <c r="AC431" s="18"/>
      <c r="AD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c r="AA432" s="18"/>
      <c r="AB432" s="18"/>
      <c r="AC432" s="18"/>
      <c r="AD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c r="AA433" s="18"/>
      <c r="AB433" s="18"/>
      <c r="AC433" s="18"/>
      <c r="AD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c r="AA434" s="18"/>
      <c r="AB434" s="18"/>
      <c r="AC434" s="18"/>
      <c r="AD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c r="AA435" s="18"/>
      <c r="AB435" s="18"/>
      <c r="AC435" s="18"/>
      <c r="AD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c r="AA436" s="18"/>
      <c r="AB436" s="18"/>
      <c r="AC436" s="18"/>
      <c r="AD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c r="AA437" s="18"/>
      <c r="AB437" s="18"/>
      <c r="AC437" s="18"/>
      <c r="AD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c r="AA438" s="18"/>
      <c r="AB438" s="18"/>
      <c r="AC438" s="18"/>
      <c r="AD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c r="AA439" s="18"/>
      <c r="AB439" s="18"/>
      <c r="AC439" s="18"/>
      <c r="AD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c r="AA457" s="18"/>
      <c r="AB457" s="18"/>
      <c r="AC457" s="18"/>
      <c r="AD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c r="AA458" s="18"/>
      <c r="AB458" s="18"/>
      <c r="AC458" s="18"/>
      <c r="AD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c r="AA459" s="18"/>
      <c r="AB459" s="18"/>
      <c r="AC459" s="18"/>
      <c r="AD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c r="AA460" s="18"/>
      <c r="AB460" s="18"/>
      <c r="AC460" s="18"/>
      <c r="AD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c r="AA461" s="18"/>
      <c r="AB461" s="18"/>
      <c r="AC461" s="18"/>
      <c r="AD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c r="AA462" s="18"/>
      <c r="AB462" s="18"/>
      <c r="AC462" s="18"/>
      <c r="AD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c r="AA463" s="18"/>
      <c r="AB463" s="18"/>
      <c r="AC463" s="18"/>
      <c r="AD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c r="AA464" s="18"/>
      <c r="AB464" s="18"/>
      <c r="AC464" s="18"/>
      <c r="AD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c r="AA465" s="18"/>
      <c r="AB465" s="18"/>
      <c r="AC465" s="18"/>
      <c r="AD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c r="AA466" s="18"/>
      <c r="AB466" s="18"/>
      <c r="AC466" s="18"/>
      <c r="AD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c r="AA467" s="18"/>
      <c r="AB467" s="18"/>
      <c r="AC467" s="18"/>
      <c r="AD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c r="AA468" s="18"/>
      <c r="AB468" s="18"/>
      <c r="AC468" s="18"/>
      <c r="AD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c r="AA469" s="18"/>
      <c r="AB469" s="18"/>
      <c r="AC469" s="18"/>
      <c r="AD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c r="AA470" s="18"/>
      <c r="AB470" s="18"/>
      <c r="AC470" s="18"/>
      <c r="AD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c r="AA471" s="18"/>
      <c r="AB471" s="18"/>
      <c r="AC471" s="18"/>
      <c r="AD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c r="AA472" s="18"/>
      <c r="AB472" s="18"/>
      <c r="AC472" s="18"/>
      <c r="AD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c r="AA473" s="18"/>
      <c r="AB473" s="18"/>
      <c r="AC473" s="18"/>
      <c r="AD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c r="AA474" s="18"/>
      <c r="AB474" s="18"/>
      <c r="AC474" s="18"/>
      <c r="AD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c r="AA475" s="18"/>
      <c r="AB475" s="18"/>
      <c r="AC475" s="18"/>
      <c r="AD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c r="AA476" s="18"/>
      <c r="AB476" s="18"/>
      <c r="AC476" s="18"/>
      <c r="AD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c r="AA477" s="18"/>
      <c r="AB477" s="18"/>
      <c r="AC477" s="18"/>
      <c r="AD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c r="AA478" s="18"/>
      <c r="AB478" s="18"/>
      <c r="AC478" s="18"/>
      <c r="AD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c r="AA479" s="18"/>
      <c r="AB479" s="18"/>
      <c r="AC479" s="18"/>
      <c r="AD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c r="AA480" s="18"/>
      <c r="AB480" s="18"/>
      <c r="AC480" s="18"/>
      <c r="AD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c r="AA481" s="18"/>
      <c r="AB481" s="18"/>
      <c r="AC481" s="18"/>
      <c r="AD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c r="AA482" s="18"/>
      <c r="AB482" s="18"/>
      <c r="AC482" s="18"/>
      <c r="AD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c r="AA483" s="18"/>
      <c r="AB483" s="18"/>
      <c r="AC483" s="18"/>
      <c r="AD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c r="AA484" s="18"/>
      <c r="AB484" s="18"/>
      <c r="AC484" s="18"/>
      <c r="AD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c r="AA485" s="18"/>
      <c r="AB485" s="18"/>
      <c r="AC485" s="18"/>
      <c r="AD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c r="AA486" s="18"/>
      <c r="AB486" s="18"/>
      <c r="AC486" s="18"/>
      <c r="AD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c r="AA487" s="18"/>
      <c r="AB487" s="18"/>
      <c r="AC487" s="18"/>
      <c r="AD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c r="AA488" s="18"/>
      <c r="AB488" s="18"/>
      <c r="AC488" s="18"/>
      <c r="AD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c r="AA489" s="18"/>
      <c r="AB489" s="18"/>
      <c r="AC489" s="18"/>
      <c r="AD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c r="AA490" s="18"/>
      <c r="AB490" s="18"/>
      <c r="AC490" s="18"/>
      <c r="AD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c r="AA491" s="18"/>
      <c r="AB491" s="18"/>
      <c r="AC491" s="18"/>
      <c r="AD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c r="AA492" s="18"/>
      <c r="AB492" s="18"/>
      <c r="AC492" s="18"/>
      <c r="AD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c r="AA493" s="18"/>
      <c r="AB493" s="18"/>
      <c r="AC493" s="18"/>
      <c r="AD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c r="AA498" s="18"/>
      <c r="AB498" s="18"/>
      <c r="AC498" s="18"/>
      <c r="AD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c r="AA499" s="18"/>
      <c r="AB499" s="18"/>
      <c r="AC499" s="18"/>
      <c r="AD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c r="AA500" s="18"/>
      <c r="AB500" s="18"/>
      <c r="AC500" s="18"/>
      <c r="AD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c r="AA505" s="18"/>
      <c r="AB505" s="18"/>
      <c r="AC505" s="18"/>
      <c r="AD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c r="AA506" s="18"/>
      <c r="AB506" s="18"/>
      <c r="AC506" s="18"/>
      <c r="AD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c r="AA507" s="18"/>
      <c r="AB507" s="18"/>
      <c r="AC507" s="18"/>
      <c r="AD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c r="AA511" s="18"/>
      <c r="AB511" s="18"/>
      <c r="AC511" s="18"/>
      <c r="AD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c r="AA512" s="18"/>
      <c r="AB512" s="18"/>
      <c r="AC512" s="18"/>
      <c r="AD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c r="AA513" s="18"/>
      <c r="AB513" s="18"/>
      <c r="AC513" s="18"/>
      <c r="AD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c r="AA517" s="18"/>
      <c r="AB517" s="18"/>
      <c r="AC517" s="18"/>
      <c r="AD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c r="AA525" s="18"/>
      <c r="AB525" s="18"/>
      <c r="AC525" s="18"/>
      <c r="AD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c r="AA530" s="18"/>
      <c r="AB530" s="18"/>
      <c r="AC530" s="18"/>
      <c r="AD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c r="AA533" s="18"/>
      <c r="AB533" s="18"/>
      <c r="AC533" s="18"/>
      <c r="AD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c r="AA539" s="18"/>
      <c r="AB539" s="18"/>
      <c r="AC539" s="18"/>
      <c r="AD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c r="AA543" s="18"/>
      <c r="AB543" s="18"/>
      <c r="AC543" s="18"/>
      <c r="AD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c r="AA547" s="18"/>
      <c r="AB547" s="18"/>
      <c r="AC547" s="18"/>
      <c r="AD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c r="AA548" s="18"/>
      <c r="AB548" s="18"/>
      <c r="AC548" s="18"/>
      <c r="AD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c r="AA553" s="18"/>
      <c r="AB553" s="18"/>
      <c r="AC553" s="18"/>
      <c r="AD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c r="AA554" s="18"/>
      <c r="AB554" s="18"/>
      <c r="AC554" s="18"/>
      <c r="AD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c r="AA555" s="18"/>
      <c r="AB555" s="18"/>
      <c r="AC555" s="18"/>
      <c r="AD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c r="AA556" s="18"/>
      <c r="AB556" s="18"/>
      <c r="AC556" s="18"/>
      <c r="AD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c r="AA557" s="18"/>
      <c r="AB557" s="18"/>
      <c r="AC557" s="18"/>
      <c r="AD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c r="AA558" s="18"/>
      <c r="AB558" s="18"/>
      <c r="AC558" s="18"/>
      <c r="AD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c r="AA559" s="18"/>
      <c r="AB559" s="18"/>
      <c r="AC559" s="18"/>
      <c r="AD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c r="AA560" s="18"/>
      <c r="AB560" s="18"/>
      <c r="AC560" s="18"/>
      <c r="AD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c r="AA561" s="18"/>
      <c r="AB561" s="18"/>
      <c r="AC561" s="18"/>
      <c r="AD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c r="AA562" s="18"/>
      <c r="AB562" s="18"/>
      <c r="AC562" s="18"/>
      <c r="AD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c r="AA563" s="18"/>
      <c r="AB563" s="18"/>
      <c r="AC563" s="18"/>
      <c r="AD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c r="AA564" s="18"/>
      <c r="AB564" s="18"/>
      <c r="AC564" s="18"/>
      <c r="AD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c r="AA565" s="18"/>
      <c r="AB565" s="18"/>
      <c r="AC565" s="18"/>
      <c r="AD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c r="AA566" s="18"/>
      <c r="AB566" s="18"/>
      <c r="AC566" s="18"/>
      <c r="AD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c r="AA570" s="18"/>
      <c r="AB570" s="18"/>
      <c r="AC570" s="18"/>
      <c r="AD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c r="AA571" s="18"/>
      <c r="AB571" s="18"/>
      <c r="AC571" s="18"/>
      <c r="AD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c r="AA572" s="18"/>
      <c r="AB572" s="18"/>
      <c r="AC572" s="18"/>
      <c r="AD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c r="AA574" s="18"/>
      <c r="AB574" s="18"/>
      <c r="AC574" s="18"/>
      <c r="AD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c r="AA575" s="18"/>
      <c r="AB575" s="18"/>
      <c r="AC575" s="18"/>
      <c r="AD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c r="AA579" s="18"/>
      <c r="AB579" s="18"/>
      <c r="AC579" s="18"/>
      <c r="AD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c r="AA588" s="18"/>
      <c r="AB588" s="18"/>
      <c r="AC588" s="18"/>
      <c r="AD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c r="AA589" s="18"/>
      <c r="AB589" s="18"/>
      <c r="AC589" s="18"/>
      <c r="AD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c r="AA590" s="18"/>
      <c r="AB590" s="18"/>
      <c r="AC590" s="18"/>
      <c r="AD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c r="AA591" s="18"/>
      <c r="AB591" s="18"/>
      <c r="AC591" s="18"/>
      <c r="AD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c r="AA603" s="18"/>
      <c r="AB603" s="18"/>
      <c r="AC603" s="18"/>
      <c r="AD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c r="AA604" s="18"/>
      <c r="AB604" s="18"/>
      <c r="AC604" s="18"/>
      <c r="AD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c r="AA605" s="18"/>
      <c r="AB605" s="18"/>
      <c r="AC605" s="18"/>
      <c r="AD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c r="AA606" s="18"/>
      <c r="AB606" s="18"/>
      <c r="AC606" s="18"/>
      <c r="AD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c r="AA607" s="18"/>
      <c r="AB607" s="18"/>
      <c r="AC607" s="18"/>
      <c r="AD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c r="AA608" s="18"/>
      <c r="AB608" s="18"/>
      <c r="AC608" s="18"/>
      <c r="AD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c r="AA609" s="18"/>
      <c r="AB609" s="18"/>
      <c r="AC609" s="18"/>
      <c r="AD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c r="AA610" s="18"/>
      <c r="AB610" s="18"/>
      <c r="AC610" s="18"/>
      <c r="AD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c r="AA611" s="18"/>
      <c r="AB611" s="18"/>
      <c r="AC611" s="18"/>
      <c r="AD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c r="AA612" s="18"/>
      <c r="AB612" s="18"/>
      <c r="AC612" s="18"/>
      <c r="AD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c r="AA613" s="18"/>
      <c r="AB613" s="18"/>
      <c r="AC613" s="18"/>
      <c r="AD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c r="AA614" s="18"/>
      <c r="AB614" s="18"/>
      <c r="AC614" s="18"/>
      <c r="AD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c r="AA618" s="18"/>
      <c r="AB618" s="18"/>
      <c r="AC618" s="18"/>
      <c r="AD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c r="AA619" s="18"/>
      <c r="AB619" s="18"/>
      <c r="AC619" s="18"/>
      <c r="AD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c r="AA620" s="18"/>
      <c r="AB620" s="18"/>
      <c r="AC620" s="18"/>
      <c r="AD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c r="AA621" s="18"/>
      <c r="AB621" s="18"/>
      <c r="AC621" s="18"/>
      <c r="AD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c r="AA622" s="18"/>
      <c r="AB622" s="18"/>
      <c r="AC622" s="18"/>
      <c r="AD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c r="AA626" s="18"/>
      <c r="AB626" s="18"/>
      <c r="AC626" s="18"/>
      <c r="AD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c r="AA627" s="18"/>
      <c r="AB627" s="18"/>
      <c r="AC627" s="18"/>
      <c r="AD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c r="AA628" s="18"/>
      <c r="AB628" s="18"/>
      <c r="AC628" s="18"/>
      <c r="AD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c r="AA629" s="18"/>
      <c r="AB629" s="18"/>
      <c r="AC629" s="18"/>
      <c r="AD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c r="AA630" s="18"/>
      <c r="AB630" s="18"/>
      <c r="AC630" s="18"/>
      <c r="AD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c r="AA631" s="18"/>
      <c r="AB631" s="18"/>
      <c r="AC631" s="18"/>
      <c r="AD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c r="AA632" s="18"/>
      <c r="AB632" s="18"/>
      <c r="AC632" s="18"/>
      <c r="AD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c r="AA636" s="18"/>
      <c r="AB636" s="18"/>
      <c r="AC636" s="18"/>
      <c r="AD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c r="AA643" s="18"/>
      <c r="AB643" s="18"/>
      <c r="AC643" s="18"/>
      <c r="AD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c r="AA644" s="18"/>
      <c r="AB644" s="18"/>
      <c r="AC644" s="18"/>
      <c r="AD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c r="AA645" s="18"/>
      <c r="AB645" s="18"/>
      <c r="AC645" s="18"/>
      <c r="AD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c r="AA646" s="18"/>
      <c r="AB646" s="18"/>
      <c r="AC646" s="18"/>
      <c r="AD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c r="AA647" s="18"/>
      <c r="AB647" s="18"/>
      <c r="AC647" s="18"/>
      <c r="AD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c r="AA648" s="18"/>
      <c r="AB648" s="18"/>
      <c r="AC648" s="18"/>
      <c r="AD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c r="AA649" s="18"/>
      <c r="AB649" s="18"/>
      <c r="AC649" s="18"/>
      <c r="AD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c r="AA650" s="18"/>
      <c r="AB650" s="18"/>
      <c r="AC650" s="18"/>
      <c r="AD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c r="AA651" s="18"/>
      <c r="AB651" s="18"/>
      <c r="AC651" s="18"/>
      <c r="AD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c r="AA652" s="18"/>
      <c r="AB652" s="18"/>
      <c r="AC652" s="18"/>
      <c r="AD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c r="AA653" s="18"/>
      <c r="AB653" s="18"/>
      <c r="AC653" s="18"/>
      <c r="AD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c r="AA654" s="18"/>
      <c r="AB654" s="18"/>
      <c r="AC654" s="18"/>
      <c r="AD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c r="AA655" s="18"/>
      <c r="AB655" s="18"/>
      <c r="AC655" s="18"/>
      <c r="AD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c r="AA656" s="18"/>
      <c r="AB656" s="18"/>
      <c r="AC656" s="18"/>
      <c r="AD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c r="AA657" s="18"/>
      <c r="AB657" s="18"/>
      <c r="AC657" s="18"/>
      <c r="AD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c r="AA658" s="18"/>
      <c r="AB658" s="18"/>
      <c r="AC658" s="18"/>
      <c r="AD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c r="AA659" s="18"/>
      <c r="AB659" s="18"/>
      <c r="AC659" s="18"/>
      <c r="AD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c r="AA660" s="18"/>
      <c r="AB660" s="18"/>
      <c r="AC660" s="18"/>
      <c r="AD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c r="AA661" s="18"/>
      <c r="AB661" s="18"/>
      <c r="AC661" s="18"/>
      <c r="AD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c r="AA662" s="18"/>
      <c r="AB662" s="18"/>
      <c r="AC662" s="18"/>
      <c r="AD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c r="AA663" s="18"/>
      <c r="AB663" s="18"/>
      <c r="AC663" s="18"/>
      <c r="AD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c r="AA664" s="18"/>
      <c r="AB664" s="18"/>
      <c r="AC664" s="18"/>
      <c r="AD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c r="AA665" s="18"/>
      <c r="AB665" s="18"/>
      <c r="AC665" s="18"/>
      <c r="AD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c r="AA666" s="18"/>
      <c r="AB666" s="18"/>
      <c r="AC666" s="18"/>
      <c r="AD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c r="AA667" s="18"/>
      <c r="AB667" s="18"/>
      <c r="AC667" s="18"/>
      <c r="AD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c r="AA668" s="18"/>
      <c r="AB668" s="18"/>
      <c r="AC668" s="18"/>
      <c r="AD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c r="AA669" s="18"/>
      <c r="AB669" s="18"/>
      <c r="AC669" s="18"/>
      <c r="AD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c r="AA670" s="18"/>
      <c r="AB670" s="18"/>
      <c r="AC670" s="18"/>
      <c r="AD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c r="AA698" s="18"/>
      <c r="AB698" s="18"/>
      <c r="AC698" s="18"/>
      <c r="AD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c r="AA699" s="18"/>
      <c r="AB699" s="18"/>
      <c r="AC699" s="18"/>
      <c r="AD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c r="AA700" s="18"/>
      <c r="AB700" s="18"/>
      <c r="AC700" s="18"/>
      <c r="AD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c r="AA701" s="18"/>
      <c r="AB701" s="18"/>
      <c r="AC701" s="18"/>
      <c r="AD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c r="AA712" s="18"/>
      <c r="AB712" s="18"/>
      <c r="AC712" s="18"/>
      <c r="AD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c r="AA713" s="18"/>
      <c r="AB713" s="18"/>
      <c r="AC713" s="18"/>
      <c r="AD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c r="AA714" s="18"/>
      <c r="AB714" s="18"/>
      <c r="AC714" s="18"/>
      <c r="AD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c r="AA720" s="18"/>
      <c r="AB720" s="18"/>
      <c r="AC720" s="18"/>
      <c r="AD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c r="AA721" s="18"/>
      <c r="AB721" s="18"/>
      <c r="AC721" s="18"/>
      <c r="AD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c r="AA722" s="18"/>
      <c r="AB722" s="18"/>
      <c r="AC722" s="18"/>
      <c r="AD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c r="AA734" s="18"/>
      <c r="AB734" s="18"/>
      <c r="AC734" s="18"/>
      <c r="AD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c r="AA735" s="18"/>
      <c r="AB735" s="18"/>
      <c r="AC735" s="18"/>
      <c r="AD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c r="AA740" s="18"/>
      <c r="AB740" s="18"/>
      <c r="AC740" s="18"/>
      <c r="AD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c r="AA752" s="18"/>
      <c r="AB752" s="18"/>
      <c r="AC752" s="18"/>
      <c r="AD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c r="AA753" s="18"/>
      <c r="AB753" s="18"/>
      <c r="AC753" s="18"/>
      <c r="AD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c r="AA755" s="18"/>
      <c r="AB755" s="18"/>
      <c r="AC755" s="18"/>
      <c r="AD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c r="AA756" s="18"/>
      <c r="AB756" s="18"/>
      <c r="AC756" s="18"/>
      <c r="AD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c r="AA757" s="18"/>
      <c r="AB757" s="18"/>
      <c r="AC757" s="18"/>
      <c r="AD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c r="AA758" s="18"/>
      <c r="AB758" s="18"/>
      <c r="AC758" s="18"/>
      <c r="AD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c r="AA759" s="18"/>
      <c r="AB759" s="18"/>
      <c r="AC759" s="18"/>
      <c r="AD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c r="AA760" s="18"/>
      <c r="AB760" s="18"/>
      <c r="AC760" s="18"/>
      <c r="AD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c r="AA761" s="18"/>
      <c r="AB761" s="18"/>
      <c r="AC761" s="18"/>
      <c r="AD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c r="AA762" s="18"/>
      <c r="AB762" s="18"/>
      <c r="AC762" s="18"/>
      <c r="AD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c r="AA763" s="18"/>
      <c r="AB763" s="18"/>
      <c r="AC763" s="18"/>
      <c r="AD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c r="AA764" s="18"/>
      <c r="AB764" s="18"/>
      <c r="AC764" s="18"/>
      <c r="AD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c r="AA765" s="18"/>
      <c r="AB765" s="18"/>
      <c r="AC765" s="18"/>
      <c r="AD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c r="AA766" s="18"/>
      <c r="AB766" s="18"/>
      <c r="AC766" s="18"/>
      <c r="AD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c r="AA767" s="18"/>
      <c r="AB767" s="18"/>
      <c r="AC767" s="18"/>
      <c r="AD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c r="AA768" s="18"/>
      <c r="AB768" s="18"/>
      <c r="AC768" s="18"/>
      <c r="AD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c r="AA769" s="18"/>
      <c r="AB769" s="18"/>
      <c r="AC769" s="18"/>
      <c r="AD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c r="AA770" s="18"/>
      <c r="AB770" s="18"/>
      <c r="AC770" s="18"/>
      <c r="AD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c r="AA771" s="18"/>
      <c r="AB771" s="18"/>
      <c r="AC771" s="18"/>
      <c r="AD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c r="AA772" s="18"/>
      <c r="AB772" s="18"/>
      <c r="AC772" s="18"/>
      <c r="AD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c r="AA773" s="18"/>
      <c r="AB773" s="18"/>
      <c r="AC773" s="18"/>
      <c r="AD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c r="AA774" s="18"/>
      <c r="AB774" s="18"/>
      <c r="AC774" s="18"/>
      <c r="AD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c r="AA775" s="18"/>
      <c r="AB775" s="18"/>
      <c r="AC775" s="18"/>
      <c r="AD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c r="AA776" s="18"/>
      <c r="AB776" s="18"/>
      <c r="AC776" s="18"/>
      <c r="AD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c r="AA777" s="18"/>
      <c r="AB777" s="18"/>
      <c r="AC777" s="18"/>
      <c r="AD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c r="AA778" s="18"/>
      <c r="AB778" s="18"/>
      <c r="AC778" s="18"/>
      <c r="AD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c r="AA779" s="18"/>
      <c r="AB779" s="18"/>
      <c r="AC779" s="18"/>
      <c r="AD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c r="AA780" s="18"/>
      <c r="AB780" s="18"/>
      <c r="AC780" s="18"/>
      <c r="AD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c r="AA781" s="18"/>
      <c r="AB781" s="18"/>
      <c r="AC781" s="18"/>
      <c r="AD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c r="AA782" s="18"/>
      <c r="AB782" s="18"/>
      <c r="AC782" s="18"/>
      <c r="AD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c r="AA783" s="18"/>
      <c r="AB783" s="18"/>
      <c r="AC783" s="18"/>
      <c r="AD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c r="AA784" s="18"/>
      <c r="AB784" s="18"/>
      <c r="AC784" s="18"/>
      <c r="AD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c r="AA785" s="18"/>
      <c r="AB785" s="18"/>
      <c r="AC785" s="18"/>
      <c r="AD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c r="AA786" s="18"/>
      <c r="AB786" s="18"/>
      <c r="AC786" s="18"/>
      <c r="AD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c r="AA787" s="18"/>
      <c r="AB787" s="18"/>
      <c r="AC787" s="18"/>
      <c r="AD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c r="AA788" s="18"/>
      <c r="AB788" s="18"/>
      <c r="AC788" s="18"/>
      <c r="AD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c r="AA789" s="18"/>
      <c r="AB789" s="18"/>
      <c r="AC789" s="18"/>
      <c r="AD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c r="AA790" s="18"/>
      <c r="AB790" s="18"/>
      <c r="AC790" s="18"/>
      <c r="AD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c r="AA791" s="18"/>
      <c r="AB791" s="18"/>
      <c r="AC791" s="18"/>
      <c r="AD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c r="AA792" s="18"/>
      <c r="AB792" s="18"/>
      <c r="AC792" s="18"/>
      <c r="AD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c r="AA793" s="18"/>
      <c r="AB793" s="18"/>
      <c r="AC793" s="18"/>
      <c r="AD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c r="AA794" s="18"/>
      <c r="AB794" s="18"/>
      <c r="AC794" s="18"/>
      <c r="AD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c r="AA795" s="18"/>
      <c r="AB795" s="18"/>
      <c r="AC795" s="18"/>
      <c r="AD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c r="AA796" s="18"/>
      <c r="AB796" s="18"/>
      <c r="AC796" s="18"/>
      <c r="AD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c r="AA797" s="18"/>
      <c r="AB797" s="18"/>
      <c r="AC797" s="18"/>
      <c r="AD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c r="AA798" s="18"/>
      <c r="AB798" s="18"/>
      <c r="AC798" s="18"/>
      <c r="AD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c r="AA799" s="18"/>
      <c r="AB799" s="18"/>
      <c r="AC799" s="18"/>
      <c r="AD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c r="AA800" s="18"/>
      <c r="AB800" s="18"/>
      <c r="AC800" s="18"/>
      <c r="AD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c r="AA801" s="18"/>
      <c r="AB801" s="18"/>
      <c r="AC801" s="18"/>
      <c r="AD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c r="AA802" s="18"/>
      <c r="AB802" s="18"/>
      <c r="AC802" s="18"/>
      <c r="AD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c r="AA803" s="18"/>
      <c r="AB803" s="18"/>
      <c r="AC803" s="18"/>
      <c r="AD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c r="AA804" s="18"/>
      <c r="AB804" s="18"/>
      <c r="AC804" s="18"/>
      <c r="AD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c r="AA805" s="18"/>
      <c r="AB805" s="18"/>
      <c r="AC805" s="18"/>
      <c r="AD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c r="AA806" s="18"/>
      <c r="AB806" s="18"/>
      <c r="AC806" s="18"/>
      <c r="AD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c r="AA807" s="18"/>
      <c r="AB807" s="18"/>
      <c r="AC807" s="18"/>
      <c r="AD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c r="AA808" s="18"/>
      <c r="AB808" s="18"/>
      <c r="AC808" s="18"/>
      <c r="AD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c r="AA809" s="18"/>
      <c r="AB809" s="18"/>
      <c r="AC809" s="18"/>
      <c r="AD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c r="AA810" s="18"/>
      <c r="AB810" s="18"/>
      <c r="AC810" s="18"/>
      <c r="AD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c r="AA811" s="18"/>
      <c r="AB811" s="18"/>
      <c r="AC811" s="18"/>
      <c r="AD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c r="AA812" s="18"/>
      <c r="AB812" s="18"/>
      <c r="AC812" s="18"/>
      <c r="AD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c r="AA813" s="18"/>
      <c r="AB813" s="18"/>
      <c r="AC813" s="18"/>
      <c r="AD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c r="AA814" s="18"/>
      <c r="AB814" s="18"/>
      <c r="AC814" s="18"/>
      <c r="AD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c r="AA815" s="18"/>
      <c r="AB815" s="18"/>
      <c r="AC815" s="18"/>
      <c r="AD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c r="AA816" s="18"/>
      <c r="AB816" s="18"/>
      <c r="AC816" s="18"/>
      <c r="AD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c r="AA817" s="18"/>
      <c r="AB817" s="18"/>
      <c r="AC817" s="18"/>
      <c r="AD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c r="AA818" s="18"/>
      <c r="AB818" s="18"/>
      <c r="AC818" s="18"/>
      <c r="AD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c r="AA819" s="18"/>
      <c r="AB819" s="18"/>
      <c r="AC819" s="18"/>
      <c r="AD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c r="AA820" s="18"/>
      <c r="AB820" s="18"/>
      <c r="AC820" s="18"/>
      <c r="AD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c r="AA821" s="18"/>
      <c r="AB821" s="18"/>
      <c r="AC821" s="18"/>
      <c r="AD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c r="AA822" s="18"/>
      <c r="AB822" s="18"/>
      <c r="AC822" s="18"/>
      <c r="AD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c r="AA823" s="18"/>
      <c r="AB823" s="18"/>
      <c r="AC823" s="18"/>
      <c r="AD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c r="AA824" s="18"/>
      <c r="AB824" s="18"/>
      <c r="AC824" s="18"/>
      <c r="AD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c r="AA825" s="18"/>
      <c r="AB825" s="18"/>
      <c r="AC825" s="18"/>
      <c r="AD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c r="AA826" s="18"/>
      <c r="AB826" s="18"/>
      <c r="AC826" s="18"/>
      <c r="AD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c r="AA827" s="18"/>
      <c r="AB827" s="18"/>
      <c r="AC827" s="18"/>
      <c r="AD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c r="AA828" s="18"/>
      <c r="AB828" s="18"/>
      <c r="AC828" s="18"/>
      <c r="AD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c r="AA829" s="18"/>
      <c r="AB829" s="18"/>
      <c r="AC829" s="18"/>
      <c r="AD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c r="AA830" s="18"/>
      <c r="AB830" s="18"/>
      <c r="AC830" s="18"/>
      <c r="AD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c r="AA831" s="18"/>
      <c r="AB831" s="18"/>
      <c r="AC831" s="18"/>
      <c r="AD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c r="AA832" s="18"/>
      <c r="AB832" s="18"/>
      <c r="AC832" s="18"/>
      <c r="AD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c r="AA833" s="18"/>
      <c r="AB833" s="18"/>
      <c r="AC833" s="18"/>
      <c r="AD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c r="AA834" s="18"/>
      <c r="AB834" s="18"/>
      <c r="AC834" s="18"/>
      <c r="AD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c r="AA835" s="18"/>
      <c r="AB835" s="18"/>
      <c r="AC835" s="18"/>
      <c r="AD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c r="AA836" s="18"/>
      <c r="AB836" s="18"/>
      <c r="AC836" s="18"/>
      <c r="AD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c r="AA837" s="18"/>
      <c r="AB837" s="18"/>
      <c r="AC837" s="18"/>
      <c r="AD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c r="AA838" s="18"/>
      <c r="AB838" s="18"/>
      <c r="AC838" s="18"/>
      <c r="AD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c r="AA839" s="18"/>
      <c r="AB839" s="18"/>
      <c r="AC839" s="18"/>
      <c r="AD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c r="AA840" s="18"/>
      <c r="AB840" s="18"/>
      <c r="AC840" s="18"/>
      <c r="AD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c r="AA841" s="18"/>
      <c r="AB841" s="18"/>
      <c r="AC841" s="18"/>
      <c r="AD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c r="AA842" s="18"/>
      <c r="AB842" s="18"/>
      <c r="AC842" s="18"/>
      <c r="AD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c r="AA843" s="18"/>
      <c r="AB843" s="18"/>
      <c r="AC843" s="18"/>
      <c r="AD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c r="AA844" s="18"/>
      <c r="AB844" s="18"/>
      <c r="AC844" s="18"/>
      <c r="AD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c r="AA845" s="18"/>
      <c r="AB845" s="18"/>
      <c r="AC845" s="18"/>
      <c r="AD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c r="AA846" s="18"/>
      <c r="AB846" s="18"/>
      <c r="AC846" s="18"/>
      <c r="AD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c r="AA847" s="18"/>
      <c r="AB847" s="18"/>
      <c r="AC847" s="18"/>
      <c r="AD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c r="AA848" s="18"/>
      <c r="AB848" s="18"/>
      <c r="AC848" s="18"/>
      <c r="AD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c r="AA849" s="18"/>
      <c r="AB849" s="18"/>
      <c r="AC849" s="18"/>
      <c r="AD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c r="AA850" s="18"/>
      <c r="AB850" s="18"/>
      <c r="AC850" s="18"/>
      <c r="AD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c r="AA851" s="18"/>
      <c r="AB851" s="18"/>
      <c r="AC851" s="18"/>
      <c r="AD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c r="AA852" s="18"/>
      <c r="AB852" s="18"/>
      <c r="AC852" s="18"/>
      <c r="AD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c r="AA853" s="18"/>
      <c r="AB853" s="18"/>
      <c r="AC853" s="18"/>
      <c r="AD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c r="AA854" s="18"/>
      <c r="AB854" s="18"/>
      <c r="AC854" s="18"/>
      <c r="AD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c r="AA855" s="18"/>
      <c r="AB855" s="18"/>
      <c r="AC855" s="18"/>
      <c r="AD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c r="AA856" s="18"/>
      <c r="AB856" s="18"/>
      <c r="AC856" s="18"/>
      <c r="AD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c r="AA857" s="18"/>
      <c r="AB857" s="18"/>
      <c r="AC857" s="18"/>
      <c r="AD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c r="AA858" s="18"/>
      <c r="AB858" s="18"/>
      <c r="AC858" s="18"/>
      <c r="AD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c r="AA859" s="18"/>
      <c r="AB859" s="18"/>
      <c r="AC859" s="18"/>
      <c r="AD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c r="AA860" s="18"/>
      <c r="AB860" s="18"/>
      <c r="AC860" s="18"/>
      <c r="AD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c r="AA861" s="18"/>
      <c r="AB861" s="18"/>
      <c r="AC861" s="18"/>
      <c r="AD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c r="AA862" s="18"/>
      <c r="AB862" s="18"/>
      <c r="AC862" s="18"/>
      <c r="AD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c r="AA863" s="18"/>
      <c r="AB863" s="18"/>
      <c r="AC863" s="18"/>
      <c r="AD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c r="AA864" s="18"/>
      <c r="AB864" s="18"/>
      <c r="AC864" s="18"/>
      <c r="AD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c r="AA865" s="18"/>
      <c r="AB865" s="18"/>
      <c r="AC865" s="18"/>
      <c r="AD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c r="AA866" s="18"/>
      <c r="AB866" s="18"/>
      <c r="AC866" s="18"/>
      <c r="AD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c r="AA867" s="18"/>
      <c r="AB867" s="18"/>
      <c r="AC867" s="18"/>
      <c r="AD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c r="AA868" s="18"/>
      <c r="AB868" s="18"/>
      <c r="AC868" s="18"/>
      <c r="AD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c r="AA869" s="18"/>
      <c r="AB869" s="18"/>
      <c r="AC869" s="18"/>
      <c r="AD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c r="AA870" s="18"/>
      <c r="AB870" s="18"/>
      <c r="AC870" s="18"/>
      <c r="AD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c r="AA871" s="18"/>
      <c r="AB871" s="18"/>
      <c r="AC871" s="18"/>
      <c r="AD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c r="AA872" s="18"/>
      <c r="AB872" s="18"/>
      <c r="AC872" s="18"/>
      <c r="AD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c r="AA873" s="18"/>
      <c r="AB873" s="18"/>
      <c r="AC873" s="18"/>
      <c r="AD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c r="AA874" s="18"/>
      <c r="AB874" s="18"/>
      <c r="AC874" s="18"/>
      <c r="AD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c r="AA875" s="18"/>
      <c r="AB875" s="18"/>
      <c r="AC875" s="18"/>
      <c r="AD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c r="AA876" s="18"/>
      <c r="AB876" s="18"/>
      <c r="AC876" s="18"/>
      <c r="AD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c r="AA877" s="18"/>
      <c r="AB877" s="18"/>
      <c r="AC877" s="18"/>
      <c r="AD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c r="AA878" s="18"/>
      <c r="AB878" s="18"/>
      <c r="AC878" s="18"/>
      <c r="AD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c r="AA879" s="18"/>
      <c r="AB879" s="18"/>
      <c r="AC879" s="18"/>
      <c r="AD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c r="AA880" s="18"/>
      <c r="AB880" s="18"/>
      <c r="AC880" s="18"/>
      <c r="AD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c r="AA881" s="18"/>
      <c r="AB881" s="18"/>
      <c r="AC881" s="18"/>
      <c r="AD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c r="AA882" s="18"/>
      <c r="AB882" s="18"/>
      <c r="AC882" s="18"/>
      <c r="AD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c r="AA883" s="18"/>
      <c r="AB883" s="18"/>
      <c r="AC883" s="18"/>
      <c r="AD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c r="AA884" s="18"/>
      <c r="AB884" s="18"/>
      <c r="AC884" s="18"/>
      <c r="AD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c r="AA885" s="18"/>
      <c r="AB885" s="18"/>
      <c r="AC885" s="18"/>
      <c r="AD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c r="AA886" s="18"/>
      <c r="AB886" s="18"/>
      <c r="AC886" s="18"/>
      <c r="AD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c r="AA887" s="18"/>
      <c r="AB887" s="18"/>
      <c r="AC887" s="18"/>
      <c r="AD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c r="AA888" s="18"/>
      <c r="AB888" s="18"/>
      <c r="AC888" s="18"/>
      <c r="AD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c r="AA889" s="18"/>
      <c r="AB889" s="18"/>
      <c r="AC889" s="18"/>
      <c r="AD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c r="AA890" s="18"/>
      <c r="AB890" s="18"/>
      <c r="AC890" s="18"/>
      <c r="AD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c r="AA891" s="18"/>
      <c r="AB891" s="18"/>
      <c r="AC891" s="18"/>
      <c r="AD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c r="AA892" s="18"/>
      <c r="AB892" s="18"/>
      <c r="AC892" s="18"/>
      <c r="AD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c r="AA893" s="18"/>
      <c r="AB893" s="18"/>
      <c r="AC893" s="18"/>
      <c r="AD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c r="AA894" s="18"/>
      <c r="AB894" s="18"/>
      <c r="AC894" s="18"/>
      <c r="AD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c r="AA895" s="18"/>
      <c r="AB895" s="18"/>
      <c r="AC895" s="18"/>
      <c r="AD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c r="AA896" s="18"/>
      <c r="AB896" s="18"/>
      <c r="AC896" s="18"/>
      <c r="AD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c r="AA897" s="18"/>
      <c r="AB897" s="18"/>
      <c r="AC897" s="18"/>
      <c r="AD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c r="AA898" s="18"/>
      <c r="AB898" s="18"/>
      <c r="AC898" s="18"/>
      <c r="AD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c r="AA899" s="18"/>
      <c r="AB899" s="18"/>
      <c r="AC899" s="18"/>
      <c r="AD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c r="AA900" s="18"/>
      <c r="AB900" s="18"/>
      <c r="AC900" s="18"/>
      <c r="AD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c r="AA901" s="18"/>
      <c r="AB901" s="18"/>
      <c r="AC901" s="18"/>
      <c r="AD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c r="AA902" s="18"/>
      <c r="AB902" s="18"/>
      <c r="AC902" s="18"/>
      <c r="AD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c r="AA903" s="18"/>
      <c r="AB903" s="18"/>
      <c r="AC903" s="18"/>
      <c r="AD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c r="AA904" s="18"/>
      <c r="AB904" s="18"/>
      <c r="AC904" s="18"/>
      <c r="AD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c r="AA905" s="18"/>
      <c r="AB905" s="18"/>
      <c r="AC905" s="18"/>
      <c r="AD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c r="AA906" s="18"/>
      <c r="AB906" s="18"/>
      <c r="AC906" s="18"/>
      <c r="AD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c r="AA907" s="18"/>
      <c r="AB907" s="18"/>
      <c r="AC907" s="18"/>
      <c r="AD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c r="AA908" s="18"/>
      <c r="AB908" s="18"/>
      <c r="AC908" s="18"/>
      <c r="AD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c r="AA909" s="18"/>
      <c r="AB909" s="18"/>
      <c r="AC909" s="18"/>
      <c r="AD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c r="AA910" s="18"/>
      <c r="AB910" s="18"/>
      <c r="AC910" s="18"/>
      <c r="AD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c r="AA911" s="18"/>
      <c r="AB911" s="18"/>
      <c r="AC911" s="18"/>
      <c r="AD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c r="AA912" s="18"/>
      <c r="AB912" s="18"/>
      <c r="AC912" s="18"/>
      <c r="AD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c r="AA913" s="18"/>
      <c r="AB913" s="18"/>
      <c r="AC913" s="18"/>
      <c r="AD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c r="AA914" s="18"/>
      <c r="AB914" s="18"/>
      <c r="AC914" s="18"/>
      <c r="AD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c r="AA915" s="18"/>
      <c r="AB915" s="18"/>
      <c r="AC915" s="18"/>
      <c r="AD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c r="AA916" s="18"/>
      <c r="AB916" s="18"/>
      <c r="AC916" s="18"/>
      <c r="AD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c r="AA917" s="18"/>
      <c r="AB917" s="18"/>
      <c r="AC917" s="18"/>
      <c r="AD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c r="AA918" s="18"/>
      <c r="AB918" s="18"/>
      <c r="AC918" s="18"/>
      <c r="AD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c r="AA919" s="18"/>
      <c r="AB919" s="18"/>
      <c r="AC919" s="18"/>
      <c r="AD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c r="AA920" s="18"/>
      <c r="AB920" s="18"/>
      <c r="AC920" s="18"/>
      <c r="AD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c r="AA921" s="18"/>
      <c r="AB921" s="18"/>
      <c r="AC921" s="18"/>
      <c r="AD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c r="AA922" s="18"/>
      <c r="AB922" s="18"/>
      <c r="AC922" s="18"/>
      <c r="AD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c r="AA923" s="18"/>
      <c r="AB923" s="18"/>
      <c r="AC923" s="18"/>
      <c r="AD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c r="AA924" s="18"/>
      <c r="AB924" s="18"/>
      <c r="AC924" s="18"/>
      <c r="AD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c r="AA925" s="18"/>
      <c r="AB925" s="18"/>
      <c r="AC925" s="18"/>
      <c r="AD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c r="AA926" s="18"/>
      <c r="AB926" s="18"/>
      <c r="AC926" s="18"/>
      <c r="AD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c r="AA927" s="18"/>
      <c r="AB927" s="18"/>
      <c r="AC927" s="18"/>
      <c r="AD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c r="AA928" s="18"/>
      <c r="AB928" s="18"/>
      <c r="AC928" s="18"/>
      <c r="AD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c r="AA929" s="18"/>
      <c r="AB929" s="18"/>
      <c r="AC929" s="18"/>
      <c r="AD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c r="AA930" s="18"/>
      <c r="AB930" s="18"/>
      <c r="AC930" s="18"/>
      <c r="AD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c r="AA931" s="18"/>
      <c r="AB931" s="18"/>
      <c r="AC931" s="18"/>
      <c r="AD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c r="AA932" s="18"/>
      <c r="AB932" s="18"/>
      <c r="AC932" s="18"/>
      <c r="AD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c r="AA933" s="18"/>
      <c r="AB933" s="18"/>
      <c r="AC933" s="18"/>
      <c r="AD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c r="AA934" s="18"/>
      <c r="AB934" s="18"/>
      <c r="AC934" s="18"/>
      <c r="AD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c r="AA935" s="18"/>
      <c r="AB935" s="18"/>
      <c r="AC935" s="18"/>
      <c r="AD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c r="AA936" s="18"/>
      <c r="AB936" s="18"/>
      <c r="AC936" s="18"/>
      <c r="AD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c r="AA937" s="18"/>
      <c r="AB937" s="18"/>
      <c r="AC937" s="18"/>
      <c r="AD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c r="AA938" s="18"/>
      <c r="AB938" s="18"/>
      <c r="AC938" s="18"/>
      <c r="AD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c r="AA939" s="18"/>
      <c r="AB939" s="18"/>
      <c r="AC939" s="18"/>
      <c r="AD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c r="AA940" s="18"/>
      <c r="AB940" s="18"/>
      <c r="AC940" s="18"/>
      <c r="AD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c r="AA941" s="18"/>
      <c r="AB941" s="18"/>
      <c r="AC941" s="18"/>
      <c r="AD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c r="AA942" s="18"/>
      <c r="AB942" s="18"/>
      <c r="AC942" s="18"/>
      <c r="AD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c r="AA943" s="18"/>
      <c r="AB943" s="18"/>
      <c r="AC943" s="18"/>
      <c r="AD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c r="AA944" s="18"/>
      <c r="AB944" s="18"/>
      <c r="AC944" s="18"/>
      <c r="AD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c r="AA945" s="18"/>
      <c r="AB945" s="18"/>
      <c r="AC945" s="18"/>
      <c r="AD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c r="AA946" s="18"/>
      <c r="AB946" s="18"/>
      <c r="AC946" s="18"/>
      <c r="AD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c r="AA947" s="18"/>
      <c r="AB947" s="18"/>
      <c r="AC947" s="18"/>
      <c r="AD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c r="AA948" s="18"/>
      <c r="AB948" s="18"/>
      <c r="AC948" s="18"/>
      <c r="AD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c r="AA949" s="18"/>
      <c r="AB949" s="18"/>
      <c r="AC949" s="18"/>
      <c r="AD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c r="AA950" s="18"/>
      <c r="AB950" s="18"/>
      <c r="AC950" s="18"/>
      <c r="AD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c r="AA951" s="18"/>
      <c r="AB951" s="18"/>
      <c r="AC951" s="18"/>
      <c r="AD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c r="AA952" s="18"/>
      <c r="AB952" s="18"/>
      <c r="AC952" s="18"/>
      <c r="AD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c r="AA953" s="18"/>
      <c r="AB953" s="18"/>
      <c r="AC953" s="18"/>
      <c r="AD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c r="AA954" s="18"/>
      <c r="AB954" s="18"/>
      <c r="AC954" s="18"/>
      <c r="AD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c r="AA955" s="18"/>
      <c r="AB955" s="18"/>
      <c r="AC955" s="18"/>
      <c r="AD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c r="AA956" s="18"/>
      <c r="AB956" s="18"/>
      <c r="AC956" s="18"/>
      <c r="AD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c r="AA957" s="18"/>
      <c r="AB957" s="18"/>
      <c r="AC957" s="18"/>
      <c r="AD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c r="AA958" s="18"/>
      <c r="AB958" s="18"/>
      <c r="AC958" s="18"/>
      <c r="AD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c r="AA959" s="18"/>
      <c r="AB959" s="18"/>
      <c r="AC959" s="18"/>
      <c r="AD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c r="AA960" s="18"/>
      <c r="AB960" s="18"/>
      <c r="AC960" s="18"/>
      <c r="AD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c r="AA961" s="18"/>
      <c r="AB961" s="18"/>
      <c r="AC961" s="18"/>
      <c r="AD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c r="AA962" s="18"/>
      <c r="AB962" s="18"/>
      <c r="AC962" s="18"/>
      <c r="AD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c r="AA963" s="18"/>
      <c r="AB963" s="18"/>
      <c r="AC963" s="18"/>
      <c r="AD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c r="AA964" s="18"/>
      <c r="AB964" s="18"/>
      <c r="AC964" s="18"/>
      <c r="AD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c r="AA965" s="18"/>
      <c r="AB965" s="18"/>
      <c r="AC965" s="18"/>
      <c r="AD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c r="AA966" s="18"/>
      <c r="AB966" s="18"/>
      <c r="AC966" s="18"/>
      <c r="AD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c r="AA967" s="18"/>
      <c r="AB967" s="18"/>
      <c r="AC967" s="18"/>
      <c r="AD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c r="AA968" s="18"/>
      <c r="AB968" s="18"/>
      <c r="AC968" s="18"/>
      <c r="AD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c r="AA969" s="18"/>
      <c r="AB969" s="18"/>
      <c r="AC969" s="18"/>
      <c r="AD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c r="AA970" s="18"/>
      <c r="AB970" s="18"/>
      <c r="AC970" s="18"/>
      <c r="AD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c r="AA971" s="18"/>
      <c r="AB971" s="18"/>
      <c r="AC971" s="18"/>
      <c r="AD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c r="AA972" s="18"/>
      <c r="AB972" s="18"/>
      <c r="AC972" s="18"/>
      <c r="AD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c r="AA973" s="18"/>
      <c r="AB973" s="18"/>
      <c r="AC973" s="18"/>
      <c r="AD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c r="AA974" s="18"/>
      <c r="AB974" s="18"/>
      <c r="AC974" s="18"/>
      <c r="AD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c r="AA975" s="18"/>
      <c r="AB975" s="18"/>
      <c r="AC975" s="18"/>
      <c r="AD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c r="AA976" s="18"/>
      <c r="AB976" s="18"/>
      <c r="AC976" s="18"/>
      <c r="AD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c r="AA977" s="18"/>
      <c r="AB977" s="18"/>
      <c r="AC977" s="18"/>
      <c r="AD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c r="AA978" s="18"/>
      <c r="AB978" s="18"/>
      <c r="AC978" s="18"/>
      <c r="AD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c r="AA979" s="18"/>
      <c r="AB979" s="18"/>
      <c r="AC979" s="18"/>
      <c r="AD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c r="AA980" s="18"/>
      <c r="AB980" s="18"/>
      <c r="AC980" s="18"/>
      <c r="AD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c r="AA981" s="18"/>
      <c r="AB981" s="18"/>
      <c r="AC981" s="18"/>
      <c r="AD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c r="AA982" s="18"/>
      <c r="AB982" s="18"/>
      <c r="AC982" s="18"/>
      <c r="AD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c r="AA983" s="18"/>
      <c r="AB983" s="18"/>
      <c r="AC983" s="18"/>
      <c r="AD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c r="AA984" s="18"/>
      <c r="AB984" s="18"/>
      <c r="AC984" s="18"/>
      <c r="AD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c r="AA985" s="18"/>
      <c r="AB985" s="18"/>
      <c r="AC985" s="18"/>
      <c r="AD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c r="AA986" s="18"/>
      <c r="AB986" s="18"/>
      <c r="AC986" s="18"/>
      <c r="AD986" s="18"/>
    </row>
  </sheetData>
  <drawing r:id="rId1"/>
  <tableParts count="1">
    <tablePart r:id="rId3"/>
  </tableParts>
</worksheet>
</file>