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7 Colors" sheetId="1" r:id="rId5"/>
  </sheets>
  <definedNames/>
  <calcPr/>
</workbook>
</file>

<file path=xl/sharedStrings.xml><?xml version="1.0" encoding="utf-8"?>
<sst xmlns="http://schemas.openxmlformats.org/spreadsheetml/2006/main" count="106" uniqueCount="72">
  <si>
    <t>Product Code</t>
  </si>
  <si>
    <t>Name</t>
  </si>
  <si>
    <t>Product type</t>
  </si>
  <si>
    <t>Categories</t>
  </si>
  <si>
    <t>Status</t>
  </si>
  <si>
    <t>AI Product description</t>
  </si>
  <si>
    <t>Product description</t>
  </si>
  <si>
    <t>AI Product short description</t>
  </si>
  <si>
    <t>Product short description</t>
  </si>
  <si>
    <t>Product image</t>
  </si>
  <si>
    <t>Product gallery</t>
  </si>
  <si>
    <t>SKU Code</t>
  </si>
  <si>
    <t>Specification</t>
  </si>
  <si>
    <t>AI Labels</t>
  </si>
  <si>
    <t>Labels</t>
  </si>
  <si>
    <t>AI Features</t>
  </si>
  <si>
    <t>Features</t>
  </si>
  <si>
    <t>AI Attributes</t>
  </si>
  <si>
    <t>Attributes</t>
  </si>
  <si>
    <t xml:space="preserve">AI Options and Constraints </t>
  </si>
  <si>
    <t>Options and Constraints</t>
  </si>
  <si>
    <t>Options</t>
  </si>
  <si>
    <t>Constraints</t>
  </si>
  <si>
    <t>SKU Mappings</t>
  </si>
  <si>
    <t>Supplier Name</t>
  </si>
  <si>
    <t>Supplier Code</t>
  </si>
  <si>
    <t>Datasheet</t>
  </si>
  <si>
    <t>Stocked Item</t>
  </si>
  <si>
    <t>AI Meta Keywords</t>
  </si>
  <si>
    <t>Meta Keywords</t>
  </si>
  <si>
    <t>GL001</t>
  </si>
  <si>
    <t>Garden Light</t>
  </si>
  <si>
    <t>simple</t>
  </si>
  <si>
    <t>draft</t>
  </si>
  <si>
    <t>Transform your outdoor spaces into a breathtaking visual journey with a perfect blend of elegance and modern design. This premium lighting solution offers seamless integration into your pathways, casting a warm, sophisticated glow that effortlessly guides the way while enhancing the natural beauty of your architecture. Crafted for those who appreciate refined detail and discreet luxury, it adds an unparalleled touch of ambiance, warmth, and captivating security to any setting, making it the ultimate choice for elevated architectural illumination.</t>
  </si>
  <si>
    <t>Transform your outdoor space into an enchanting oasis. Enjoy discreet luxury and a warm, inviting glow that effortlessly elevates the natural beauty of your home.</t>
  </si>
  <si>
    <t>7W | Warm White | 12V/24V | AC/DC | IP67 | Black</t>
  </si>
  <si>
    <t>Power|Light Color|Voltage|Current Type|IP Rating|Finish</t>
  </si>
  <si>
    <t>{"Power": "7W", "Light Color": "Warm White", "Voltage": "12V/24V", "Current Type": "AC/DC", "IP Rating": "IP67", "Finish": "Black", "SKU": "GL001"}</t>
  </si>
  <si>
    <t>{"Options": {"Power": [{"name": "7W", "id": "101"}], "Light Color": [{"name": "Warm White", "id": "102"}], "Voltage": [{"name": "12V/24V", "id": "103"}], "Current Type": [{"name": "AC/DC", "id": "104"}], "IP Rating": [{"name": "IP67", "id": "105"}], "Finish": [{"name": "Black", "id": "106"}]}, "Constraints": {}, "sku_mappings": [{"sku": "GL001", "combination": ["101", "102", "103", "104", "105", "106"]}]}</t>
  </si>
  <si>
    <t>CHINA - 7 Colors Co Ltd</t>
  </si>
  <si>
    <t>SC-J103A</t>
  </si>
  <si>
    <t>Yes</t>
  </si>
  <si>
    <t>Garden Light, Outdoor Pathway Lighting, Low Voltage Landscape Light, IP67 Waterproof Lamp, Warm White LED, Architectural Illumination</t>
  </si>
  <si>
    <t>GL003</t>
  </si>
  <si>
    <t>Transform your outdoor spaces into a breathtaking visual journey. Experience discreet luxury and a sophisticated glow that beautifully enhances your home.</t>
  </si>
  <si>
    <t>12W | Warm White | 12V/24V | AC/DC | IP67 | Black</t>
  </si>
  <si>
    <t>{"Power": "12W", "Light Color": "Warm White", "Voltage": "12V/24V", "Current Type": "AC/DC", "IP Rating": "IP67", "Finish": "Black", "SKU": "GL003"}</t>
  </si>
  <si>
    <t>{"Options": {"Power": [{"name": "12W", "id": "101"}], "Light Color": [{"name": "Warm White", "id": "102"}], "Voltage": [{"name": "12V/24V", "id": "103"}], "Current Type": [{"name": "AC/DC", "id": "104"}], "IP Rating": [{"name": "IP67", "id": "105"}], "Finish": [{"name": "Black", "id": "106"}]}, "Constraints": {}, "sku_mappings": [{"sku": "GL003", "combination": ["101", "102", "103", "104", "105", "106"]}]}</t>
  </si>
  <si>
    <t>Garden Light, Pathway Lighting, 12W Outdoor Light, IP67 Waterproof, Warm White LED, Landscape Illumination</t>
  </si>
  <si>
    <t>GL005</t>
  </si>
  <si>
    <t>3W | Warm White | 12V/24V | AC/DC | IP67 | Black</t>
  </si>
  <si>
    <t>{"Power": "3W", "Light Color": "Warm White", "Voltage": "12V/24V", "Current Type": "AC/DC", "IP Rating": "IP67", "Finish": "Black", "SKU": "GL005"}</t>
  </si>
  <si>
    <t>{"Options": {"Power": [{"name": "3W", "id": "101"}], "Light Color": [{"name": "Warm White", "id": "102"}], "Voltage": [{"name": "12V/24V", "id": "103"}], "Current Type": [{"name": "AC/DC", "id": "104"}], "IP Rating": [{"name": "IP67", "id": "105"}], "Finish": [{"name": "Black", "id": "106"}]}, "Constraints": {}, "sku_mappings": [{"sku": "GL005", "combination": ["101", "102", "103", "104", "105", "106"]}]}</t>
  </si>
  <si>
    <t>SC-J101A</t>
  </si>
  <si>
    <t>Garden Light, 3W LED, Outdoor Lighting, Pathway Light, IP67 Waterproof, Landscape Lighting</t>
  </si>
  <si>
    <t>PL001</t>
  </si>
  <si>
    <t>Pool Light</t>
  </si>
  <si>
    <t>Dive into an enchanting oasis of light and luxury with our premium pool illumination solution. Designed to effortlessly elevate your outdoor experience, it bathes your aquatic retreat in a warm, sophisticated radiance that creates an unparalleled ambiance. Perfect for those with a discerning eye for discreet elegance and refined architectural detail, this lighting masterpiece transforms ordinary evenings into a breathtaking visual journey, adding both captivating allure and a profound sense of serenity to your home.</t>
  </si>
  <si>
    <t>Dive into an enchanting oasis of light and luxury. Elevate your pool into a sophisticated, glowing retreat, adding breathtaking allure and serene ambiance to every evening.</t>
  </si>
  <si>
    <t>7W | 3000K | 12V | IP68</t>
  </si>
  <si>
    <t>Power|Color Temperature|Voltage|IP Rating</t>
  </si>
  <si>
    <t>{"Power": "7W", "Color Temperature": "3000K", "Voltage": "12V", "IP Rating": "IP68", "SKU": "PL001"}</t>
  </si>
  <si>
    <t>{"Power": "7W", "Color Temperature": ["3000K", "6000K"], "Voltage": "12V", "IP Rating": "IP68", "SKU": ["PL001", "PL002"]}</t>
  </si>
  <si>
    <t>{"Options": {"Power": [{"name": "7W", "id": "101"}], "Color Temperature": [{"name": "3000K", "id": "102"}, {"name": "6000K", "id": "103"}], "Voltage": [{"name": "12V", "id": "104"}], "IP Rating": [{"name": "IP68", "id": "105"}]}, "Constraints": {}, "sku_mappings": [{"sku": "PL001", "combination": ["101", "102", "104", "105"]}, {"sku": "PL002", "combination": ["101", "103", "104", "105"]}]}</t>
  </si>
  <si>
    <t>SC-G101A</t>
  </si>
  <si>
    <t>No</t>
  </si>
  <si>
    <t>pool light, underwater lighting, IP68 waterproof, 3000K warm white, low voltage LED, aquatic illumination</t>
  </si>
  <si>
    <t>PL002</t>
  </si>
  <si>
    <t>7W | 6000K | 12V | IP68</t>
  </si>
  <si>
    <t>{
"Power": "7W",
"Color Temperature": "6000K",
"Voltage": "12V",
"IP Rating": "IP68",
"SKU": "PL002"
}</t>
  </si>
  <si>
    <t>pool light, 6000k, ip68 waterproof, 7w led, 12v lighting, aquatic light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</si>
</sst>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0.0"/>
      <color rgb="FF434343"/>
      <name val="DM Sans"/>
    </font>
    <font>
      <b/>
      <sz val="10.0"/>
      <color rgb="FFFFFFFF"/>
      <name val="DM Sans"/>
    </font>
    <font>
      <b/>
      <color theme="1"/>
      <name val="DM Sans"/>
    </font>
    <font>
      <sz val="10.0"/>
      <color rgb="FF434343"/>
      <name val="DM Sans"/>
    </font>
    <font>
      <color theme="1"/>
      <name val="DM Sans"/>
    </font>
  </fonts>
  <fills count="10">
    <fill>
      <patternFill patternType="none"/>
    </fill>
    <fill>
      <patternFill patternType="lightGray"/>
    </fill>
    <fill>
      <patternFill patternType="solid">
        <fgColor rgb="FFFFD966"/>
        <bgColor rgb="FFFFD966"/>
      </patternFill>
    </fill>
    <fill>
      <patternFill patternType="solid">
        <fgColor rgb="FF93C47D"/>
        <bgColor rgb="FF93C47D"/>
      </patternFill>
    </fill>
    <fill>
      <patternFill patternType="solid">
        <fgColor rgb="FF9900FF"/>
        <bgColor rgb="FF9900FF"/>
      </patternFill>
    </fill>
    <fill>
      <patternFill patternType="solid">
        <fgColor rgb="FF1155CC"/>
        <bgColor rgb="FF1155CC"/>
      </patternFill>
    </fill>
    <fill>
      <patternFill patternType="solid">
        <fgColor rgb="FFD9EAD3"/>
        <bgColor rgb="FFD9EAD3"/>
      </patternFill>
    </fill>
    <fill>
      <patternFill patternType="solid">
        <fgColor rgb="FFD9D2E9"/>
        <bgColor rgb="FFD9D2E9"/>
      </patternFill>
    </fill>
    <fill>
      <patternFill patternType="solid">
        <fgColor rgb="FFC9DAF8"/>
        <bgColor rgb="FFC9DAF8"/>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3" fontId="1" numFmtId="0" xfId="0" applyAlignment="1" applyBorder="1" applyFill="1" applyFont="1">
      <alignment horizontal="center" readingOrder="0" shrinkToFit="0" vertical="center" wrapText="1"/>
    </xf>
    <xf borderId="1" fillId="4" fontId="2" numFmtId="0" xfId="0" applyAlignment="1" applyBorder="1" applyFill="1" applyFont="1">
      <alignment horizontal="center" readingOrder="0" vertical="center"/>
    </xf>
    <xf borderId="1" fillId="4" fontId="2" numFmtId="0" xfId="0" applyAlignment="1" applyBorder="1" applyFill="1" applyFont="1">
      <alignment horizontal="center" readingOrder="0" shrinkToFit="0" vertical="center" wrapText="1"/>
    </xf>
    <xf borderId="1" fillId="5" fontId="1" numFmtId="0" xfId="0" applyAlignment="1" applyBorder="1" applyFill="1" applyFont="1">
      <alignment horizontal="center" readingOrder="0" shrinkToFit="0" vertical="center" wrapText="1"/>
    </xf>
    <xf borderId="1" fillId="5" fontId="2" numFmtId="0" xfId="0" applyAlignment="1" applyBorder="1" applyFill="1" applyFont="1">
      <alignment horizontal="center" readingOrder="0" shrinkToFit="0" vertical="center" wrapText="1"/>
    </xf>
    <xf borderId="1" fillId="3" fontId="3" numFmtId="0" xfId="0" applyAlignment="1" applyBorder="1" applyFill="1" applyFont="1">
      <alignment horizontal="center" shrinkToFit="0" vertical="bottom" wrapText="1"/>
    </xf>
    <xf borderId="1" fillId="2" fontId="3" numFmtId="0" xfId="0" applyAlignment="1" applyBorder="1" applyFill="1" applyFont="1">
      <alignment horizontal="center" shrinkToFit="0" vertical="bottom" wrapText="1"/>
    </xf>
    <xf borderId="1" fillId="0" fontId="4" numFmtId="0" xfId="0" applyAlignment="1" applyBorder="1" applyFont="1">
      <alignment readingOrder="0" shrinkToFit="0" vertical="center" wrapText="1"/>
    </xf>
    <xf borderId="1" fillId="0" fontId="4" numFmtId="0" xfId="0" applyAlignment="1" applyBorder="1" applyFont="1">
      <alignment readingOrder="0" shrinkToFit="0" vertical="center" wrapText="1"/>
    </xf>
    <xf borderId="1" fillId="6" fontId="4" numFmtId="0" xfId="0" applyAlignment="1" applyBorder="1" applyFill="1" applyFont="1">
      <alignment readingOrder="0" shrinkToFit="0" vertical="center" wrapText="1"/>
    </xf>
    <xf borderId="1" fillId="7" fontId="4" numFmtId="0" xfId="0" applyAlignment="1" applyBorder="1" applyFill="1" applyFont="1">
      <alignment readingOrder="0" shrinkToFit="0" vertical="center" wrapText="1"/>
    </xf>
    <xf borderId="1" fillId="6" fontId="4" numFmtId="0" xfId="0" applyAlignment="1" applyBorder="1" applyFill="1" applyFont="1">
      <alignment shrinkToFit="0" vertical="center" wrapText="1"/>
    </xf>
    <xf borderId="1" fillId="8" fontId="4" numFmtId="0" xfId="0" applyAlignment="1" applyBorder="1" applyFill="1" applyFont="1">
      <alignment shrinkToFit="0" vertical="center" wrapText="1"/>
    </xf>
    <xf borderId="1" fillId="6" fontId="4" numFmtId="0" xfId="0" applyAlignment="1" applyBorder="1" applyFill="1" applyFont="1">
      <alignment readingOrder="0" shrinkToFit="0" vertical="center" wrapText="1"/>
    </xf>
    <xf borderId="1" fillId="8" fontId="4" numFmtId="0" xfId="0" applyAlignment="1" applyBorder="1" applyFill="1" applyFont="1">
      <alignment readingOrder="0" shrinkToFit="0" vertical="center" wrapText="1"/>
    </xf>
    <xf borderId="1" fillId="9" fontId="4" numFmtId="0" xfId="0" applyAlignment="1" applyBorder="1" applyFill="1" applyFont="1">
      <alignment shrinkToFit="0" wrapText="1"/>
    </xf>
    <xf borderId="1" fillId="0" fontId="4" numFmtId="0" xfId="0" applyAlignment="1" applyBorder="1" applyFont="1">
      <alignment shrinkToFit="0" vertical="center" wrapText="1"/>
    </xf>
    <xf borderId="1" fillId="9" fontId="5" numFmtId="0" xfId="0" applyAlignment="1" applyBorder="1" applyFill="1" applyFont="1">
      <alignment shrinkToFit="0"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1">
    <tableStyle count="2" pivot="0" name="7 Color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2:AA6" displayName="Table_1" name="Table_1"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7 Color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4.0"/>
    <col customWidth="1" min="2" max="2" width="14.13"/>
    <col customWidth="1" min="3" max="3" width="11.75"/>
    <col customWidth="1" min="4" max="4" width="12.5"/>
    <col customWidth="1" min="5" max="5" width="6.38"/>
    <col customWidth="1" min="6" max="9" width="50.13"/>
    <col customWidth="1" min="10" max="11" width="28.75"/>
    <col customWidth="1" min="12" max="12" width="9.0"/>
    <col customWidth="1" min="13" max="13" width="43.25"/>
    <col customWidth="1" min="14" max="14" width="44.63"/>
    <col customWidth="1" min="15" max="15" width="46.13"/>
    <col customWidth="1" min="16" max="27" width="50.13"/>
  </cols>
  <sheetData>
    <row r="1">
      <c r="A1" s="1" t="s">
        <v>0</v>
      </c>
      <c r="B1" s="1" t="s">
        <v>1</v>
      </c>
      <c r="C1" s="1" t="s">
        <v>2</v>
      </c>
      <c r="D1" s="1" t="s">
        <v>3</v>
      </c>
      <c r="E1" s="1" t="s">
        <v>4</v>
      </c>
      <c r="F1" s="2" t="s">
        <v>5</v>
      </c>
      <c r="G1" s="1" t="s">
        <v>6</v>
      </c>
      <c r="H1" s="2" t="s">
        <v>7</v>
      </c>
      <c r="I1" s="1" t="s">
        <v>8</v>
      </c>
      <c r="J1" s="1" t="s">
        <v>9</v>
      </c>
      <c r="K1" s="1" t="s">
        <v>10</v>
      </c>
      <c r="L1" s="3" t="s">
        <v>11</v>
      </c>
      <c r="M1" s="4" t="s">
        <v>12</v>
      </c>
      <c r="N1" s="2" t="s">
        <v>13</v>
      </c>
      <c r="O1" s="5" t="s">
        <v>14</v>
      </c>
      <c r="P1" s="2" t="s">
        <v>15</v>
      </c>
      <c r="Q1" s="6" t="s">
        <v>16</v>
      </c>
      <c r="R1" s="2" t="s">
        <v>17</v>
      </c>
      <c r="S1" s="1" t="s">
        <v>18</v>
      </c>
      <c r="T1" s="2" t="s">
        <v>19</v>
      </c>
      <c r="U1" s="6" t="s">
        <v>20</v>
      </c>
      <c r="V1" s="1" t="s">
        <v>21</v>
      </c>
      <c r="W1" s="1" t="s">
        <v>22</v>
      </c>
      <c r="X1" s="1" t="s">
        <v>23</v>
      </c>
      <c r="Y1" s="1" t="s">
        <v>24</v>
      </c>
      <c r="Z1" s="1" t="s">
        <v>25</v>
      </c>
      <c r="AA1" s="1" t="s">
        <v>26</v>
      </c>
      <c r="AB1" s="1" t="s">
        <v>27</v>
      </c>
      <c r="AC1" s="7" t="s">
        <v>28</v>
      </c>
      <c r="AD1" s="8" t="s">
        <v>29</v>
      </c>
    </row>
    <row r="2" ht="37.5" customHeight="1">
      <c r="A2" s="9" t="s">
        <v>30</v>
      </c>
      <c r="B2" s="9" t="s">
        <v>31</v>
      </c>
      <c r="C2" s="10" t="s">
        <v>32</v>
      </c>
      <c r="D2" s="10" t="s">
        <v>31</v>
      </c>
      <c r="E2" s="10" t="s">
        <v>33</v>
      </c>
      <c r="F2" s="11" t="str">
        <f>IFERROR(__xludf.DUMMYFUNCTION("AI(""Give me a paragraph marketing spiel for this product, no tech specs just marketing fluff "")"),"Transform your outdoor spaces into a breathtaking visual journey with a perfect blend of elegance and modern design. This premium lighting solution offers seamless integration into your pathways, casting a warm, sophisticated glow that effortlessly guides"&amp;" the way while enhancing the natural beauty of your architecture. Crafted for those who appreciate refined detail and discreet luxury, it adds an unparalleled touch of ambiance, warmth, and captivating security to any setting, making it the ultimate choic"&amp;"e for elevated architectural illumination.")</f>
        <v>Transform your outdoor spaces into a breathtaking visual journey with a perfect blend of elegance and modern design. This premium lighting solution offers seamless integration into your pathways, casting a warm, sophisticated glow that effortlessly guides the way while enhancing the natural beauty of your architecture. Crafted for those who appreciate refined detail and discreet luxury, it adds an unparalleled touch of ambiance, warmth, and captivating security to any setting, making it the ultimate choice for elevated architectural illumination.</v>
      </c>
      <c r="G2" s="10" t="s">
        <v>34</v>
      </c>
      <c r="H2" s="11" t="str">
        <f>IFERROR(__xludf.DUMMYFUNCTION("AI(""Give me a paragraph marketing spiel for this product, no tech specs just marketing fluff under 180 characters "")"),"Transform your outdoor space into an enchanting oasis. Enjoy discreet luxury and a warm, inviting glow that effortlessly elevates the natural beauty of your home.")</f>
        <v>Transform your outdoor space into an enchanting oasis. Enjoy discreet luxury and a warm, inviting glow that effortlessly elevates the natural beauty of your home.</v>
      </c>
      <c r="I2" s="10" t="s">
        <v>35</v>
      </c>
      <c r="J2" s="10"/>
      <c r="K2" s="10"/>
      <c r="L2" s="12" t="s">
        <v>30</v>
      </c>
      <c r="M2" s="12" t="s">
        <v>36</v>
      </c>
      <c r="N2" s="13"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 Color Temperature (Example 3000K)
- Voltage (Example 20V, 12V/24V)
- Current Type (Example AC/DC)
- IP Rating (Example IP67, IP68)
- Impact Strength (Example IK10)
- Opt"&amp;"ics (Example SYS30°)
- Finish (Example Black)
### STRICT OUTPUT RULES
1. Output ONLY the corresponding labels mentioned above separated by pipes ('|'). 
2. Do not include the values in your output.
3. Do not include any conversational text, introductory "&amp;"remarks, or markdown formatting blocks.
4. The number of labels in your output must exactly match the number of values provided in the input.
---
### FEW-SHOT EXAMPLES
#### Example 1 (Standard Neon Strip)
Input: 1.2W | SYM 30° | 3000K | IP67 | IK10
Out"&amp;"put: Power|Optics|Color Temperature|IP Rating|Impact Strength
Input: 7W | Warm White | 12V/24V | AC/DC | IP67 | Black
Output: Power | Light Color | Current Type | IP Rating | Finish
---
### YOUR TASK
Generate output for the values text ""&amp;M2)"),"Power|Light Color|Voltage|Current Type|IP Rating|Finish")</f>
        <v>Power|Light Color|Voltage|Current Type|IP Rating|Finish</v>
      </c>
      <c r="O2" s="14" t="s">
        <v>37</v>
      </c>
      <c r="P2" s="13"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""&amp;O2&amp;"", Values: ""&amp;M2&amp; "" and SKU Code: ""&amp;L2"&amp;")"),"{""Power"": ""7W"", ""Light Color"": ""Warm White"", ""Voltage"": ""12V/24V"", ""Current Type"": ""AC/DC"", ""IP Rating"": ""IP67"", ""Finish"": ""Black"", ""SKU"": ""GL001""}")</f>
        <v>{"Power": "7W", "Light Color": "Warm White", "Voltage": "12V/24V", "Current Type": "AC/DC", "IP Rating": "IP67", "Finish": "Black", "SKU": "GL001"}</v>
      </c>
      <c r="Q2" s="14" t="s">
        <v>38</v>
      </c>
      <c r="R2" s="11"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Q2)"),"{""Power"": ""7W"", ""Light Color"": ""Warm White"", ""Voltage"": ""12V/24V"", ""Current Type"": ""AC/DC"", ""IP Rating"": ""IP67"", ""Finish"": ""Black"", ""SKU"": ""GL001""}")</f>
        <v>{"Power": "7W", "Light Color": "Warm White", "Voltage": "12V/24V", "Current Type": "AC/DC", "IP Rating": "IP67", "Finish": "Black", "SKU": "GL001"}</v>
      </c>
      <c r="S2" s="15" t="s">
        <v>38</v>
      </c>
      <c r="T2" s="11"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Color Temperature, IP Rating, Impact Strength).
   - Assign a unique sequential integer string ID to every attribute value, starting from """"101"""" and increme"&amp;"nting by 1 in the order they appear.
   - Format each attribute as an array of objects: `[{""""name"""": """"VALUE"""", """"id"""": """"ID""""}]`.
2. **Determine Constraints (Incompatibilities):**
   - Identify attribute pairs that are impossible or miss"&amp;"ing from the valid combinations.
   - Specifically, map an ID of an Option Value to an array of Option Value IDs that **cannot** be selected with it.
   - Output constraints in the format: `""""OPTION_ID"""": [INCOMPATIBLE_OPTION_ID]`.
   - Only list mean"&amp;"ingful non-empty constraints. Express constraints using the primary driving factor (e.g., optic limitation over CCT).
3. **Determine sku_mappings:**
   - Identify the valid combination and create a array with sku and combination containing array of optio"&amp;"ns ID
4. **Output Format:**
   - Return strictly valid JSON containing two root keys: """"Options"""", """"Constraints"""" and """"sku_mappings"""".
   - Do not wrap the JSON in conversational filler text.
---
### Example Input:
{""""SKU"""":""""HRS00"&amp;"1"""", """"Power"""": """"1.2W"""", """"Optics"""": """"SYM30°"""", """"Color Temperature"""": """"3000K"""", """"IP Rating"""": """"IP67"""", """"Impact Strength"""": """"IK10""""}
{""""SKU"""":""""HRS002"""", """"Power"""": """"1.2W"""", """"Optics"""":"&amp;" """"SYM30°"""", """"Color Temperature"""": """"4000K"""", """"IP Rating"""": """"IP67"""", """"Impact Strength"""": """"IK10""""}
{""""SKU"""":""""HRS003"""", """"Power"""": """"1.2W"""", """"Optics"""": """"SYM60°"""", """"Color Temperature"""": """"300"&amp;"0K"""", """"IP Rating"""": """"IP67"""", """"Impact Strength"""": """"IK10""""}
{""""SKU"""":""""HRS004"""", """"Power"""": """"1.2W"""", """"Optics"""": """"SYM60°"""", """"Color Temperature"""": """"4000K"""", """"IP Rating"""": """"IP67"""", """"Impact"&amp;" Strength"""": """"IK10""""}
{""""SKU"""":""""HRS005"""", """"Power"""": """"1.2W"""", """"Optics"""": """"ASYM50°"""", """"Color Temperature"""": """"3000K"""", """"IP Rating"""": """"IP67"""", """"Impact Strength"""": """"IK10""""}
### Example Output:
"&amp;"{
  """"Options"""": {
    """"Power"""": [
      {""""name"""": """"1.2W"""", """"id"""": """"101""""}
    ],
    """"Optics"""": [
      {""""name"""": """"SYM30°"""", """"id"""": """"102""""},
      {""""name"""": """"SYM60°"""", """"id"""": """"103"""&amp;"""},
      {""""name"""": """"ASYM50°"""", """"id"""": """"104""""}
    ],
    """"Color Temperature"""": [
      {""""name"""": """"3000K"""", """"id"""": """"105""""},
      {""""name"""": """"4000K"""", """"id"""": """"106""""}
    ],
    """"IP Rating"&amp;""""": [
      {""""name"""": """"IP67"""", """"id"""": """"107""""}
    ],
    """"Impact Strength"""": [
      {""""name"""": """"IK10"""", """"id"""": """"108""""}
    ]
  },
  """"Constraints"""": {
    """"104"""": [106]
  },
""""sku_mappings"""": [
 "&amp;"     { """"sku"""": """"HRS001"""", """"combination"""": [""""101"""", """"102"""", """"105"""", """"107"""", """"108""""] },
      { """"sku"""": """"HRS002"""", """"combination"""": [""""101"""", """"102"""", """"106"""", """"107"""", """"108""""] },
  "&amp;"    { """"sku"""": """"HRS003"""", """"combination"""": [""""101"""", """"103"""", """"105"""", """"107"""", """"108""""] },
      { """"sku"""": """"HRS004"""", """"combination"""": [""""101"""", """"103"""", """"106"""", """"107"""", """"108""""] },
   "&amp;"   { """"sku"""": """"HRS005"""", """"combination"""": [""""101"""", """"104"""", """"105"""", """"107"""", """"108""""] },
      { """"sku"""": """"HRS006"""", """"combination"""": [""""101"""", """"104"""", """"106"""", """"107"""", """"108""""] }
    ]"&amp;"
}
Process the following product variant combinations and output the """"Options"""", """"Constraints"""" and """"sku_mappings"""" JSON:"", Q2)"),"{""Options"": {""Power"": [{""name"": ""7W"", ""id"": ""101""}], ""Light Color"": [{""name"": ""Warm White"", ""id"": ""102""}], ""Voltage"": [{""name"": ""12V/24V"", ""id"": ""103""}], ""Current Type"": [{""name"": ""AC/DC"", ""id"": ""104""}], ""IP Rati"&amp;"ng"": [{""name"": ""IP67"", ""id"": ""105""}], ""Finish"": [{""name"": ""Black"", ""id"": ""106""}]}, ""Constraints"": {}, ""sku_mappings"": [{""sku"": ""GL001"", ""combination"": [""101"", ""102"", ""103"", ""104"", ""105"", ""106""]}]}")</f>
        <v>{"Options": {"Power": [{"name": "7W", "id": "101"}], "Light Color": [{"name": "Warm White", "id": "102"}], "Voltage": [{"name": "12V/24V", "id": "103"}], "Current Type": [{"name": "AC/DC", "id": "104"}], "IP Rating": [{"name": "IP67", "id": "105"}], "Finish": [{"name": "Black", "id": "106"}]}, "Constraints": {}, "sku_mappings": [{"sku": "GL001", "combination": ["101", "102", "103", "104", "105", "106"]}]}</v>
      </c>
      <c r="U2" s="16" t="s">
        <v>39</v>
      </c>
      <c r="V2" s="17" t="str">
        <f>IFERROR(__xludf.DUMMYFUNCTION("AI(""Extract options object from the json"", U2)"),"{""Power"": [{""name"": ""7W"", ""id"": ""101""}], ""Light Color"": [{""name"": ""Warm White"", ""id"": ""102""}], ""Voltage"": [{""name"": ""12V/24V"", ""id"": ""103""}], ""Current Type"": [{""name"": ""AC/DC"", ""id"": ""104""}], ""IP Rating"": [{""name"&amp;""": ""IP67"", ""id"": ""105""}], ""Finish"": [{""name"": ""Black"", ""id"": ""106""}]}")</f>
        <v>{"Power": [{"name": "7W", "id": "101"}], "Light Color": [{"name": "Warm White", "id": "102"}], "Voltage": [{"name": "12V/24V", "id": "103"}], "Current Type": [{"name": "AC/DC", "id": "104"}], "IP Rating": [{"name": "IP67", "id": "105"}], "Finish": [{"name": "Black", "id": "106"}]}</v>
      </c>
      <c r="W2" s="17" t="str">
        <f>IFERROR(__xludf.DUMMYFUNCTION("AI(""Extract constraints object from the json"", U2)"),"{}")</f>
        <v>{}</v>
      </c>
      <c r="X2" s="17" t="str">
        <f>IFERROR(__xludf.DUMMYFUNCTION("AI(""Extract sku_mappings object from the json"", U2)"),"[{""sku"": ""GL001"", ""combination"": [""101"", ""102"", ""103"", ""104"", ""105"", ""106""]}]")</f>
        <v>[{"sku": "GL001", "combination": ["101", "102", "103", "104", "105", "106"]}]</v>
      </c>
      <c r="Y2" s="15" t="s">
        <v>40</v>
      </c>
      <c r="Z2" s="15" t="s">
        <v>41</v>
      </c>
      <c r="AA2" s="15" t="s">
        <v>42</v>
      </c>
      <c r="AB2" s="18"/>
      <c r="AC2" s="19" t="str">
        <f>IFERROR(__xludf.DUMMYFUNCTION("AI(""Generate 6 powerful unique keywords for the product in this row"")"),"Garden Light, Outdoor Pathway Lighting, Low Voltage Landscape Light, IP67 Waterproof Lamp, Warm White LED, Architectural Illumination")</f>
        <v>Garden Light, Outdoor Pathway Lighting, Low Voltage Landscape Light, IP67 Waterproof Lamp, Warm White LED, Architectural Illumination</v>
      </c>
      <c r="AD2" s="18" t="s">
        <v>43</v>
      </c>
    </row>
    <row r="3" ht="37.5" customHeight="1">
      <c r="A3" s="9" t="s">
        <v>44</v>
      </c>
      <c r="B3" s="9" t="s">
        <v>31</v>
      </c>
      <c r="C3" s="10" t="s">
        <v>32</v>
      </c>
      <c r="D3" s="10" t="s">
        <v>31</v>
      </c>
      <c r="E3" s="10" t="s">
        <v>33</v>
      </c>
      <c r="F3" s="11" t="str">
        <f>IFERROR(__xludf.DUMMYFUNCTION("AI(""Give me a paragraph marketing spiel for this product, no tech specs just marketing fluff "")"),"Transform your outdoor spaces into a breathtaking visual journey with a perfect blend of elegance and modern design. This premium lighting solution offers seamless integration into your pathways, casting a warm, sophisticated glow that effortlessly guides"&amp;" the way while enhancing the natural beauty of your architecture. Crafted for those who appreciate refined detail and discreet luxury, it adds an unparalleled touch of ambiance, warmth, and captivating security to any setting, making it the ultimate choic"&amp;"e for elevated architectural illumination.")</f>
        <v>Transform your outdoor spaces into a breathtaking visual journey with a perfect blend of elegance and modern design. This premium lighting solution offers seamless integration into your pathways, casting a warm, sophisticated glow that effortlessly guides the way while enhancing the natural beauty of your architecture. Crafted for those who appreciate refined detail and discreet luxury, it adds an unparalleled touch of ambiance, warmth, and captivating security to any setting, making it the ultimate choice for elevated architectural illumination.</v>
      </c>
      <c r="G3" s="10" t="s">
        <v>34</v>
      </c>
      <c r="H3" s="11" t="str">
        <f>IFERROR(__xludf.DUMMYFUNCTION("AI(""Give me a paragraph marketing spiel for this product, no tech specs just marketing fluff under 180 characters "")"),"Transform your outdoor spaces into a breathtaking visual journey. Experience discreet luxury and a sophisticated glow that beautifully enhances your home.")</f>
        <v>Transform your outdoor spaces into a breathtaking visual journey. Experience discreet luxury and a sophisticated glow that beautifully enhances your home.</v>
      </c>
      <c r="I3" s="10" t="s">
        <v>45</v>
      </c>
      <c r="J3" s="10"/>
      <c r="K3" s="10"/>
      <c r="L3" s="12" t="s">
        <v>44</v>
      </c>
      <c r="M3" s="12" t="s">
        <v>46</v>
      </c>
      <c r="N3" s="13"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 Color Temperature (Example 3000K)
- Voltage (Example 20V, 12V/24V)
- Current Type (Example AC/DC)
- IP Rating (Example IP67, IP68)
- Impact Strength (Example IK10)
- Opt"&amp;"ics (Example SYS30°)
- Finish (Example Black)
### STRICT OUTPUT RULES
1. Output ONLY the corresponding labels mentioned above separated by pipes ('|'). 
2. Do not include the values in your output.
3. Do not include any conversational text, introductory "&amp;"remarks, or markdown formatting blocks.
4. The number of labels in your output must exactly match the number of values provided in the input.
---
### FEW-SHOT EXAMPLES
#### Example 1 (Standard Neon Strip)
Input: 1.2W | SYM 30° | 3000K | IP67 | IK10
Out"&amp;"put: Power|Optics|Color Temperature|IP Rating|Impact Strength
Input: 7W | Warm White | 12V/24V | AC/DC | IP67 | Black
Output: Power | Light Color | Current Type | IP Rating | Finish
---
### YOUR TASK
Generate output for the values text ""&amp;M3)"),"Power|Light Color|Voltage|Current Type|IP Rating|Finish")</f>
        <v>Power|Light Color|Voltage|Current Type|IP Rating|Finish</v>
      </c>
      <c r="O3" s="14" t="s">
        <v>37</v>
      </c>
      <c r="P3" s="13"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""&amp;O3&amp;"", Values: ""&amp;M3&amp; "" and SKU Code: ""&amp;L3"&amp;")"),"{""Power"": ""12W"", ""Light Color"": ""Warm White"", ""Voltage"": ""12V/24V"", ""Current Type"": ""AC/DC"", ""IP Rating"": ""IP67"", ""Finish"": ""Black"", ""SKU"": ""GL003""}")</f>
        <v>{"Power": "12W", "Light Color": "Warm White", "Voltage": "12V/24V", "Current Type": "AC/DC", "IP Rating": "IP67", "Finish": "Black", "SKU": "GL003"}</v>
      </c>
      <c r="Q3" s="14" t="s">
        <v>47</v>
      </c>
      <c r="R3" s="11"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Q3)"),"{""Power"": ""12W"", ""Light Color"": ""Warm White"", ""Voltage"": ""12V/24V"", ""Current Type"": ""AC/DC"", ""IP Rating"": ""IP67"", ""Finish"": ""Black"", ""SKU"": ""GL003""}")</f>
        <v>{"Power": "12W", "Light Color": "Warm White", "Voltage": "12V/24V", "Current Type": "AC/DC", "IP Rating": "IP67", "Finish": "Black", "SKU": "GL003"}</v>
      </c>
      <c r="S3" s="15" t="s">
        <v>47</v>
      </c>
      <c r="T3" s="11"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Color Temperature, IP Rating, Impact Strength).
   - Assign a unique sequential integer string ID to every attribute value, starting from """"101"""" and increme"&amp;"nting by 1 in the order they appear.
   - Format each attribute as an array of objects: `[{""""name"""": """"VALUE"""", """"id"""": """"ID""""}]`.
2. **Determine Constraints (Incompatibilities):**
   - Identify attribute pairs that are impossible or miss"&amp;"ing from the valid combinations.
   - Specifically, map an ID of an Option Value to an array of Option Value IDs that **cannot** be selected with it.
   - Output constraints in the format: `""""OPTION_ID"""": [INCOMPATIBLE_OPTION_ID]`.
   - Only list mean"&amp;"ingful non-empty constraints. Express constraints using the primary driving factor (e.g., optic limitation over CCT).
3. **Determine sku_mappings:**
   - Identify the valid combination and create a array with sku and combination containing array of optio"&amp;"ns ID
4. **Output Format:**
   - Return strictly valid JSON containing two root keys: """"Options"""", """"Constraints"""" and """"sku_mappings"""".
   - Do not wrap the JSON in conversational filler text.
---
### Example Input:
{""""SKU"""":""""HRS00"&amp;"1"""", """"Power"""": """"1.2W"""", """"Optics"""": """"SYM30°"""", """"Color Temperature"""": """"3000K"""", """"IP Rating"""": """"IP67"""", """"Impact Strength"""": """"IK10""""}
{""""SKU"""":""""HRS002"""", """"Power"""": """"1.2W"""", """"Optics"""":"&amp;" """"SYM30°"""", """"Color Temperature"""": """"4000K"""", """"IP Rating"""": """"IP67"""", """"Impact Strength"""": """"IK10""""}
{""""SKU"""":""""HRS003"""", """"Power"""": """"1.2W"""", """"Optics"""": """"SYM60°"""", """"Color Temperature"""": """"300"&amp;"0K"""", """"IP Rating"""": """"IP67"""", """"Impact Strength"""": """"IK10""""}
{""""SKU"""":""""HRS004"""", """"Power"""": """"1.2W"""", """"Optics"""": """"SYM60°"""", """"Color Temperature"""": """"4000K"""", """"IP Rating"""": """"IP67"""", """"Impact"&amp;" Strength"""": """"IK10""""}
{""""SKU"""":""""HRS005"""", """"Power"""": """"1.2W"""", """"Optics"""": """"ASYM50°"""", """"Color Temperature"""": """"3000K"""", """"IP Rating"""": """"IP67"""", """"Impact Strength"""": """"IK10""""}
### Example Output:
"&amp;"{
  """"Options"""": {
    """"Power"""": [
      {""""name"""": """"1.2W"""", """"id"""": """"101""""}
    ],
    """"Optics"""": [
      {""""name"""": """"SYM30°"""", """"id"""": """"102""""},
      {""""name"""": """"SYM60°"""", """"id"""": """"103"""&amp;"""},
      {""""name"""": """"ASYM50°"""", """"id"""": """"104""""}
    ],
    """"Color Temperature"""": [
      {""""name"""": """"3000K"""", """"id"""": """"105""""},
      {""""name"""": """"4000K"""", """"id"""": """"106""""}
    ],
    """"IP Rating"&amp;""""": [
      {""""name"""": """"IP67"""", """"id"""": """"107""""}
    ],
    """"Impact Strength"""": [
      {""""name"""": """"IK10"""", """"id"""": """"108""""}
    ]
  },
  """"Constraints"""": {
    """"104"""": [106]
  },
""""sku_mappings"""": [
 "&amp;"     { """"sku"""": """"HRS001"""", """"combination"""": [""""101"""", """"102"""", """"105"""", """"107"""", """"108""""] },
      { """"sku"""": """"HRS002"""", """"combination"""": [""""101"""", """"102"""", """"106"""", """"107"""", """"108""""] },
  "&amp;"    { """"sku"""": """"HRS003"""", """"combination"""": [""""101"""", """"103"""", """"105"""", """"107"""", """"108""""] },
      { """"sku"""": """"HRS004"""", """"combination"""": [""""101"""", """"103"""", """"106"""", """"107"""", """"108""""] },
   "&amp;"   { """"sku"""": """"HRS005"""", """"combination"""": [""""101"""", """"104"""", """"105"""", """"107"""", """"108""""] },
      { """"sku"""": """"HRS006"""", """"combination"""": [""""101"""", """"104"""", """"106"""", """"107"""", """"108""""] }
    ]"&amp;"
}
Process the following product variant combinations and output the """"Options"""", """"Constraints"""" and """"sku_mappings"""" JSON:"", Q3)"),"{""Options"": {""Power"": [{""name"": ""12W"", ""id"": ""101""}], ""Light Color"": [{""name"": ""Warm White"", ""id"": ""102""}], ""Voltage"": [{""name"": ""12V/24V"", ""id"": ""103""}], ""Current Type"": [{""name"": ""AC/DC"", ""id"": ""104""}], ""IP Rat"&amp;"ing"": [{""name"": ""IP67"", ""id"": ""105""}], ""Finish"": [{""name"": ""Black"", ""id"": ""106""}]}, ""Constraints"": {}, ""sku_mappings"": [{""sku"": ""GL003"", ""combination"": [""101"", ""102"", ""103"", ""104"", ""105"", ""106""]}]}")</f>
        <v>{"Options": {"Power": [{"name": "12W", "id": "101"}], "Light Color": [{"name": "Warm White", "id": "102"}], "Voltage": [{"name": "12V/24V", "id": "103"}], "Current Type": [{"name": "AC/DC", "id": "104"}], "IP Rating": [{"name": "IP67", "id": "105"}], "Finish": [{"name": "Black", "id": "106"}]}, "Constraints": {}, "sku_mappings": [{"sku": "GL003", "combination": ["101", "102", "103", "104", "105", "106"]}]}</v>
      </c>
      <c r="U3" s="16" t="s">
        <v>48</v>
      </c>
      <c r="V3" s="17" t="str">
        <f>IFERROR(__xludf.DUMMYFUNCTION("AI(""Extract options object from the json"", U3)"),"{""Power"": [{""name"": ""12W"", ""id"": ""101""}], ""Light Color"": [{""name"": ""Warm White"", ""id"": ""102""}], ""Voltage"": [{""name"": ""12V/24V"", ""id"": ""103""}], ""Current Type"": [{""name"": ""AC/DC"", ""id"": ""104""}], ""IP Rating"": [{""nam"&amp;"e"": ""IP67"", ""id"": ""105""}], ""Finish"": [{""name"": ""Black"", ""id"": ""106""}]}")</f>
        <v>{"Power": [{"name": "12W", "id": "101"}], "Light Color": [{"name": "Warm White", "id": "102"}], "Voltage": [{"name": "12V/24V", "id": "103"}], "Current Type": [{"name": "AC/DC", "id": "104"}], "IP Rating": [{"name": "IP67", "id": "105"}], "Finish": [{"name": "Black", "id": "106"}]}</v>
      </c>
      <c r="W3" s="17" t="str">
        <f>IFERROR(__xludf.DUMMYFUNCTION("AI(""Extract constraints object from the json"", U3)"),"{}")</f>
        <v>{}</v>
      </c>
      <c r="X3" s="17" t="str">
        <f>IFERROR(__xludf.DUMMYFUNCTION("AI(""Extract sku_mappings object from the json"", U3)"),"[{""sku"": ""GL003"", ""combination"": [""101"", ""102"", ""103"", ""104"", ""105"", ""106""]}]")</f>
        <v>[{"sku": "GL003", "combination": ["101", "102", "103", "104", "105", "106"]}]</v>
      </c>
      <c r="Y3" s="15" t="s">
        <v>40</v>
      </c>
      <c r="Z3" s="15" t="s">
        <v>41</v>
      </c>
      <c r="AA3" s="15" t="s">
        <v>42</v>
      </c>
      <c r="AB3" s="18"/>
      <c r="AC3" s="19" t="str">
        <f>IFERROR(__xludf.DUMMYFUNCTION("AI(""Generate 6 powerful unique keywords for the product in this row"")"),"Garden Light, Pathway Lighting, 12W Outdoor Light, IP67 Waterproof, Warm White LED, Landscape Illumination")</f>
        <v>Garden Light, Pathway Lighting, 12W Outdoor Light, IP67 Waterproof, Warm White LED, Landscape Illumination</v>
      </c>
      <c r="AD3" s="18" t="s">
        <v>49</v>
      </c>
    </row>
    <row r="4" ht="37.5" customHeight="1">
      <c r="A4" s="9" t="s">
        <v>50</v>
      </c>
      <c r="B4" s="9" t="s">
        <v>31</v>
      </c>
      <c r="C4" s="10" t="s">
        <v>32</v>
      </c>
      <c r="D4" s="10" t="s">
        <v>31</v>
      </c>
      <c r="E4" s="10" t="s">
        <v>33</v>
      </c>
      <c r="F4" s="11" t="str">
        <f>IFERROR(__xludf.DUMMYFUNCTION("AI(""Give me a paragraph marketing spiel for this product, no tech specs just marketing fluff "")"),"Transform your outdoor spaces into a breathtaking visual journey with a perfect blend of elegance and modern design. This premium lighting solution offers seamless integration into your pathways, casting a warm, sophisticated glow that effortlessly guides"&amp;" the way while enhancing the natural beauty of your architecture. Crafted for those who appreciate refined detail and discreet luxury, it adds an unparalleled touch of ambiance, warmth, and captivating security to any setting, making it the ultimate choic"&amp;"e for elevated architectural illumination.")</f>
        <v>Transform your outdoor spaces into a breathtaking visual journey with a perfect blend of elegance and modern design. This premium lighting solution offers seamless integration into your pathways, casting a warm, sophisticated glow that effortlessly guides the way while enhancing the natural beauty of your architecture. Crafted for those who appreciate refined detail and discreet luxury, it adds an unparalleled touch of ambiance, warmth, and captivating security to any setting, making it the ultimate choice for elevated architectural illumination.</v>
      </c>
      <c r="G4" s="10" t="s">
        <v>34</v>
      </c>
      <c r="H4" s="11" t="str">
        <f>IFERROR(__xludf.DUMMYFUNCTION("AI(""Give me a paragraph marketing spiel for this product, no tech specs just marketing fluff under 180 characters "")"),"Transform your outdoor spaces into a breathtaking visual journey. Experience discreet luxury and a sophisticated glow that beautifully enhances your home.")</f>
        <v>Transform your outdoor spaces into a breathtaking visual journey. Experience discreet luxury and a sophisticated glow that beautifully enhances your home.</v>
      </c>
      <c r="I4" s="10" t="s">
        <v>45</v>
      </c>
      <c r="J4" s="10"/>
      <c r="K4" s="10"/>
      <c r="L4" s="12" t="s">
        <v>50</v>
      </c>
      <c r="M4" s="12" t="s">
        <v>51</v>
      </c>
      <c r="N4" s="13"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 Color Temperature (Example 3000K)
- Voltage (Example 20V, 12V/24V)
- Current Type (Example AC/DC)
- IP Rating (Example IP67, IP68)
- Impact Strength (Example IK10)
- Opt"&amp;"ics (Example SYS30°)
- Finish (Example Black)
### STRICT OUTPUT RULES
1. Output ONLY the corresponding labels mentioned above separated by pipes ('|'). 
2. Do not include the values in your output.
3. Do not include any conversational text, introductory "&amp;"remarks, or markdown formatting blocks.
4. The number of labels in your output must exactly match the number of values provided in the input.
---
### FEW-SHOT EXAMPLES
#### Example 1 (Standard Neon Strip)
Input: 1.2W | SYM 30° | 3000K | IP67 | IK10
Out"&amp;"put: Power|Optics|Color Temperature|IP Rating|Impact Strength
Input: 7W | Warm White | 12V/24V | AC/DC | IP67 | Black
Output: Power | Light Color | Current Type | IP Rating | Finish
---
### YOUR TASK
Generate output for the values text ""&amp;M4)"),"Power|Light Color|Voltage|Current Type|IP Rating|Finish")</f>
        <v>Power|Light Color|Voltage|Current Type|IP Rating|Finish</v>
      </c>
      <c r="O4" s="14" t="s">
        <v>37</v>
      </c>
      <c r="P4" s="13"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""&amp;O4&amp;"", Values: ""&amp;M4&amp; "" and SKU Code: ""&amp;L4"&amp;")"),"{""Power"": ""3W"", ""Light Color"": ""Warm White"", ""Voltage"": ""12V/24V"", ""Current Type"": ""AC/DC"", ""IP Rating"": ""IP67"", ""Finish"": ""Black"", ""SKU"": ""GL005""}")</f>
        <v>{"Power": "3W", "Light Color": "Warm White", "Voltage": "12V/24V", "Current Type": "AC/DC", "IP Rating": "IP67", "Finish": "Black", "SKU": "GL005"}</v>
      </c>
      <c r="Q4" s="14" t="s">
        <v>52</v>
      </c>
      <c r="R4" s="11"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Q4)"),"{""Power"": ""3W"", ""Light Color"": ""Warm White"", ""Voltage"": ""12V/24V"", ""Current Type"": ""AC/DC"", ""IP Rating"": ""IP67"", ""Finish"": ""Black"", ""SKU"": ""GL005""}")</f>
        <v>{"Power": "3W", "Light Color": "Warm White", "Voltage": "12V/24V", "Current Type": "AC/DC", "IP Rating": "IP67", "Finish": "Black", "SKU": "GL005"}</v>
      </c>
      <c r="S4" s="15" t="s">
        <v>52</v>
      </c>
      <c r="T4" s="11"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Color Temperature, IP Rating, Impact Strength).
   - Assign a unique sequential integer string ID to every attribute value, starting from """"101"""" and increme"&amp;"nting by 1 in the order they appear.
   - Format each attribute as an array of objects: `[{""""name"""": """"VALUE"""", """"id"""": """"ID""""}]`.
2. **Determine Constraints (Incompatibilities):**
   - Identify attribute pairs that are impossible or miss"&amp;"ing from the valid combinations.
   - Specifically, map an ID of an Option Value to an array of Option Value IDs that **cannot** be selected with it.
   - Output constraints in the format: `""""OPTION_ID"""": [INCOMPATIBLE_OPTION_ID]`.
   - Only list mean"&amp;"ingful non-empty constraints. Express constraints using the primary driving factor (e.g., optic limitation over CCT).
3. **Determine sku_mappings:**
   - Identify the valid combination and create a array with sku and combination containing array of optio"&amp;"ns ID
4. **Output Format:**
   - Return strictly valid JSON containing two root keys: """"Options"""", """"Constraints"""" and """"sku_mappings"""".
   - Do not wrap the JSON in conversational filler text.
---
### Example Input:
{""""SKU"""":""""HRS00"&amp;"1"""", """"Power"""": """"1.2W"""", """"Optics"""": """"SYM30°"""", """"Color Temperature"""": """"3000K"""", """"IP Rating"""": """"IP67"""", """"Impact Strength"""": """"IK10""""}
{""""SKU"""":""""HRS002"""", """"Power"""": """"1.2W"""", """"Optics"""":"&amp;" """"SYM30°"""", """"Color Temperature"""": """"4000K"""", """"IP Rating"""": """"IP67"""", """"Impact Strength"""": """"IK10""""}
{""""SKU"""":""""HRS003"""", """"Power"""": """"1.2W"""", """"Optics"""": """"SYM60°"""", """"Color Temperature"""": """"300"&amp;"0K"""", """"IP Rating"""": """"IP67"""", """"Impact Strength"""": """"IK10""""}
{""""SKU"""":""""HRS004"""", """"Power"""": """"1.2W"""", """"Optics"""": """"SYM60°"""", """"Color Temperature"""": """"4000K"""", """"IP Rating"""": """"IP67"""", """"Impact"&amp;" Strength"""": """"IK10""""}
{""""SKU"""":""""HRS005"""", """"Power"""": """"1.2W"""", """"Optics"""": """"ASYM50°"""", """"Color Temperature"""": """"3000K"""", """"IP Rating"""": """"IP67"""", """"Impact Strength"""": """"IK10""""}
### Example Output:
"&amp;"{
  """"Options"""": {
    """"Power"""": [
      {""""name"""": """"1.2W"""", """"id"""": """"101""""}
    ],
    """"Optics"""": [
      {""""name"""": """"SYM30°"""", """"id"""": """"102""""},
      {""""name"""": """"SYM60°"""", """"id"""": """"103"""&amp;"""},
      {""""name"""": """"ASYM50°"""", """"id"""": """"104""""}
    ],
    """"Color Temperature"""": [
      {""""name"""": """"3000K"""", """"id"""": """"105""""},
      {""""name"""": """"4000K"""", """"id"""": """"106""""}
    ],
    """"IP Rating"&amp;""""": [
      {""""name"""": """"IP67"""", """"id"""": """"107""""}
    ],
    """"Impact Strength"""": [
      {""""name"""": """"IK10"""", """"id"""": """"108""""}
    ]
  },
  """"Constraints"""": {
    """"104"""": [106]
  },
""""sku_mappings"""": [
 "&amp;"     { """"sku"""": """"HRS001"""", """"combination"""": [""""101"""", """"102"""", """"105"""", """"107"""", """"108""""] },
      { """"sku"""": """"HRS002"""", """"combination"""": [""""101"""", """"102"""", """"106"""", """"107"""", """"108""""] },
  "&amp;"    { """"sku"""": """"HRS003"""", """"combination"""": [""""101"""", """"103"""", """"105"""", """"107"""", """"108""""] },
      { """"sku"""": """"HRS004"""", """"combination"""": [""""101"""", """"103"""", """"106"""", """"107"""", """"108""""] },
   "&amp;"   { """"sku"""": """"HRS005"""", """"combination"""": [""""101"""", """"104"""", """"105"""", """"107"""", """"108""""] },
      { """"sku"""": """"HRS006"""", """"combination"""": [""""101"""", """"104"""", """"106"""", """"107"""", """"108""""] }
    ]"&amp;"
}
Process the following product variant combinations and output the """"Options"""", """"Constraints"""" and """"sku_mappings"""" JSON:"", Q4)"),"{""Options"": {""Power"": [{""name"": ""3W"", ""id"": ""101""}], ""Light Color"": [{""name"": ""Warm White"", ""id"": ""102""}], ""Voltage"": [{""name"": ""12V/24V"", ""id"": ""103""}], ""Current Type"": [{""name"": ""AC/DC"", ""id"": ""104""}], ""IP Rati"&amp;"ng"": [{""name"": ""IP67"", ""id"": ""105""}], ""Finish"": [{""name"": ""Black"", ""id"": ""106""}]}, ""Constraints"": {}, ""sku_mappings"": [{""sku"": ""GL005"", ""combination"": [""101"", ""102"", ""103"", ""104"", ""105"", ""106""]}]}")</f>
        <v>{"Options": {"Power": [{"name": "3W", "id": "101"}], "Light Color": [{"name": "Warm White", "id": "102"}], "Voltage": [{"name": "12V/24V", "id": "103"}], "Current Type": [{"name": "AC/DC", "id": "104"}], "IP Rating": [{"name": "IP67", "id": "105"}], "Finish": [{"name": "Black", "id": "106"}]}, "Constraints": {}, "sku_mappings": [{"sku": "GL005", "combination": ["101", "102", "103", "104", "105", "106"]}]}</v>
      </c>
      <c r="U4" s="16" t="s">
        <v>53</v>
      </c>
      <c r="V4" s="17" t="str">
        <f>IFERROR(__xludf.DUMMYFUNCTION("AI(""Extract options object from the json"", U4)"),"{""Power"": [{""name"": ""3W"", ""id"": ""101""}], ""Light Color"": [{""name"": ""Warm White"", ""id"": ""102""}], ""Voltage"": [{""name"": ""12V/24V"", ""id"": ""103""}], ""Current Type"": [{""name"": ""AC/DC"", ""id"": ""104""}], ""IP Rating"": [{""name"&amp;""": ""IP67"", ""id"": ""105""}], ""Finish"": [{""name"": ""Black"", ""id"": ""106""}]}")</f>
        <v>{"Power": [{"name": "3W", "id": "101"}], "Light Color": [{"name": "Warm White", "id": "102"}], "Voltage": [{"name": "12V/24V", "id": "103"}], "Current Type": [{"name": "AC/DC", "id": "104"}], "IP Rating": [{"name": "IP67", "id": "105"}], "Finish": [{"name": "Black", "id": "106"}]}</v>
      </c>
      <c r="W4" s="17" t="str">
        <f>IFERROR(__xludf.DUMMYFUNCTION("AI(""Extract constraints object from the json"", U4)"),"{}")</f>
        <v>{}</v>
      </c>
      <c r="X4" s="17" t="str">
        <f>IFERROR(__xludf.DUMMYFUNCTION("AI(""Extract sku_mappings object from the json"", U4)"),"[{""sku"": ""GL005"", ""combination"": [""101"", ""102"", ""103"", ""104"", ""105"", ""106""]}]")</f>
        <v>[{"sku": "GL005", "combination": ["101", "102", "103", "104", "105", "106"]}]</v>
      </c>
      <c r="Y4" s="15" t="s">
        <v>40</v>
      </c>
      <c r="Z4" s="15" t="s">
        <v>54</v>
      </c>
      <c r="AA4" s="15" t="s">
        <v>42</v>
      </c>
      <c r="AB4" s="18"/>
      <c r="AC4" s="19" t="str">
        <f>IFERROR(__xludf.DUMMYFUNCTION("AI(""Generate 6 powerful unique keywords for the product in this row"")"),"Garden Light, 3W LED, Outdoor Lighting, Pathway Light, IP67 Waterproof, Landscape Lighting")</f>
        <v>Garden Light, 3W LED, Outdoor Lighting, Pathway Light, IP67 Waterproof, Landscape Lighting</v>
      </c>
      <c r="AD4" s="18" t="s">
        <v>55</v>
      </c>
    </row>
    <row r="5" ht="37.5" customHeight="1">
      <c r="A5" s="9" t="s">
        <v>56</v>
      </c>
      <c r="B5" s="9" t="s">
        <v>57</v>
      </c>
      <c r="C5" s="10" t="s">
        <v>32</v>
      </c>
      <c r="D5" s="10" t="s">
        <v>57</v>
      </c>
      <c r="E5" s="10" t="s">
        <v>33</v>
      </c>
      <c r="F5" s="11" t="str">
        <f>IFERROR(__xludf.DUMMYFUNCTION("AI(""Give me a paragraph marketing spiel for this product, no tech specs just marketing fluff "")"),"Dive into an enchanting oasis of light and luxury with our premium pool illumination solution. Designed to effortlessly elevate your outdoor experience, it bathes your aquatic retreat in a warm, sophisticated radiance that creates an unparalleled ambiance"&amp;". Perfect for those with a discerning eye for discreet elegance and refined architectural detail, this lighting masterpiece transforms ordinary evenings into a breathtaking visual journey, adding both captivating allure and a profound sense of serenity to"&amp;" your home.")</f>
        <v>Dive into an enchanting oasis of light and luxury with our premium pool illumination solution. Designed to effortlessly elevate your outdoor experience, it bathes your aquatic retreat in a warm, sophisticated radiance that creates an unparalleled ambiance. Perfect for those with a discerning eye for discreet elegance and refined architectural detail, this lighting masterpiece transforms ordinary evenings into a breathtaking visual journey, adding both captivating allure and a profound sense of serenity to your home.</v>
      </c>
      <c r="G5" s="10" t="s">
        <v>58</v>
      </c>
      <c r="H5" s="11" t="str">
        <f>IFERROR(__xludf.DUMMYFUNCTION("AI(""Give me a paragraph marketing spiel for this product, no tech specs just marketing fluff under 180 characters "")"),"Dive into an enchanting oasis of light and luxury. Elevate your pool into a sophisticated, glowing retreat, adding breathtaking allure and serene ambiance to every evening.")</f>
        <v>Dive into an enchanting oasis of light and luxury. Elevate your pool into a sophisticated, glowing retreat, adding breathtaking allure and serene ambiance to every evening.</v>
      </c>
      <c r="I5" s="10" t="s">
        <v>59</v>
      </c>
      <c r="J5" s="10"/>
      <c r="K5" s="10"/>
      <c r="L5" s="12" t="s">
        <v>56</v>
      </c>
      <c r="M5" s="12" t="s">
        <v>60</v>
      </c>
      <c r="N5" s="13"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 Color Temperature (Example 3000K)
- Voltage (Example 20V, 12V/24V)
- Current Type (Example AC/DC)
- IP Rating (Example IP67, IP68)
- Impact Strength (Example IK10)
- Opt"&amp;"ics (Example SYS30°)
- Finish (Example Black)
### STRICT OUTPUT RULES
1. Output ONLY the corresponding labels mentioned above separated by pipes ('|'). 
2. Do not include the values in your output.
3. Do not include any conversational text, introductory "&amp;"remarks, or markdown formatting blocks.
4. The number of labels in your output must exactly match the number of values provided in the input.
---
### FEW-SHOT EXAMPLES
#### Example 1 (Standard Neon Strip)
Input: 1.2W | SYM 30° | 3000K | IP67 | IK10
Out"&amp;"put: Power|Optics|Color Temperature|IP Rating|Impact Strength
Input: 7W | Warm White | 12V/24V | AC/DC | IP67 | Black
Output: Power | Light Color | Current Type | IP Rating | Finish
---
### YOUR TASK
Generate output for the values text ""&amp;M5)"),"Power|Color Temperature|Voltage|IP Rating")</f>
        <v>Power|Color Temperature|Voltage|IP Rating</v>
      </c>
      <c r="O5" s="14" t="s">
        <v>61</v>
      </c>
      <c r="P5" s="13"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""&amp;O5&amp;"", Values: ""&amp;M5&amp; "" and SKU Code: ""&amp;L5"&amp;")"),"{""Power"": ""7W"", ""Color Temperature"": ""3000K"", ""Voltage"": ""12V"", ""IP Rating"": ""IP68"", ""SKU"": ""PL001""}")</f>
        <v>{"Power": "7W", "Color Temperature": "3000K", "Voltage": "12V", "IP Rating": "IP68", "SKU": "PL001"}</v>
      </c>
      <c r="Q5" s="14" t="s">
        <v>62</v>
      </c>
      <c r="R5" s="11"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Q5:Q6)"),"{""Power"": ""7W"", ""Color Temperature"": [""3000K"", ""6000K""], ""Voltage"": ""12V"", ""IP Rating"": ""IP68"", ""SKU"": [""PL001"", ""PL002""]}")</f>
        <v>{"Power": "7W", "Color Temperature": ["3000K", "6000K"], "Voltage": "12V", "IP Rating": "IP68", "SKU": ["PL001", "PL002"]}</v>
      </c>
      <c r="S5" s="15" t="s">
        <v>63</v>
      </c>
      <c r="T5" s="11"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Color Temperature, IP Rating, Impact Strength).
   - Assign a unique sequential integer string ID to every attribute value, starting from """"101"""" and increme"&amp;"nting by 1 in the order they appear.
   - Format each attribute as an array of objects: `[{""""name"""": """"VALUE"""", """"id"""": """"ID""""}]`.
2. **Determine Constraints (Incompatibilities):**
   - Identify attribute pairs that are impossible or miss"&amp;"ing from the valid combinations.
   - Specifically, map an ID of an Option Value to an array of Option Value IDs that **cannot** be selected with it.
   - Output constraints in the format: `""""OPTION_ID"""": [INCOMPATIBLE_OPTION_ID]`.
   - Only list mean"&amp;"ingful non-empty constraints. Express constraints using the primary driving factor (e.g., optic limitation over CCT).
3. **Determine sku_mappings:**
   - Identify the valid combination and create a array with sku and combination containing array of optio"&amp;"ns ID
4. **Output Format:**
   - Return strictly valid JSON containing two root keys: """"Options"""", """"Constraints"""" and """"sku_mappings"""".
   - Do not wrap the JSON in conversational filler text.
---
### Example Input:
{""""SKU"""":""""HRS00"&amp;"1"""", """"Power"""": """"1.2W"""", """"Optics"""": """"SYM30°"""", """"Color Temperature"""": """"3000K"""", """"IP Rating"""": """"IP67"""", """"Impact Strength"""": """"IK10""""}
{""""SKU"""":""""HRS002"""", """"Power"""": """"1.2W"""", """"Optics"""":"&amp;" """"SYM30°"""", """"Color Temperature"""": """"4000K"""", """"IP Rating"""": """"IP67"""", """"Impact Strength"""": """"IK10""""}
{""""SKU"""":""""HRS003"""", """"Power"""": """"1.2W"""", """"Optics"""": """"SYM60°"""", """"Color Temperature"""": """"300"&amp;"0K"""", """"IP Rating"""": """"IP67"""", """"Impact Strength"""": """"IK10""""}
{""""SKU"""":""""HRS004"""", """"Power"""": """"1.2W"""", """"Optics"""": """"SYM60°"""", """"Color Temperature"""": """"4000K"""", """"IP Rating"""": """"IP67"""", """"Impact"&amp;" Strength"""": """"IK10""""}
{""""SKU"""":""""HRS005"""", """"Power"""": """"1.2W"""", """"Optics"""": """"ASYM50°"""", """"Color Temperature"""": """"3000K"""", """"IP Rating"""": """"IP67"""", """"Impact Strength"""": """"IK10""""}
### Example Output:
"&amp;"{
  """"Options"""": {
    """"Power"""": [
      {""""name"""": """"1.2W"""", """"id"""": """"101""""}
    ],
    """"Optics"""": [
      {""""name"""": """"SYM30°"""", """"id"""": """"102""""},
      {""""name"""": """"SYM60°"""", """"id"""": """"103"""&amp;"""},
      {""""name"""": """"ASYM50°"""", """"id"""": """"104""""}
    ],
    """"Color Temperature"""": [
      {""""name"""": """"3000K"""", """"id"""": """"105""""},
      {""""name"""": """"4000K"""", """"id"""": """"106""""}
    ],
    """"IP Rating"&amp;""""": [
      {""""name"""": """"IP67"""", """"id"""": """"107""""}
    ],
    """"Impact Strength"""": [
      {""""name"""": """"IK10"""", """"id"""": """"108""""}
    ]
  },
  """"Constraints"""": {
    """"104"""": [106]
  },
""""sku_mappings"""": [
 "&amp;"     { """"sku"""": """"HRS001"""", """"combination"""": [""""101"""", """"102"""", """"105"""", """"107"""", """"108""""] },
      { """"sku"""": """"HRS002"""", """"combination"""": [""""101"""", """"102"""", """"106"""", """"107"""", """"108""""] },
  "&amp;"    { """"sku"""": """"HRS003"""", """"combination"""": [""""101"""", """"103"""", """"105"""", """"107"""", """"108""""] },
      { """"sku"""": """"HRS004"""", """"combination"""": [""""101"""", """"103"""", """"106"""", """"107"""", """"108""""] },
   "&amp;"   { """"sku"""": """"HRS005"""", """"combination"""": [""""101"""", """"104"""", """"105"""", """"107"""", """"108""""] },
      { """"sku"""": """"HRS006"""", """"combination"""": [""""101"""", """"104"""", """"106"""", """"107"""", """"108""""] }
    ]"&amp;"
}
Process the following product variant combinations and output the """"Options"""", """"Constraints"""" and """"sku_mappings"""" JSON:"", Q5:Q6)"),"{""Options"": {""Power"": [{""name"": ""7W"", ""id"": ""101""}], ""Color Temperature"": [{""name"": ""3000K"", ""id"": ""102""}, {""name"": ""6000K"", ""id"": ""103""}], ""Voltage"": [{""name"": ""12V"", ""id"": ""104""}], ""IP Rating"": [{""name"": ""IP6"&amp;"8"", ""id"": ""105""}]}, ""Constraints"": {}, ""sku_mappings"": [{""sku"": ""PL001"", ""combination"": [""101"", ""102"", ""104"", ""105""]}, {""sku"": ""PL002"", ""combination"": [""101"", ""103"", ""104"", ""105""]}]}")</f>
        <v>{"Options": {"Power": [{"name": "7W", "id": "101"}], "Color Temperature": [{"name": "3000K", "id": "102"}, {"name": "6000K", "id": "103"}], "Voltage": [{"name": "12V", "id": "104"}], "IP Rating": [{"name": "IP68", "id": "105"}]}, "Constraints": {}, "sku_mappings": [{"sku": "PL001", "combination": ["101", "102", "104", "105"]}, {"sku": "PL002", "combination": ["101", "103", "104", "105"]}]}</v>
      </c>
      <c r="U5" s="16" t="s">
        <v>64</v>
      </c>
      <c r="V5" s="17" t="str">
        <f>IFERROR(__xludf.DUMMYFUNCTION("AI(""Extract options object from the json"", U5)"),"{""Power"": [{""name"": ""7W"", ""id"": ""101""}], ""Color Temperature"": [{""name"": ""3000K"", ""id"": ""102""}, {""name"": ""6000K"", ""id"": ""103""}], ""Voltage"": [{""name"": ""12V"", ""id"": ""104""}], ""IP Rating"": [{""name"": ""IP68"", ""id"": "&amp;"""105""}]}")</f>
        <v>{"Power": [{"name": "7W", "id": "101"}], "Color Temperature": [{"name": "3000K", "id": "102"}, {"name": "6000K", "id": "103"}], "Voltage": [{"name": "12V", "id": "104"}], "IP Rating": [{"name": "IP68", "id": "105"}]}</v>
      </c>
      <c r="W5" s="17" t="str">
        <f>IFERROR(__xludf.DUMMYFUNCTION("AI(""Extract constraints object from the json"", U5)"),"{}")</f>
        <v>{}</v>
      </c>
      <c r="X5" s="17" t="str">
        <f>IFERROR(__xludf.DUMMYFUNCTION("AI(""Extract sku_mappings object from the json"", U5)"),"[{""sku"": ""PL001"", ""combination"": [""101"", ""102"", ""104"", ""105""]}, {""sku"": ""PL002"", ""combination"": [""101"", ""103"", ""104"", ""105""]}]")</f>
        <v>[{"sku": "PL001", "combination": ["101", "102", "104", "105"]}, {"sku": "PL002", "combination": ["101", "103", "104", "105"]}]</v>
      </c>
      <c r="Y5" s="15" t="s">
        <v>40</v>
      </c>
      <c r="Z5" s="15" t="s">
        <v>65</v>
      </c>
      <c r="AA5" s="15" t="s">
        <v>66</v>
      </c>
      <c r="AB5" s="18"/>
      <c r="AC5" s="19" t="str">
        <f>IFERROR(__xludf.DUMMYFUNCTION("AI(""Generate 6 powerful unique keywords for the product in this row"")"),"pool light, underwater lighting, IP68 waterproof, 3000K warm white, low voltage LED, aquatic illumination")</f>
        <v>pool light, underwater lighting, IP68 waterproof, 3000K warm white, low voltage LED, aquatic illumination</v>
      </c>
      <c r="AD5" s="18" t="s">
        <v>67</v>
      </c>
    </row>
    <row r="6" ht="37.5" customHeight="1">
      <c r="A6" s="9"/>
      <c r="B6" s="9"/>
      <c r="C6" s="10"/>
      <c r="D6" s="10"/>
      <c r="E6" s="10"/>
      <c r="F6" s="11"/>
      <c r="G6" s="10"/>
      <c r="H6" s="11"/>
      <c r="I6" s="10"/>
      <c r="J6" s="10"/>
      <c r="K6" s="10"/>
      <c r="L6" s="12" t="s">
        <v>68</v>
      </c>
      <c r="M6" s="12" t="s">
        <v>69</v>
      </c>
      <c r="N6" s="13"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 Color Temperature (Example 3000K)
- Voltage (Example 20V, 12V/24V)
- Current Type (Example AC/DC)
- IP Rating (Example IP67, IP68)
- Impact Strength (Example IK10)
- Opt"&amp;"ics (Example SYS30°)
- Finish (Example Black)
### STRICT OUTPUT RULES
1. Output ONLY the corresponding labels mentioned above separated by pipes ('|'). 
2. Do not include the values in your output.
3. Do not include any conversational text, introductory "&amp;"remarks, or markdown formatting blocks.
4. The number of labels in your output must exactly match the number of values provided in the input.
---
### FEW-SHOT EXAMPLES
#### Example 1 (Standard Neon Strip)
Input: 1.2W | SYM 30° | 3000K | IP67 | IK10
Out"&amp;"put: Power|Optics|Color Temperature|IP Rating|Impact Strength
Input: 7W | Warm White | 12V/24V | AC/DC | IP67 | Black
Output: Power | Light Color | Current Type | IP Rating | Finish
---
### YOUR TASK
Generate output for the values text ""&amp;M6)"),"Power|Color Temperature|Voltage|IP Rating")</f>
        <v>Power|Color Temperature|Voltage|IP Rating</v>
      </c>
      <c r="O6" s="14" t="s">
        <v>61</v>
      </c>
      <c r="P6" s="13"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""&amp;O6&amp;"", Values: ""&amp;M6&amp; "" and SKU Code: ""&amp;L6"&amp;")"),"{
""Power"": ""7W"",
""Color Temperature"": ""6000K"",
""Voltage"": ""12V"",
""IP Rating"": ""IP68"",
""SKU"": ""PL002""
}")</f>
        <v>{
"Power": "7W",
"Color Temperature": "6000K",
"Voltage": "12V",
"IP Rating": "IP68",
"SKU": "PL002"
}</v>
      </c>
      <c r="Q6" s="14" t="s">
        <v>70</v>
      </c>
      <c r="R6" s="11"/>
      <c r="S6" s="15"/>
      <c r="T6" s="11"/>
      <c r="U6" s="16"/>
      <c r="V6" s="17"/>
      <c r="W6" s="17"/>
      <c r="X6" s="17"/>
      <c r="Y6" s="15" t="s">
        <v>40</v>
      </c>
      <c r="Z6" s="15" t="s">
        <v>65</v>
      </c>
      <c r="AA6" s="15" t="s">
        <v>66</v>
      </c>
      <c r="AB6" s="18"/>
      <c r="AC6" s="19" t="str">
        <f>IFERROR(__xludf.DUMMYFUNCTION("AI(""Generate 6 powerful unique keywords for the product in this row"")"),"pool light, 6000k, ip68 waterproof, 7w led, 12v lighting, aquatic light")</f>
        <v>pool light, 6000k, ip68 waterproof, 7w led, 12v lighting, aquatic light</v>
      </c>
      <c r="AD6" s="18" t="s">
        <v>71</v>
      </c>
    </row>
    <row r="7">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row>
    <row r="8">
      <c r="A8" s="18"/>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row>
    <row r="9">
      <c r="A9" s="18"/>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row>
    <row r="10">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row>
    <row r="1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row>
    <row r="12">
      <c r="A12" s="18"/>
      <c r="B12" s="18"/>
      <c r="C12" s="18"/>
      <c r="D12" s="18"/>
      <c r="E12" s="18"/>
      <c r="F12" s="18"/>
      <c r="G12" s="18"/>
      <c r="H12" s="18"/>
      <c r="I12" s="18"/>
      <c r="J12" s="18"/>
      <c r="K12" s="18"/>
      <c r="L12" s="18"/>
      <c r="M12" s="18"/>
      <c r="N12" s="18"/>
      <c r="O12" s="18"/>
      <c r="P12" s="18"/>
      <c r="Q12" s="18"/>
      <c r="R12" s="18"/>
      <c r="S12" s="18"/>
      <c r="T12" s="9"/>
      <c r="U12" s="18"/>
      <c r="V12" s="18"/>
      <c r="W12" s="18"/>
      <c r="X12" s="18"/>
      <c r="Y12" s="18"/>
      <c r="Z12" s="18"/>
      <c r="AA12" s="18"/>
      <c r="AB12" s="18"/>
      <c r="AC12" s="18"/>
      <c r="AD12" s="18"/>
    </row>
    <row r="13">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row>
    <row r="14">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row>
    <row r="15">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row>
    <row r="16">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row>
    <row r="17">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row>
    <row r="18">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row>
    <row r="19">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row>
    <row r="20">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row>
    <row r="2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row>
    <row r="22">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row>
    <row r="23">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row>
    <row r="24">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row>
    <row r="25">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row>
    <row r="26">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row>
    <row r="27">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row>
    <row r="28">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row>
    <row r="29">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row>
    <row r="30">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row>
    <row r="3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row>
    <row r="32">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row>
    <row r="33">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row>
    <row r="34">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row>
    <row r="35">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row>
    <row r="36">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row>
    <row r="37">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row>
    <row r="38">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row>
    <row r="39">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row>
    <row r="40">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row>
    <row r="4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row>
    <row r="42">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row>
    <row r="43">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row>
    <row r="44">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row>
    <row r="4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row>
    <row r="46">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row>
    <row r="47">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row>
    <row r="48">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row>
    <row r="4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row>
    <row r="50">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row>
  </sheetData>
  <drawing r:id="rId1"/>
  <tableParts count="1">
    <tablePart r:id="rId3"/>
  </tableParts>
</worksheet>
</file>